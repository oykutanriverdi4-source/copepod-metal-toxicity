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5bd0042f5887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ummary" sheetId="1" r:id="R6d383c66ba0d46cc"/>
    <x:sheet xmlns:r="http://schemas.openxmlformats.org/officeDocument/2006/relationships" name="Source_context_audit" sheetId="12" r:id="R99bbb64fdbfb4220"/>
    <x:sheet xmlns:r="http://schemas.openxmlformats.org/officeDocument/2006/relationships" name="Screening_410" sheetId="2" r:id="R4b0034bfe1604761"/>
    <x:sheet xmlns:r="http://schemas.openxmlformats.org/officeDocument/2006/relationships" name="Primary_295" sheetId="3" r:id="R408c53b0e8cc4c2a"/>
    <x:sheet xmlns:r="http://schemas.openxmlformats.org/officeDocument/2006/relationships" name="Metal_Support" sheetId="4" r:id="R232e816250304a43"/>
    <x:sheet xmlns:r="http://schemas.openxmlformats.org/officeDocument/2006/relationships" name="Common_Support" sheetId="5" r:id="R41870a2ebb6645fa"/>
    <x:sheet xmlns:r="http://schemas.openxmlformats.org/officeDocument/2006/relationships" name="Test_Result_Audit" sheetId="6" r:id="R73ca16ff8e3b4160"/>
    <x:sheet xmlns:r="http://schemas.openxmlformats.org/officeDocument/2006/relationships" name="Methodology_Log" sheetId="7" r:id="R043108476d4c479f"/>
    <x:sheet xmlns:r="http://schemas.openxmlformats.org/officeDocument/2006/relationships" name="Harmonized_295" sheetId="8" r:id="Rb93d083d762a480a"/>
    <x:sheet xmlns:r="http://schemas.openxmlformats.org/officeDocument/2006/relationships" name="Harmonization_Rules" sheetId="9" r:id="Rdb36b8521dd246ce"/>
    <x:sheet xmlns:r="http://schemas.openxmlformats.org/officeDocument/2006/relationships" name="Harmonization_Audit" sheetId="10" r:id="R64c2d247da7e4a49"/>
    <x:sheet xmlns:r="http://schemas.openxmlformats.org/officeDocument/2006/relationships" name="Reproduce_Excel_R" sheetId="11" r:id="R9dd38e0fe01f4140"/>
    <x:sheet xmlns:r="http://schemas.openxmlformats.org/officeDocument/2006/relationships" name="Source_review_20261007" sheetId="13" r:id="R6452e279de6a4741"/>
  </x:sheets>
</x:workbook>
</file>

<file path=xl/sharedStrings.xml><?xml version="1.0" encoding="utf-8"?>
<x:sst xmlns:x="http://schemas.openxmlformats.org/spreadsheetml/2006/main">
  <x:si>
    <x:t xml:space="preserve">ECOTOX RAW(2) — screening + Test/Result audit summary</x:t>
  </x:si>
  <x:si>
    <x:t xml:space="preserve">Metric</x:t>
  </x:si>
  <x:si>
    <x:t xml:space="preserve">Value</x:t>
  </x:si>
  <x:si>
    <x:t xml:space="preserve">Interpretation</x:t>
  </x:si>
  <x:si>
    <x:t xml:space="preserve">Metal</x:t>
  </x:si>
  <x:si>
    <x:t xml:space="preserve">Working role</x:t>
  </x:si>
  <x:si>
    <x:t xml:space="preserve">Key support</x:t>
  </x:si>
  <x:si>
    <x:t xml:space="preserve">Main limitation</x:t>
  </x:si>
  <x:si>
    <x:t xml:space="preserve">Raw ECOTOX results</x:t>
  </x:si>
  <x:si>
    <x:t xml:space="preserve">Authoritative RAW(2) search output</x:t>
  </x:si>
  <x:si>
    <x:t xml:space="preserve">Cu</x:t>
  </x:si>
  <x:si>
    <x:t xml:space="preserve">CORE</x:t>
  </x:si>
  <x:si>
    <x:t xml:space="preserve">104 results / 102 tests / 34 refs</x:t>
  </x:si>
  <x:si>
    <x:t xml:space="preserve">Some legacy temp/sal missingness</x:t>
  </x:si>
  <x:si>
    <x:t xml:space="preserve">Definite copepod results</x:t>
  </x:si>
  <x:si>
    <x:t xml:space="preserve">Calanoida + Harpacticoida + Cyclopoida</x:t>
  </x:si>
  <x:si>
    <x:t xml:space="preserve">Cd</x:t>
  </x:si>
  <x:si>
    <x:t xml:space="preserve">42 tests / 18 refs</x:t>
  </x:si>
  <x:si>
    <x:t xml:space="preserve">Smaller but balanced</x:t>
  </x:si>
  <x:si>
    <x:t xml:space="preserve">Unique copepod references</x:t>
  </x:si>
  <x:si>
    <x:t xml:space="preserve">Publication/source level</x:t>
  </x:si>
  <x:si>
    <x:t xml:space="preserve">Zn</x:t>
  </x:si>
  <x:si>
    <x:t xml:space="preserve">CORE general/order; stage exploratory</x:t>
  </x:si>
  <x:si>
    <x:t xml:space="preserve">38 tests / 13 refs</x:t>
  </x:si>
  <x:si>
    <x:t xml:space="preserve">Only 2 Nauplii refs; Nipper 32% of tests</x:t>
  </x:si>
  <x:si>
    <x:t xml:space="preserve">Unique copepod Test Numbers</x:t>
  </x:si>
  <x:si>
    <x:t xml:space="preserve">ECOTOX test-level IDs</x:t>
  </x:si>
  <x:si>
    <x:t xml:space="preserve">Ag</x:t>
  </x:si>
  <x:si>
    <x:t xml:space="preserve">SECONDARY order/general</x:t>
  </x:si>
  <x:si>
    <x:t xml:space="preserve">18 tests / 7 refs</x:t>
  </x:si>
  <x:si>
    <x:t xml:space="preserve">Only 1 Nauplii ref</x:t>
  </x:si>
  <x:si>
    <x:t xml:space="preserve">Unique copepod Result Numbers</x:t>
  </x:si>
  <x:si>
    <x:t xml:space="preserve">Every copepod row has a unique Result Number</x:t>
  </x:si>
  <x:si>
    <x:t xml:space="preserve">Cr(VI)</x:t>
  </x:si>
  <x:si>
    <x:t xml:space="preserve">SECONDARY environmental/matched</x:t>
  </x:si>
  <x:si>
    <x:t xml:space="preserve">46 confirmed tests / 10 refs + 18 pending</x:t>
  </x:si>
  <x:si>
    <x:t xml:space="preserve">Dave 1993 = 52% tests; 96h strongly source-dominated</x:t>
  </x:si>
  <x:si>
    <x:t xml:space="preserve">Confirmed primary results</x:t>
  </x:si>
  <x:si>
    <x:t xml:space="preserve">284 direct point + 11 source-recovered point LC50s</x:t>
  </x:si>
  <x:si>
    <x:t xml:space="preserve">Hg</x:t>
  </x:si>
  <x:si>
    <x:t xml:space="preserve">EXPLORATORY</x:t>
  </x:si>
  <x:si>
    <x:t xml:space="preserve">25 tests / 6 refs / 9 species</x:t>
  </x:si>
  <x:si>
    <x:t xml:space="preserve">48% one source; weak stage/order</x:t>
  </x:si>
  <x:si>
    <x:t xml:space="preserve">Unique primary Test Numbers</x:t>
  </x:si>
  <x:si>
    <x:t xml:space="preserve">Primary result rows are not all independent tests</x:t>
  </x:si>
  <x:si>
    <x:t xml:space="preserve">Ni</x:t>
  </x:si>
  <x:si>
    <x:t xml:space="preserve">DESCRIPTIVE</x:t>
  </x:si>
  <x:si>
    <x:t xml:space="preserve">13 tests / 5 refs</x:t>
  </x:si>
  <x:si>
    <x:t xml:space="preserve">0 Nauplii</x:t>
  </x:si>
  <x:si>
    <x:t xml:space="preserve">Unique primary references</x:t>
  </x:si>
  <x:si>
    <x:t xml:space="preserve">Reference-level clustering still matters</x:t>
  </x:si>
  <x:si>
    <x:t xml:space="preserve">Pb</x:t>
  </x:si>
  <x:si>
    <x:t xml:space="preserve">4 tests / 3 refs</x:t>
  </x:si>
  <x:si>
    <x:t xml:space="preserve">0 Nauplii, 0 Harpacticoida</x:t>
  </x:si>
  <x:si>
    <x:t xml:space="preserve">Secondary modifier results</x:t>
  </x:si>
  <x:si>
    <x:t xml:space="preserve">Valid but deliberate DOM/UV/diet/food/organic-matter modifiers</x:t>
  </x:si>
  <x:si>
    <x:t xml:space="preserve">Excluded primary results</x:t>
  </x:si>
  <x:si>
    <x:t xml:space="preserve">Chemistry/censoring/test-validity/source reasons</x:t>
  </x:si>
  <x:si>
    <x:t xml:space="preserve">Pending Larrain results</x:t>
  </x:si>
  <x:si>
    <x:t xml:space="preserve">3 temperatures × 6 repeated graph-derived bioassays</x:t>
  </x:si>
  <x:si>
    <x:t xml:space="preserve">Ref</x:t>
  </x:si>
  <x:si>
    <x:t xml:space="preserve">Source_Context_ID</x:t>
  </x:si>
  <x:si>
    <x:t xml:space="preserve">Source_Context_Label</x:t>
  </x:si>
  <x:si>
    <x:t xml:space="preserve">Verification_Status</x:t>
  </x:si>
  <x:si>
    <x:t xml:space="preserve">Source note</x:t>
  </x:si>
  <x:si>
    <x:t xml:space="preserve">8445_F1</x:t>
  </x:si>
  <x:si>
    <x:t xml:space="preserve">F1 generation</x:t>
  </x:si>
  <x:si>
    <x:t xml:space="preserve">VERIFIED</x:t>
  </x:si>
  <x:si>
    <x:t xml:space="preserve">F1 from source</x:t>
  </x:si>
  <x:si>
    <x:t xml:space="preserve">8445_PARENTAL</x:t>
  </x:si>
  <x:si>
    <x:t xml:space="preserve">parental field population</x:t>
  </x:si>
  <x:si>
    <x:t xml:space="preserve">NO_PAIR</x:t>
  </x:si>
  <x:si>
    <x:t xml:space="preserve">Cu counterpart absent</x:t>
  </x:si>
  <x:si>
    <x:t xml:space="preserve">11097_N1</x:t>
  </x:si>
  <x:si>
    <x:t xml:space="preserve">1-day nauplii</x:t>
  </x:si>
  <x:si>
    <x:t xml:space="preserve">exact stage recovered</x:t>
  </x:si>
  <x:si>
    <x:t xml:space="preserve">10900_CU_SERIES</x:t>
  </x:si>
  <x:si>
    <x:t xml:space="preserve">Cu temporal series</x:t>
  </x:si>
  <x:si>
    <x:t xml:space="preserve">PROTOCOL_ONLY</x:t>
  </x:si>
  <x:si>
    <x:t xml:space="preserve">not exact point match</x:t>
  </x:si>
  <x:si>
    <x:t xml:space="preserve">Raw_Row</x:t>
  </x:si>
  <x:si>
    <x:t xml:space="preserve">Test_Number</x:t>
  </x:si>
  <x:si>
    <x:t xml:space="preserve">Result_Number</x:t>
  </x:si>
  <x:si>
    <x:t xml:space="preserve">Reference_Number</x:t>
  </x:si>
  <x:si>
    <x:t xml:space="preserve">Chemical_Name</x:t>
  </x:si>
  <x:si>
    <x:t xml:space="preserve">Species</x:t>
  </x:si>
  <x:si>
    <x:t xml:space="preserve">Order</x:t>
  </x:si>
  <x:si>
    <x:t xml:space="preserve">Lifestage</x:t>
  </x:si>
  <x:si>
    <x:t xml:space="preserve">Duration_days</x:t>
  </x:si>
  <x:si>
    <x:t xml:space="preserve">Exposure_Type</x:t>
  </x:si>
  <x:si>
    <x:t xml:space="preserve">Conc_Type</x:t>
  </x:si>
  <x:si>
    <x:t xml:space="preserve">Mean_Op</x:t>
  </x:si>
  <x:si>
    <x:t xml:space="preserve">Mean</x:t>
  </x:si>
  <x:si>
    <x:t xml:space="preserve">Min</x:t>
  </x:si>
  <x:si>
    <x:t xml:space="preserve">Max</x:t>
  </x:si>
  <x:si>
    <x:t xml:space="preserve">Units</x:t>
  </x:si>
  <x:si>
    <x:t xml:space="preserve">Analysis_Point</x:t>
  </x:si>
  <x:si>
    <x:t xml:space="preserve">Analysis_Units</x:t>
  </x:si>
  <x:si>
    <x:t xml:space="preserve">Temperature</x:t>
  </x:si>
  <x:si>
    <x:t xml:space="preserve">Salinity</x:t>
  </x:si>
  <x:si>
    <x:t xml:space="preserve">pH</x:t>
  </x:si>
  <x:si>
    <x:t xml:space="preserve">Organic_Carbon</x:t>
  </x:si>
  <x:si>
    <x:t xml:space="preserve">Title</x:t>
  </x:si>
  <x:si>
    <x:t xml:space="preserve">Eligibility_Status</x:t>
  </x:si>
  <x:si>
    <x:t xml:space="preserve">Eligibility_Reason</x:t>
  </x:si>
  <x:si>
    <x:t xml:space="preserve">Acetic acid, Copper(2+) salt</x:t>
  </x:si>
  <x:si>
    <x:t xml:space="preserve">Tigriopus japonicus</x:t>
  </x:si>
  <x:si>
    <x:t xml:space="preserve">Harpacticoida</x:t>
  </x:si>
  <x:si>
    <x:t xml:space="preserve">Adult</x:t>
  </x:si>
  <x:si>
    <x:t xml:space="preserve">Aquatic, unspecified</x:t>
  </x:si>
  <x:si>
    <x:t xml:space="preserve">Total</x:t>
  </x:si>
  <x:si>
    <x:t xml:space="preserve">ug/L</x:t>
  </x:si>
  <x:si>
    <x:t xml:space="preserve">Copper Toxicity in the Marine Copepod Tigropus japonicus:  Low Variability and High Reproducibility of Repeated Acute and Life-Cycle Tests</x:t>
  </x:si>
  <x:si>
    <x:t xml:space="preserve">PRIMARY_KEEP</x:t>
  </x:si>
  <x:si>
    <x:t xml:space="preserve">Eligible copepod LC50 candidate</x:t>
  </x:si>
  <x:si>
    <x:t xml:space="preserve">Acetic acid, Nickel(2+)salt</x:t>
  </x:si>
  <x:si>
    <x:t xml:space="preserve">Tisbe holothuriae</x:t>
  </x:si>
  <x:si>
    <x:t xml:space="preserve">Static</x:t>
  </x:si>
  <x:si>
    <x:t xml:space="preserve">Combined Toxicity of Copper, Cadmium, Zinc, Lead, Nickel, and Chrome to the Copepod Tisbe holothuriae</x:t>
  </x:si>
  <x:si>
    <x:t xml:space="preserve">Zinc oxide (ZnO)</x:t>
  </x:si>
  <x:si>
    <x:t xml:space="preserve">Dissolved</x:t>
  </x:si>
  <x:si>
    <x:t xml:space="preserve">mg/L</x:t>
  </x:si>
  <x:si>
    <x:t xml:space="preserve">Effect of Salinity on Acute Copper and Zinc Toxicity to Tigriopus japonicus: The Difference Between Metal Ions and Nanoparticles</x:t>
  </x:si>
  <x:si>
    <x:t xml:space="preserve">EXCLUDE_PRIMARY</x:t>
  </x:si>
  <x:si>
    <x:t xml:space="preserve">ZnO</x:t>
  </x:si>
  <x:si>
    <x:t xml:space="preserve">Nauplii</x:t>
  </x:si>
  <x:si>
    <x:t xml:space="preserve">Renewal</x:t>
  </x:si>
  <x:si>
    <x:t xml:space="preserve">Toxicities of Nano Zinc Oxide to Five Marine Organisms: Influences of Aggregate Size and Ion Solubility</x:t>
  </x:si>
  <x:si>
    <x:t xml:space="preserve">Copper chloride</x:t>
  </x:si>
  <x:si>
    <x:t xml:space="preserve">Nitocra spinipes</x:t>
  </x:si>
  <x:si>
    <x:t xml:space="preserve">Use of a Harpacticoid Copepod in Toxicity Tests</x:t>
  </x:si>
  <x:si>
    <x:t xml:space="preserve">Nitric acid, Copper(2+) salt</x:t>
  </x:si>
  <x:si>
    <x:t xml:space="preserve">Tisbe battagliai</x:t>
  </x:si>
  <x:si>
    <x:t xml:space="preserve">Toxicity of Cadmium, Hexavalent Chromium and Copper to Marine Fish Larvae (Cypinodon variegatus) and Copepods (Tisbe battagliai)</x:t>
  </x:si>
  <x:si>
    <x:t xml:space="preserve">Acartia tonsa</x:t>
  </x:si>
  <x:si>
    <x:t xml:space="preserve">Calanoida</x:t>
  </x:si>
  <x:si>
    <x:t xml:space="preserve">Flow-through</x:t>
  </x:si>
  <x:si>
    <x:t xml:space="preserve">The Effect of Nutrition on the Response of Field Populations of the Calanoid Copepod Acartia tonsa to Copper</x:t>
  </x:si>
  <x:si>
    <x:t xml:space="preserve">SECONDARY_MODIFIER</x:t>
  </x:si>
  <x:si>
    <x:t xml:space="preserve">Deliberate modifier experiment</x:t>
  </x:si>
  <x:si>
    <x:t xml:space="preserve">Lead</x:t>
  </x:si>
  <x:si>
    <x:t xml:space="preserve">Acartia clausi</x:t>
  </x:si>
  <x:si>
    <x:t xml:space="preserve">Results of Acute Toxicity Tests Conducted with Silver at ERL, Narragansett</x:t>
  </x:si>
  <x:si>
    <x:t xml:space="preserve">Unpublished Laboratory Data</x:t>
  </x:si>
  <x:si>
    <x:t xml:space="preserve">Mercury</x:t>
  </x:si>
  <x:si>
    <x:t xml:space="preserve">Evaluation of Potential Indicators of Sub-Lethal Toxic Stress on Marine Zooplankton (Feeding, Fecundity, Respiration, and Excretion): Controlled Ecosystem Pollution Experiment</x:t>
  </x:si>
  <x:si>
    <x:t xml:space="preserve">Pseudodiaptomus coronatus</x:t>
  </x:si>
  <x:si>
    <x:t xml:space="preserve">Toxicological Comparison of Natural and Cultured Populations of Acartia tonsa to Cadmium, Copper, and Mercury</x:t>
  </x:si>
  <x:si>
    <x:t xml:space="preserve">F6 generation</x:t>
  </x:si>
  <x:si>
    <x:t xml:space="preserve">F2 generation</x:t>
  </x:si>
  <x:si>
    <x:t xml:space="preserve">Eurytemora affinis</x:t>
  </x:si>
  <x:si>
    <x:t xml:space="preserve">Nickel</x:t>
  </x:si>
  <x:si>
    <x:t xml:space="preserve">Silver</x:t>
  </x:si>
  <x:si>
    <x:t xml:space="preserve">Acartia sp.</x:t>
  </x:si>
  <x:si>
    <x:t xml:space="preserve">nM</x:t>
  </x:si>
  <x:si>
    <x:t xml:space="preserve">Sublethal Effects of Silver in Zooplankton:  Importance of Exposure Pathways and Implications for Toxicity Testing</x:t>
  </x:si>
  <x:si>
    <x:t xml:space="preserve">Cadmium</x:t>
  </x:si>
  <x:si>
    <x:t xml:space="preserve">Amphiascus tenuiremis</x:t>
  </x:si>
  <x:si>
    <x:t xml:space="preserve">Aqueous-, Pore-Water-, and Sediment-Phase Cadmium: Toxicity Relationships for a Meiobenthic Copepod</x:t>
  </x:si>
  <x:si>
    <x:t xml:space="preserve">Multiple</x:t>
  </x:si>
  <x:si>
    <x:t xml:space="preserve">Effects of Copper and Cadmium on Growth, Swimming and Predator Avoidance in Eurytemora affinis (Copepoda)</x:t>
  </x:si>
  <x:si>
    <x:t xml:space="preserve">&gt;</x:t>
  </x:si>
  <x:si>
    <x:t xml:space="preserve">Censored LC50</x:t>
  </x:si>
  <x:si>
    <x:t xml:space="preserve">Cr</x:t>
  </x:si>
  <x:si>
    <x:t xml:space="preserve">Chromium</x:t>
  </x:si>
  <x:si>
    <x:t xml:space="preserve">Cr identity unresolved</x:t>
  </x:si>
  <x:si>
    <x:t xml:space="preserve">Copper</x:t>
  </x:si>
  <x:si>
    <x:t xml:space="preserve">Juvenile</x:t>
  </x:si>
  <x:si>
    <x:t xml:space="preserve">Tigriopus californicus</x:t>
  </x:si>
  <x:si>
    <x:t xml:space="preserve">M</x:t>
  </x:si>
  <x:si>
    <x:t xml:space="preserve">Copper Tolerance of the Life History Stages of the Splashpool Copepod Tigriopus californicus (Copepoda, Harpacticoida)</x:t>
  </x:si>
  <x:si>
    <x:t xml:space="preserve">Acute Toxicity of Five Sediment-Associated Metals, Individually and in a Mixture, to the Estuarine Meiobenthic Harpacticoid Copepod Amphiascus tenuiremis</x:t>
  </x:si>
  <x:si>
    <x:t xml:space="preserve">Egg</x:t>
  </x:si>
  <x:si>
    <x:t xml:space="preserve">Copepodite</x:t>
  </x:si>
  <x:si>
    <x:t xml:space="preserve">Zinc</x:t>
  </x:si>
  <x:si>
    <x:t xml:space="preserve">Leaching</x:t>
  </x:si>
  <x:si>
    <x:t xml:space="preserve">Leaching exposure</x:t>
  </x:si>
  <x:si>
    <x:t xml:space="preserve">Copper chloride (CuCl2)</x:t>
  </x:si>
  <x:si>
    <x:t xml:space="preserve">Amphiascoides atopus</x:t>
  </x:si>
  <x:si>
    <x:t xml:space="preserve">uM</x:t>
  </x:si>
  <x:si>
    <x:t xml:space="preserve">Dietary Carotenoids Regulate Astaxanthin Content of Copepods and Modulate Their Susceptibility to UV Light and Copper Toxicity</x:t>
  </x:si>
  <x:si>
    <x:t xml:space="preserve">Diet/UV modifier</x:t>
  </x:si>
  <x:si>
    <x:t xml:space="preserve">Tigriopus fulvus</x:t>
  </x:si>
  <x:si>
    <x:t xml:space="preserve">Toxicity Assessment of Copper, Pentachlorophenol and Phenanthrene by Lethal and Sublethal Endpoints on Nauplii of Tigriopus fulvus</x:t>
  </x:si>
  <x:si>
    <x:t xml:space="preserve">~</x:t>
  </x:si>
  <x:si>
    <x:t xml:space="preserve">Preliminary Assessment of Ostreopsis cfr. ovata Acute Toxicity by Using a Battery Bioassay</x:t>
  </x:si>
  <x:si>
    <x:t xml:space="preserve">The Influence of Salinity and Dissolved Organic Carbon on the Toxicity of Copper to the Estuarine Copepod, Eurytemora affinis</x:t>
  </x:si>
  <x:si>
    <x:t xml:space="preserve">Deliberate DOC manipulation</x:t>
  </x:si>
  <x:si>
    <x:t xml:space="preserve">Acute Waterborne Copper Toxicity to the Euryhaline Copepod Acartia tonsa at Different Salinities:  Influence of Natural Freshwater and Marine Dissolved Organic Matter</x:t>
  </x:si>
  <x:si>
    <x:t xml:space="preserve">Experimental DOM treatment</x:t>
  </x:si>
  <x:si>
    <x:t xml:space="preserve">Acute and Chronic Toxicity of Copper to the Estuarine Copepod Eurytemora affinis: Influence of Organic Complexation and Speciation</x:t>
  </x:si>
  <x:si>
    <x:t xml:space="preserve">Comparison of Toxicity and Release Rates of Cu and Zn from Anti-Fouling Paints Leached in Natural and Artificial Brackish Seawater</x:t>
  </x:si>
  <x:si>
    <x:t xml:space="preserve">Acute Effects of (bis)Tributyltin Oxide on Marine Organisms</x:t>
  </x:si>
  <x:si>
    <x:t xml:space="preserve">Mercury chloride (HgCl2)</x:t>
  </x:si>
  <x:si>
    <x:t xml:space="preserve">Euchaeta marina</x:t>
  </x:si>
  <x:si>
    <x:t xml:space="preserve">ppb</x:t>
  </x:si>
  <x:si>
    <x:t xml:space="preserve">A Controlled Environmental Pollution Experiment (CEPEX) and Its Usefulness in the Study of Larger Marine Zooplankton Under Toxic Stress</x:t>
  </x:si>
  <x:si>
    <x:t xml:space="preserve">Labidocera scotti</x:t>
  </x:si>
  <x:si>
    <x:t xml:space="preserve">Zinc chloride (ZnCl2)</x:t>
  </x:si>
  <x:si>
    <x:t xml:space="preserve">Scutellidium sp.</x:t>
  </x:si>
  <x:si>
    <x:t xml:space="preserve">Acute Toxicity of Copper, Cadmium and Zinc to Three Species of Marine Copepod</x:t>
  </x:si>
  <x:si>
    <x:t xml:space="preserve">Results of Acute Toxicity Tests Conducted with Zinc at ERL, Narragansett</x:t>
  </x:si>
  <x:si>
    <x:t xml:space="preserve">Paracalanus parvus</x:t>
  </x:si>
  <x:si>
    <x:t xml:space="preserve">Acartia simplex</x:t>
  </x:si>
  <x:si>
    <x:t xml:space="preserve">Acute Toxicities of Trace Metals and Common Xenobiotics to the Marine Copepod Tigriopus japonicus:  Evaluation of Its Use as a Benchmark Species for Routine Ecotoxicity Tests in Western Pacific Coastal Regions</x:t>
  </x:si>
  <x:si>
    <x:t xml:space="preserve">A Flowthrough Fecundity Test with Nitocra spinipes (Harpacticoidea Crustacea) for Aquatic Toxicity</x:t>
  </x:si>
  <x:si>
    <x:t xml:space="preserve">Nickel chloride (NiCl2)</x:t>
  </x:si>
  <x:si>
    <x:t xml:space="preserve">ppm</x:t>
  </x:si>
  <x:si>
    <x:t xml:space="preserve">Results of Acute Toxicity Tests Conducted with Nickel at ERL, Narragansett</x:t>
  </x:si>
  <x:si>
    <x:t xml:space="preserve">Neonate</x:t>
  </x:si>
  <x:si>
    <x:t xml:space="preserve">Acute and Chronic Toxicity of Nickel on Freshwater and Marine Tropical Aquatic Organisms</x:t>
  </x:si>
  <x:si>
    <x:t xml:space="preserve">Sulfuric acid, Zinc salt (1:1)</x:t>
  </x:si>
  <x:si>
    <x:t xml:space="preserve">Temora stylifera</x:t>
  </x:si>
  <x:si>
    <x:t xml:space="preserve">Toxicity Testing with Coastal Species of Southeastern Brazil. Mysids and Copepods</x:t>
  </x:si>
  <x:si>
    <x:t xml:space="preserve">Acartia lillgeborgi</x:t>
  </x:si>
  <x:si>
    <x:t xml:space="preserve">Formulation</x:t>
  </x:si>
  <x:si>
    <x:t xml:space="preserve">Failed source validity</x:t>
  </x:si>
  <x:si>
    <x:t xml:space="preserve">Toxicity of Zinc to the Marine Copepod Tisbe holothuriae; the Importance of the Food Factor</x:t>
  </x:si>
  <x:si>
    <x:t xml:space="preserve">Robertsonia propinqua</x:t>
  </x:si>
  <x:si>
    <x:t xml:space="preserve">Zinc Sulfate and Atrazine Toxicity to the Marine Harpacticoid Copepod Robertsonia propinqua</x:t>
  </x:si>
  <x:si>
    <x:t xml:space="preserve">PRIMARY_RECOVERED</x:t>
  </x:si>
  <x:si>
    <x:t xml:space="preserve">Nipper source-resolved Zn basis</x:t>
  </x:si>
  <x:si>
    <x:t xml:space="preserve">Quinquelaophonte sp.</x:t>
  </x:si>
  <x:si>
    <x:t xml:space="preserve">Development of a Harpacticoid Copepod Bioassay:  Selection of Species and Relative Sensitivity to Zinc, Atrazine and Phenanthrene</x:t>
  </x:si>
  <x:si>
    <x:t xml:space="preserve">Copepodid</x:t>
  </x:si>
  <x:si>
    <x:t xml:space="preserve">The Acute Toxicity of 78 Chemicals and Pesticide Formulations Against Two Brackish Water Organisms, the Bleak (Alburnus alburnus) and the Harpacticoid Nitocra spinipes</x:t>
  </x:si>
  <x:si>
    <x:t xml:space="preserve">Tigriopus brevicornis</x:t>
  </x:si>
  <x:si>
    <x:t xml:space="preserve">Influence of Different Essential and Non-Essential Metals on MTLP Levels in the Copepod Tigriopus brevicornis</x:t>
  </x:si>
  <x:si>
    <x:t xml:space="preserve">Copper chloride (CuCl)</x:t>
  </x:si>
  <x:si>
    <x:t xml:space="preserve">Results of Acute Toxicity Tests Conducted with Copper at ERL, Narragansett</x:t>
  </x:si>
  <x:si>
    <x:t xml:space="preserve">Lead chloride (PbCl2)</x:t>
  </x:si>
  <x:si>
    <x:t xml:space="preserve">Acartia danae</x:t>
  </x:si>
  <x:si>
    <x:t xml:space="preserve">Prescribing Sea Water Quality Criteria for Arsenic, Cadmium and Lead Through Species Sensitivity Distribution</x:t>
  </x:si>
  <x:si>
    <x:t xml:space="preserve">Oithona similis</x:t>
  </x:si>
  <x:si>
    <x:t xml:space="preserve">Cyclopoida</x:t>
  </x:si>
  <x:si>
    <x:t xml:space="preserve">Sulfuric acid copper(2+) salt (1:1)</x:t>
  </x:si>
  <x:si>
    <x:t xml:space="preserve">Assessment of Individual and Combined Toxicities of Three Heavy Metals (Cu, Cd and Hg) by Using Tigriopus fulvus</x:t>
  </x:si>
  <x:si>
    <x:t xml:space="preserve">Tisbe furcata</x:t>
  </x:si>
  <x:si>
    <x:t xml:space="preserve">Use of Life Tables and LC50 Tests to Evaluate Chronic and Acute Toxicity Effects of Copper on the Marine Copepod Tisbe furcata (Baird)</x:t>
  </x:si>
  <x:si>
    <x:t xml:space="preserve">Differentiation of the Sensitivity to Copper and Cadmium in Different Life Stages of a Copepod</x:t>
  </x:si>
  <x:si>
    <x:t xml:space="preserve">Lethal and Sublethal Effects of Some Contaminants (Heavy Metals, Oil, Dispersants) to Marine Planktonic Animals</x:t>
  </x:si>
  <x:si>
    <x:t xml:space="preserve">Metridia pacifica</x:t>
  </x:si>
  <x:si>
    <x:t xml:space="preserve">Robertgurneya hopkinsi</x:t>
  </x:si>
  <x:si>
    <x:t xml:space="preserve">An Assessment of Three Harpacticoid Copepod Species for Use in Ecotoxicological Testing</x:t>
  </x:si>
  <x:si>
    <x:t xml:space="preserve">Calanus plumchrus</x:t>
  </x:si>
  <x:si>
    <x:t xml:space="preserve">Paracyclopina nana</x:t>
  </x:si>
  <x:si>
    <x:t xml:space="preserve">Molecular Characterization and Expression of Vitellogenin (Vg) Genes from the Cyclopoid Copepod, Paracyclopina nana Exposed to Heavy Metals</x:t>
  </x:si>
  <x:si>
    <x:t xml:space="preserve">Undinula vulgaris</x:t>
  </x:si>
  <x:si>
    <x:t xml:space="preserve">Individual and Combined Toxicity of Three Heavy Metals, Cu, Cd and Cr for the Marine Copepod Tisbe holothuriae</x:t>
  </x:si>
  <x:si>
    <x:t xml:space="preserve">Effects of Copper Sulphate on Tisbe holothuriae Humes (Copepoda) and Development of Tolerance to Copper</x:t>
  </x:si>
  <x:si>
    <x:t xml:space="preserve">Acute Toxicities of Five Commonly Used Antifouling Booster Biocides to Selected Subtropical and Cosmopolitan Marine Species</x:t>
  </x:si>
  <x:si>
    <x:t xml:space="preserve">Toxic Effects of Two Trace Metals, Copper and Silver, on a Crustacean Harpacticoid Copepod Tigriopus brevicornis (Muller). Lethal and Sublethal Effects at Different Development Stages (Effets Biologiques de Deux Metaux</x:t>
  </x:si>
  <x:si>
    <x:t xml:space="preserve">Short-Term Toxicity Tests on the Harpacticoid Copepod Tisbe battagliai:  Lethal and Reproductive Endpoints</x:t>
  </x:si>
  <x:si>
    <x:t xml:space="preserve">Gestation</x:t>
  </x:si>
  <x:si>
    <x:t xml:space="preserve">Reeve non-point/unresolved</x:t>
  </x:si>
  <x:si>
    <x:t xml:space="preserve">Kwok recovered via Heuschele supplement</x:t>
  </x:si>
  <x:si>
    <x:t xml:space="preserve">Toxicity of Antifouling Biocides to the Intertidal Harpacticoid Copepod Tigriopus japonicus (Crustacea, Copepoda):  Effects of Temperature and Salinity</x:t>
  </x:si>
  <x:si>
    <x:t xml:space="preserve">Acute and Chronic Toxicities of Irgarol Alone and in Combination with Copper to the Marine Copepod Tigriopus japonicus</x:t>
  </x:si>
  <x:si>
    <x:t xml:space="preserve">Nitric acid silver (1+) salt (1:1)</x:t>
  </x:si>
  <x:si>
    <x:t xml:space="preserve">Results: Interlaboratory Comparison - Acute Toxicity Tests Using Estuarine Animals</x:t>
  </x:si>
  <x:si>
    <x:t xml:space="preserve">Influence de la Teneur en Matiere Organique de l'Eau de mer sur la Toxicite de l'Argent vis-a-vis du Copepode Harpacticoide: Tigriopus brevicornis</x:t>
  </x:si>
  <x:si>
    <x:t xml:space="preserve">Impact of Dissolved and Particulate Organic Carbon on the Bioavailability of the Trace Metals Silver and Mercury for the Harpacticoid Copepod Tigriopus brevicornis</x:t>
  </x:si>
  <x:si>
    <x:t xml:space="preserve">Expression of Glutathione S-Transferase (GST) Genes in the Marine Copepod Tigriopus japonicus Exposed to Trace Metals</x:t>
  </x:si>
  <x:si>
    <x:t xml:space="preserve">Chromic acid (H2CrO4), Disodium salt</x:t>
  </x:si>
  <x:si>
    <x:t xml:space="preserve">Sexually mature</x:t>
  </x:si>
  <x:si>
    <x:t xml:space="preserve">Influence of Life-History Adaptations on the Fidelity of Laboratory Bioassays for the Impact of Heavy Metals (Co2+ and Cr6+) on Tolerance and Population Dynamics of Tisbe holothuriae</x:t>
  </x:si>
  <x:si>
    <x:t xml:space="preserve">Toxicity of Chromium to the Marine Planktonic Copepod Acartia clausi, Giesbrecht</x:t>
  </x:si>
  <x:si>
    <x:t xml:space="preserve">Chromic acid (H2Cr2O7), Potassium salt (1:2)</x:t>
  </x:si>
  <x:si>
    <x:t xml:space="preserve">Tisbe longicornis</x:t>
  </x:si>
  <x:si>
    <x:t xml:space="preserve">Sensitivity of the Meiofaunal Copepod Tisbe longicornis to K2Cr2O7 Under Varying Temperature Regimes</x:t>
  </x:si>
  <x:si>
    <x:t xml:space="preserve">PENDING_PRIMARY_RECOVERY</x:t>
  </x:si>
  <x:si>
    <x:t xml:space="preserve">Larrain graph-derived repeated bioassay</x:t>
  </x:si>
  <x:si>
    <x:t xml:space="preserve">Precision of the Nitocra spinipes Acute Toxicity Test and the Effect of Salinity on Toxicity of the Reference Toxicant Potassium Bichromate</x:t>
  </x:si>
  <x:si>
    <x:t xml:space="preserve">Fully Defined Saltwater Medium for Cultivation of and Toxicity Testing with Marine Copepod Acartia tonsa</x:t>
  </x:si>
  <x:si>
    <x:t xml:space="preserve">Acute Toxicity of Sodium Cyanide to Marine Copepods (Acartia tonsa)</x:t>
  </x:si>
  <x:si>
    <x:t xml:space="preserve">TNT Leakage Through Sediment to Water and Toxicity to Nitocra spinipes</x:t>
  </x:si>
  <x:si>
    <x:t xml:space="preserve">Development of Copepod Nauplii to Copepodites - a Parameter for Chronic Toxicity Including Endocrine Disruption</x:t>
  </x:si>
  <x:si>
    <x:t xml:space="preserve">Sediment and Water Phase Toxicity and UV-Activation of Six Chemicals Used in Military Explosives</x:t>
  </x:si>
  <x:si>
    <x:t xml:space="preserve">Range-only</x:t>
  </x:si>
  <x:si>
    <x:t xml:space="preserve">Cadmium chloride (CdCl2)</x:t>
  </x:si>
  <x:si>
    <x:t xml:space="preserve">Results of Acute Toxicity Tests Conducted with Cadmium at ERL, Narragansett</x:t>
  </x:si>
  <x:si>
    <x:t xml:space="preserve">Labile</x:t>
  </x:si>
  <x:si>
    <x:t xml:space="preserve">The Effect of Salinity on the Acute Toxicity of Total and Free Cadmium to a Chesapeake Bay Copepod and Fish</x:t>
  </x:si>
  <x:si>
    <x:t xml:space="preserve">Free/labile Cd metric</x:t>
  </x:si>
  <x:si>
    <x:t xml:space="preserve">Comparison of Estuarine Species Sensitivities to Three Toxicants</x:t>
  </x:si>
  <x:si>
    <x:t xml:space="preserve">Acute and Sublethal Effects of Cadmium on Ingestion, Egg Production and Life-Cycle Development in the Copepod Acartia tonsa</x:t>
  </x:si>
  <x:si>
    <x:t xml:space="preserve">Mortality and LC50 Values for Several Stages of the Marine Copepod Tigriopus brevicornis (Muller) Exposed to the Metals Arsenic and Cadmium and the Pesticides Atrazine, Carbofuran, Dichlorvos, and Malathion</x:t>
  </x:si>
  <x:si>
    <x:t xml:space="preserve">The Effect of Salinity on the Acute Toxicity of Total Dissolved and Free Cadmium to the Copepod Eurytemora affinis and the Larval Fish Cyprinodon</x:t>
  </x:si>
  <x:si>
    <x:t xml:space="preserve">Mercury chloride (Hg2Cl2)</x:t>
  </x:si>
  <x:si>
    <x:t xml:space="preserve">Nitric acid, Cadmium salt (2:1)</x:t>
  </x:si>
  <x:si>
    <x:t xml:space="preserve">(T-4)-Bis[1-(hydroxy-kappaO)-2(1H)-pyridinethionato-kappaS2]zinc</x:t>
  </x:si>
  <x:si>
    <x:t xml:space="preserve">Zinc pyrithione</x:t>
  </x:si>
  <x:si>
    <x:t xml:space="preserve">Nitric acid, Chromium(3+) salt</x:t>
  </x:si>
  <x:si>
    <x:t xml:space="preserve">Cr(III) separate chemistry</x:t>
  </x:si>
  <x:si>
    <x:t xml:space="preserve">Primary_results</x:t>
  </x:si>
  <x:si>
    <x:t xml:space="preserve">Unique_tests</x:t>
  </x:si>
  <x:si>
    <x:t xml:space="preserve">References</x:t>
  </x:si>
  <x:si>
    <x:t xml:space="preserve">Adult_refs</x:t>
  </x:si>
  <x:si>
    <x:t xml:space="preserve">Nauplii_refs</x:t>
  </x:si>
  <x:si>
    <x:t xml:space="preserve">Calanoida_refs</x:t>
  </x:si>
  <x:si>
    <x:t xml:space="preserve">Harpacticoida_refs</x:t>
  </x:si>
  <x:si>
    <x:t xml:space="preserve">96h_tests</x:t>
  </x:si>
  <x:si>
    <x:t xml:space="preserve">96h_refs</x:t>
  </x:si>
  <x:si>
    <x:t xml:space="preserve">Top_ref_share_tests</x:t>
  </x:si>
  <x:si>
    <x:t xml:space="preserve">Pending</x:t>
  </x:si>
  <x:si>
    <x:t xml:space="preserve">Metal_A</x:t>
  </x:si>
  <x:si>
    <x:t xml:space="preserve">Metal_B</x:t>
  </x:si>
  <x:si>
    <x:t xml:space="preserve">Exact matched context cells</x:t>
  </x:si>
  <x:si>
    <x:t xml:space="preserve">Temp_known_tests</x:t>
  </x:si>
  <x:si>
    <x:t xml:space="preserve">Total_tests</x:t>
  </x:si>
  <x:si>
    <x:t xml:space="preserve">Temp_min</x:t>
  </x:si>
  <x:si>
    <x:t xml:space="preserve">Temp_median</x:t>
  </x:si>
  <x:si>
    <x:t xml:space="preserve">Temp_max</x:t>
  </x:si>
  <x:si>
    <x:t xml:space="preserve">T_&lt;15</x:t>
  </x:si>
  <x:si>
    <x:t xml:space="preserve">T_15_&lt;20</x:t>
  </x:si>
  <x:si>
    <x:t xml:space="preserve">T_20_&lt;25</x:t>
  </x:si>
  <x:si>
    <x:t xml:space="preserve">T_&gt;=25</x:t>
  </x:si>
  <x:si>
    <x:t xml:space="preserve">T_missing</x:t>
  </x:si>
  <x:si>
    <x:t xml:space="preserve">Sal_known_tests</x:t>
  </x:si>
  <x:si>
    <x:t xml:space="preserve">Sal_min</x:t>
  </x:si>
  <x:si>
    <x:t xml:space="preserve">Sal_median</x:t>
  </x:si>
  <x:si>
    <x:t xml:space="preserve">Sal_max</x:t>
  </x:si>
  <x:si>
    <x:t xml:space="preserve">S_&lt;10</x:t>
  </x:si>
  <x:si>
    <x:t xml:space="preserve">S_10_&lt;20</x:t>
  </x:si>
  <x:si>
    <x:t xml:space="preserve">S_20_&lt;30</x:t>
  </x:si>
  <x:si>
    <x:t xml:space="preserve">S_&gt;=30</x:t>
  </x:si>
  <x:si>
    <x:t xml:space="preserve">S_missing</x:t>
  </x:si>
  <x:si>
    <x:t xml:space="preserve">Copepod Result rows</x:t>
  </x:si>
  <x:si>
    <x:t xml:space="preserve">Result Number is unique for every copepod row</x:t>
  </x:si>
  <x:si>
    <x:t xml:space="preserve">Some Test IDs contain multiple Result rows</x:t>
  </x:si>
  <x:si>
    <x:t xml:space="preserve">Unique copepod References</x:t>
  </x:si>
  <x:si>
    <x:t xml:space="preserve">Primary Result rows</x:t>
  </x:si>
  <x:si>
    <x:t xml:space="preserve">Confirmed point LC50 pool</x:t>
  </x:si>
  <x:si>
    <x:t xml:space="preserve">Primary Test Numbers</x:t>
  </x:si>
  <x:si>
    <x:t xml:space="preserve">Seven extra results occur inside counted tests</x:t>
  </x:si>
  <x:si>
    <x:t xml:space="preserve">Primary References</x:t>
  </x:si>
  <x:si>
    <x:t xml:space="preserve">Still not 66 fully independent observations</x:t>
  </x:si>
  <x:si>
    <x:t xml:space="preserve">Repeat-candidate groups ignoring Test/Result IDs</x:t>
  </x:si>
  <x:si>
    <x:t xml:space="preserve">Richer RAW(2) metadata dramatically reduces apparent duplicates</x:t>
  </x:si>
  <x:si>
    <x:t xml:space="preserve">Rows in repeat-candidate groups</x:t>
  </x:si>
  <x:si>
    <x:t xml:space="preserve">15/17 are Larrain repeated bioassays</x:t>
  </x:si>
  <x:si>
    <x:t xml:space="preserve">Primary Test IDs with &gt;1 Result</x:t>
  </x:si>
  <x:si>
    <x:t xml:space="preserve">Do not count every result as a separate test</x:t>
  </x:si>
  <x:si>
    <x:t xml:space="preserve">Pending Larrain Test IDs</x:t>
  </x:si>
  <x:si>
    <x:t xml:space="preserve">Three temperatures × six repeated bioassays</x:t>
  </x:si>
  <x:si>
    <x:t xml:space="preserve">Conclusion</x:t>
  </x:si>
  <x:si>
    <x:t xml:space="preserve">Keep Test and Result IDs; do not mechanically de-duplicate distinct Test IDs</x:t>
  </x:si>
  <x:si>
    <x:t xml:space="preserve">n_primary_results</x:t>
  </x:si>
  <x:si>
    <x:t xml:space="preserve">Result_Numbers</x:t>
  </x:si>
  <x:si>
    <x:t xml:space="preserve">Metal(s)</x:t>
  </x:si>
  <x:si>
    <x:t xml:space="preserve">Durations_days</x:t>
  </x:si>
  <x:si>
    <x:t xml:space="preserve">2175506, 2175507, 2175498</x:t>
  </x:si>
  <x:si>
    <x:t xml:space="preserve">4</x:t>
  </x:si>
  <x:si>
    <x:t xml:space="preserve">2249960, 2249959</x:t>
  </x:si>
  <x:si>
    <x:t xml:space="preserve">2, 3</x:t>
  </x:si>
  <x:si>
    <x:t xml:space="preserve">2262926, 2262925</x:t>
  </x:si>
  <x:si>
    <x:t xml:space="preserve">3, 4</x:t>
  </x:si>
  <x:si>
    <x:t xml:space="preserve">2781646, 2781647</x:t>
  </x:si>
  <x:si>
    <x:t xml:space="preserve">1, 2</x:t>
  </x:si>
  <x:si>
    <x:t xml:space="preserve">2781649, 2781650</x:t>
  </x:si>
  <x:si>
    <x:t xml:space="preserve">2781653, 2781652</x:t>
  </x:si>
  <x:si>
    <x:t xml:space="preserve">Step</x:t>
  </x:si>
  <x:si>
    <x:t xml:space="preserve">Status</x:t>
  </x:si>
  <x:si>
    <x:t xml:space="preserve">What we did</x:t>
  </x:si>
  <x:si>
    <x:t xml:space="preserve">Operational rule</x:t>
  </x:si>
  <x:si>
    <x:t xml:space="preserve">Why</x:t>
  </x:si>
  <x:si>
    <x:t xml:space="preserve">Observed result</x:t>
  </x:si>
  <x:si>
    <x:t xml:space="preserve">Method note</x:t>
  </x:si>
  <x:si>
    <x:t xml:space="preserve">DONE</x:t>
  </x:si>
  <x:si>
    <x:t xml:space="preserve">Adopted ECOTOX RAW(2) as authoritative raw export.</x:t>
  </x:si>
  <x:si>
    <x:t xml:space="preserve">Use the current 8-metal ECOTOX search frame as the sampling frame.</x:t>
  </x:si>
  <x:si>
    <x:t xml:space="preserve">Avoid mixing old and new raw exports.</x:t>
  </x:si>
  <x:si>
    <x:t xml:space="preserve">2299 raw results.</x:t>
  </x:si>
  <x:si>
    <x:t xml:space="preserve">Old raw files are historical cross-check only.</x:t>
  </x:si>
  <x:si>
    <x:t xml:space="preserve">Applied taxonomy screening offline.</x:t>
  </x:si>
  <x:si>
    <x:t xml:space="preserve">Retain Species Order = Calanoida, Harpacticoida or Cyclopoida.</x:t>
  </x:si>
  <x:si>
    <x:t xml:space="preserve">Crustaceans search contains many non-copepods.</x:t>
  </x:si>
  <x:si>
    <x:t xml:space="preserve">410 definite copepod Result rows.</x:t>
  </x:si>
  <x:si>
    <x:t xml:space="preserve">No outcome-based filtering.</x:t>
  </x:si>
  <x:si>
    <x:t xml:space="preserve">Reapplied locked eligibility/source/modifier rules to all 410 rows.</x:t>
  </x:si>
  <x:si>
    <x:t xml:space="preserve">Primary plain-metal point LC50s retained; deliberate DOM/UV/diet/food/organic-matter treatments secondary; predefined chemistry/censoring/validity problems excluded.</x:t>
  </x:si>
  <x:si>
    <x:t xml:space="preserve">Apply the same rule to previous PASS and HOLD records.</x:t>
  </x:si>
  <x:si>
    <x:t xml:space="preserve">295 primary + 56 secondary + 41 excluded + 18 Larrain pending.</x:t>
  </x:si>
  <x:si>
    <x:t xml:space="preserve">11 primary points are source-recovered (6 Nipper basis + 5 Kwok via Heuschele).</x:t>
  </x:si>
  <x:si>
    <x:t xml:space="preserve">Used ECOTOX Test Number and Result Number.</x:t>
  </x:si>
  <x:si>
    <x:t xml:space="preserve">Count Result rows, unique Test IDs and References separately.</x:t>
  </x:si>
  <x:si>
    <x:t xml:space="preserve">A row is not automatically an independent test or study.</x:t>
  </x:si>
  <x:si>
    <x:t xml:space="preserve">410 results = 401 tests = 72 refs; primary 295 = 288 tests = 66 refs.</x:t>
  </x:si>
  <x:si>
    <x:t xml:space="preserve">Reference-level clustering still matters.</x:t>
  </x:si>
  <x:si>
    <x:t xml:space="preserve">Re-ran apparent duplicate/repeat audit with rich metadata.</x:t>
  </x:si>
  <x:si>
    <x:t xml:space="preserve">Do not delete rows solely because non-ID fields match when Test/Result IDs differ.</x:t>
  </x:si>
  <x:si>
    <x:t xml:space="preserve">Previous reduced export hid test identity/treatments.</x:t>
  </x:si>
  <x:si>
    <x:t xml:space="preserve">Only 4 non-ID-identical groups / 17 rows; 15 are Larrain repeated bioassays.</x:t>
  </x:si>
  <x:si>
    <x:t xml:space="preserve">Earlier 52-'duplicate' interpretation is rejected.</x:t>
  </x:si>
  <x:si>
    <x:t xml:space="preserve">Audited environmental common support at unique-Test level.</x:t>
  </x:si>
  <x:si>
    <x:t xml:space="preserve">Describe temperature/salinity support before selecting calipers or environmental adjustment.</x:t>
  </x:si>
  <x:si>
    <x:t xml:space="preserve">Models cannot create overlap absent from the data.</x:t>
  </x:si>
  <x:si>
    <x:t xml:space="preserve">Temperature known in 233/295 primary results; salinity in 221/295.</x:t>
  </x:si>
  <x:si>
    <x:t xml:space="preserve">pH and other chemistry fields are much sparser; not automatic primary covariates.</x:t>
  </x:si>
  <x:si>
    <x:t xml:space="preserve">Identified exact within-reference matched multi-metal contexts.</x:t>
  </x:si>
  <x:si>
    <x:t xml:space="preserve">Same reference + species + stage + duration + temperature + salinity + exposure type; ≥2 metals.</x:t>
  </x:si>
  <x:si>
    <x:t xml:space="preserve">Matched evidence reduces study/matrix confounding.</x:t>
  </x:si>
  <x:si>
    <x:t xml:space="preserve">35 matched cells; Cd–Cu 18, Cd–Zn 7, Cu–Zn 6 strongest.</x:t>
  </x:si>
  <x:si>
    <x:t xml:space="preserve">High-value robustness/within-study evidence.</x:t>
  </x:si>
  <x:si>
    <x:t xml:space="preserve">Assigned analysis-specific metal roles.</x:t>
  </x:si>
  <x:si>
    <x:t xml:space="preserve">Use cleaned tests/refs, stage/order support, 96-h support, source dominance and matched evidence together.</x:t>
  </x:si>
  <x:si>
    <x:t xml:space="preserve">Do not force one metal panel into every analysis.</x:t>
  </x:si>
  <x:si>
    <x:t xml:space="preserve">Core: Cu, Cd, Zn. Ag secondary order/general. Cr(VI)/Hg exploratory-secondary. Ni/Pb descriptive.</x:t>
  </x:si>
  <x:si>
    <x:t xml:space="preserve">Stage contrast is strongest for Cu/Cd; Zn stage remains exploratory.</x:t>
  </x:si>
  <x:si>
    <x:t xml:space="preserve">Harmonized source-screened primary LC50s to target-metal molar scale for the core panel and all non-Cr metals.</x:t>
  </x:si>
  <x:si>
    <x:t xml:space="preserve">Use ECOTOX standardized target-metal concentration where appropriate; convert mass units to mg/L and then umol/L. Apply source-specific overrides where database unit display loses context; keep unresolved Cr(VI) compound-vs-ion basis pending.</x:t>
  </x:si>
  <x:si>
    <x:t xml:space="preserve">A common molar response is required before cross-metal graphics, but conversion must not invent comparability when concentration basis is unresolved.</x:t>
  </x:si>
  <x:si>
    <x:t xml:space="preserve">246/295 primary rows harmonized; all 186 Cu/Cd/Zn core rows are pairwise-ready; 49 Cr rows deliberately remain pending.</x:t>
  </x:si>
  <x:si>
    <x:t xml:space="preserve">OBrien Ref 2977 numeric M entries are interpreted from the source 10^-6 M scale. Nipper formulation records remain nominal Zn after source verification.</x:t>
  </x:si>
  <x:si>
    <x:t xml:space="preserve">Atomic_Weight_g_mol</x:t>
  </x:si>
  <x:si>
    <x:t xml:space="preserve">Basis_Interpretation</x:t>
  </x:si>
  <x:si>
    <x:t xml:space="preserve">LC50_target_mg_L</x:t>
  </x:si>
  <x:si>
    <x:t xml:space="preserve">LC50_umol_L</x:t>
  </x:si>
  <x:si>
    <x:t xml:space="preserve">ln_LC50_umol_L</x:t>
  </x:si>
  <x:si>
    <x:t xml:space="preserve">Harmonization_Status</x:t>
  </x:si>
  <x:si>
    <x:t xml:space="preserve">Harmonization_Rule</x:t>
  </x:si>
  <x:si>
    <x:t xml:space="preserve">Metal_Role</x:t>
  </x:si>
  <x:si>
    <x:t xml:space="preserve">Core_Pairwise_Ready</x:t>
  </x:si>
  <x:si>
    <x:t xml:space="preserve">Atomic weight (g/mol)</x:t>
  </x:si>
  <x:si>
    <x:t xml:space="preserve">Primary conversion rule</x:t>
  </x:si>
  <x:si>
    <x:t xml:space="preserve">Status in current v02</x:t>
  </x:si>
  <x:si>
    <x:t xml:space="preserve">Source / rationale</x:t>
  </x:si>
  <x:si>
    <x:t xml:space="preserve">Source</x:t>
  </x:si>
  <x:si>
    <x:t xml:space="preserve">URL / identifier</x:t>
  </x:si>
  <x:si>
    <x:t xml:space="preserve">Use target-metal concentration; convert mass units to mg/L then umol/L. Ref 2977 is a source-specific microM override.</x:t>
  </x:si>
  <x:si>
    <x:t xml:space="preserve">HARMONIZED</x:t>
  </x:si>
  <x:si>
    <x:t xml:space="preserve">EPA ECOTOX User Guide + OBrien 1988 full text</x:t>
  </x:si>
  <x:si>
    <x:t xml:space="preserve">EPA ECOTOX User Guide 5.3</x:t>
  </x:si>
  <x:si>
    <x:t xml:space="preserve">https://nepis.epa.gov/Exe/ZyPURL.cgi?Dockey=P100YSO7.TXT</x:t>
  </x:si>
  <x:si>
    <x:t xml:space="preserve">Use target-metal standardized concentration; mass-to-molar conversion.</x:t>
  </x:si>
  <x:si>
    <x:t xml:space="preserve">EPA ECOTOX User Guide</x:t>
  </x:si>
  <x:si>
    <x:t xml:space="preserve">EPA ECOTOX Resource Hub</x:t>
  </x:si>
  <x:si>
    <x:t xml:space="preserve">https://www.epa.gov/comptox-tools/ecotoxicology-ecotox-knowledgebase-resource-hub</x:t>
  </x:si>
  <x:si>
    <x:t xml:space="preserve">Use target-metal standardized concentration; Nipper formulation records retained as nominal Zn after source check.</x:t>
  </x:si>
  <x:si>
    <x:t xml:space="preserve">EPA ECOTOX User Guide + Nipper 1993</x:t>
  </x:si>
  <x:si>
    <x:t xml:space="preserve">Nipper et al. 1993</x:t>
  </x:si>
  <x:si>
    <x:t xml:space="preserve">https://doi.org/10.1007/BF00201007</x:t>
  </x:si>
  <x:si>
    <x:t xml:space="preserve">Use target-metal standardized concentration; nM converts directly to 0.001 umol/L per nM.</x:t>
  </x:si>
  <x:si>
    <x:t xml:space="preserve">Kwok et al. 2008</x:t>
  </x:si>
  <x:si>
    <x:t xml:space="preserve">https://doi.org/10.1016/j.marpolbul.2008.03.026</x:t>
  </x:si>
  <x:si>
    <x:t xml:space="preserve">Do not finalize conversion yet: chromate/dichromate studies require source-by-source compound-vs-Cr basis resolution.</x:t>
  </x:si>
  <x:si>
    <x:t xml:space="preserve">PENDING</x:t>
  </x:si>
  <x:si>
    <x:t xml:space="preserve">Larrain/Dave source audit showed compound-mass reporting can occur</x:t>
  </x:si>
  <x:si>
    <x:t xml:space="preserve">Monteiro et al. 2013</x:t>
  </x:si>
  <x:si>
    <x:t xml:space="preserve">https://doi.org/10.1002/etc.2197</x:t>
  </x:si>
  <x:si>
    <x:t xml:space="preserve">Important note</x:t>
  </x:si>
  <x:si>
    <x:t xml:space="preserve">ECOTOX guidance states metal-salt concentrations are generally expressed as active ion after standardization; original sources remain necessary when source evidence conflicts with database coding.</x:t>
  </x:si>
  <x:si>
    <x:t xml:space="preserve">OBrien 1988</x:t>
  </x:si>
  <x:si>
    <x:t xml:space="preserve">Local full text in project files; source reports total dissolved Cu and table values on a 10^-6 M scale.</x:t>
  </x:si>
  <x:si>
    <x:t xml:space="preserve">Cr rule</x:t>
  </x:si>
  <x:si>
    <x:t xml:space="preserve">Held pending because prior source audit identified K2Cr2O7 compound-mass reporting in some Cr(VI) studies.</x:t>
  </x:si>
  <x:si>
    <x:t xml:space="preserve">Unit in Analysis_Units</x:t>
  </x:si>
  <x:si>
    <x:t xml:space="preserve">Conversion</x:t>
  </x:si>
  <x:si>
    <x:t xml:space="preserve">mass concentration</x:t>
  </x:si>
  <x:si>
    <x:t xml:space="preserve">mg/L = value / 1000</x:t>
  </x:si>
  <x:si>
    <x:t xml:space="preserve">standardized aqueous equivalent</x:t>
  </x:si>
  <x:si>
    <x:t xml:space="preserve">mg/L = value</x:t>
  </x:si>
  <x:si>
    <x:t xml:space="preserve">nanomolar target metal</x:t>
  </x:si>
  <x:si>
    <x:t xml:space="preserve">umol/L = value / 1000</x:t>
  </x:si>
  <x:si>
    <x:t xml:space="preserve">M with Ref 2977</x:t>
  </x:si>
  <x:si>
    <x:t xml:space="preserve">source table is expressed as x10^-6 M</x:t>
  </x:si>
  <x:si>
    <x:t xml:space="preserve">umol/L = numeric value directly</x:t>
  </x:si>
  <x:si>
    <x:t xml:space="preserve">Meaning</x:t>
  </x:si>
  <x:si>
    <x:t xml:space="preserve">Decision</x:t>
  </x:si>
  <x:si>
    <x:t xml:space="preserve">Primary rows</x:t>
  </x:si>
  <x:si>
    <x:t xml:space="preserve">Current source-screened primary records</x:t>
  </x:si>
  <x:si>
    <x:t xml:space="preserve">Starting set</x:t>
  </x:si>
  <x:si>
    <x:t xml:space="preserve">Harmonized rows</x:t>
  </x:si>
  <x:si>
    <x:t xml:space="preserve">Rows with finalized molar conversion</x:t>
  </x:si>
  <x:si>
    <x:t xml:space="preserve">Usable for molar plots/analyses</x:t>
  </x:si>
  <x:si>
    <x:t xml:space="preserve">Cr pending</x:t>
  </x:si>
  <x:si>
    <x:t xml:space="preserve">Cr rows intentionally not converted</x:t>
  </x:si>
  <x:si>
    <x:t xml:space="preserve">Secondary Cr work waits for source-basis audit</x:t>
  </x:si>
  <x:si>
    <x:t xml:space="preserve">Core Cu/Cd/Zn rows</x:t>
  </x:si>
  <x:si>
    <x:t xml:space="preserve">Core panel results</x:t>
  </x:si>
  <x:si>
    <x:t xml:space="preserve">Primary pairwise pool</x:t>
  </x:si>
  <x:si>
    <x:t xml:space="preserve">Core pairwise ready</x:t>
  </x:si>
  <x:si>
    <x:t xml:space="preserve">Core rows with finalized molar response</x:t>
  </x:si>
  <x:si>
    <x:t xml:space="preserve">Ready for first pairwise graphics</x:t>
  </x:si>
  <x:si>
    <x:t xml:space="preserve">OBrien source override</x:t>
  </x:si>
  <x:si>
    <x:t xml:space="preserve">Rows interpreted from 10^-6 M source scale</x:t>
  </x:si>
  <x:si>
    <x:t xml:space="preserve">Prevents six-order-of-magnitude unit error</x:t>
  </x:si>
  <x:si>
    <x:t xml:space="preserve">Nipper formulation records</x:t>
  </x:si>
  <x:si>
    <x:t xml:space="preserve">Source-verified nominal Zn formulation-coded rows</x:t>
  </x:si>
  <x:si>
    <x:t xml:space="preserve">Retained as target Zn</x:t>
  </x:si>
  <x:si>
    <x:t xml:space="preserve">Source-recovered primary</x:t>
  </x:si>
  <x:si>
    <x:t xml:space="preserve">Nipper/Kwok recovery provenance</x:t>
  </x:si>
  <x:si>
    <x:t xml:space="preserve">Kept visibly separate</x:t>
  </x:si>
  <x:si>
    <x:t xml:space="preserve">Rows</x:t>
  </x:si>
  <x:si>
    <x:t xml:space="preserve">Harmonized</x:t>
  </x:si>
  <x:si>
    <x:t xml:space="preserve">Mean ln LC50 (where harmonized)</x:t>
  </x:si>
  <x:si>
    <x:t xml:space="preserve">Role</x:t>
  </x:si>
  <x:si>
    <x:t xml:space="preserve">Comment</x:t>
  </x:si>
  <x:si>
    <x:t xml:space="preserve">Core; OBrien rows use source-specific microM rule.</x:t>
  </x:si>
  <x:si>
    <x:t xml:space="preserve">Core; direct target-metal conversion.</x:t>
  </x:si>
  <x:si>
    <x:t xml:space="preserve">Core general/order; Nipper formulation rows source-resolved.</x:t>
  </x:si>
  <x:si>
    <x:t xml:space="preserve">SECONDARY</x:t>
  </x:si>
  <x:si>
    <x:t xml:space="preserve">Secondary; molar conversion available.</x:t>
  </x:si>
  <x:si>
    <x:t xml:space="preserve">Held pending source-specific compound-vs-Cr basis.</x:t>
  </x:si>
  <x:si>
    <x:t xml:space="preserve">Exploratory; molar conversion available.</x:t>
  </x:si>
  <x:si>
    <x:t xml:space="preserve">Descriptive; molar conversion available.</x:t>
  </x:si>
  <x:si>
    <x:t xml:space="preserve">What are you doing?</x:t>
  </x:si>
  <x:si>
    <x:t xml:space="preserve">Excel version (plain language)</x:t>
  </x:si>
  <x:si>
    <x:t xml:space="preserve">R version (concept)</x:t>
  </x:si>
  <x:si>
    <x:t xml:space="preserve">Decision / check</x:t>
  </x:si>
  <x:si>
    <x:t xml:space="preserve">Expected output</x:t>
  </x:si>
  <x:si>
    <x:t xml:space="preserve">Protect the raw export</x:t>
  </x:si>
  <x:si>
    <x:t xml:space="preserve">Keep ECOTOX RAW(2) unchanged. Make a copy or a new working sheet. Never delete rows from the raw sheet.</x:t>
  </x:si>
  <x:si>
    <x:t xml:space="preserve">raw &lt;- readxl::read_excel("ECOTOX RAW(2).xlsx", sheet="Aquatic-Export")</x:t>
  </x:si>
  <x:si>
    <x:t xml:space="preserve">Search parameters and raw row count must match the archived export.</x:t>
  </x:si>
  <x:si>
    <x:t xml:space="preserve">Immutable raw master</x:t>
  </x:si>
  <x:si>
    <x:t xml:space="preserve">Select definite copepods</x:t>
  </x:si>
  <x:si>
    <x:t xml:space="preserve">Filter Species Order to Calanoida, Harpacticoida, Cyclopoida. Copy the visible rows to a new sheet; do not edit the raw sheet.</x:t>
  </x:si>
  <x:si>
    <x:t xml:space="preserve">copepod &lt;- raw |&gt; dplyr::filter(`Species Order` %in% c("Calanoida","Harpacticoida","Cyclopoida"))</x:t>
  </x:si>
  <x:si>
    <x:t xml:space="preserve">No LC50 result is used to decide taxonomy.</x:t>
  </x:si>
  <x:si>
    <x:t xml:space="preserve">410 copepod Result rows</x:t>
  </x:si>
  <x:si>
    <x:t xml:space="preserve">Build a row identifier</x:t>
  </x:si>
  <x:si>
    <x:t xml:space="preserve">Keep Reference Number + Test Number + Result Number as three separate columns.</x:t>
  </x:si>
  <x:si>
    <x:t xml:space="preserve">mutate(record_key=paste(Reference_Number,Test_Number,Result_Number,sep="|"))</x:t>
  </x:si>
  <x:si>
    <x:t xml:space="preserve">Never treat row count as study count.</x:t>
  </x:si>
  <x:si>
    <x:t xml:space="preserve">Traceable Reference-Test-Result structure</x:t>
  </x:si>
  <x:si>
    <x:t xml:space="preserve">Apply automatic protocol exclusions</x:t>
  </x:si>
  <x:si>
    <x:t xml:space="preserve">Use helper columns/filters for ZnO, zinc pyrithione, leaching, censored &gt;/&lt; and other already-defined rules. Mark status; do not physically delete.</x:t>
  </x:si>
  <x:si>
    <x:t xml:space="preserve">mutate(status=case_when(...))</x:t>
  </x:si>
  <x:si>
    <x:t xml:space="preserve">Rules must be defined before looking at metal-effect results.</x:t>
  </x:si>
  <x:si>
    <x:t xml:space="preserve">Preliminary PRIMARY / SECONDARY / EXCLUDE / HOLD labels</x:t>
  </x:si>
  <x:si>
    <x:t xml:space="preserve">Apply source decisions</x:t>
  </x:si>
  <x:si>
    <x:t xml:space="preserve">Create a small source-decision table keyed by Reference Number (and when needed Test/Result). Use XLOOKUP to bring the decision into the working table.</x:t>
  </x:si>
  <x:si>
    <x:t xml:space="preserve">decisions &lt;- read_excel("source_decisions.xlsx"); data &lt;- left_join(data,decisions,by=...)</x:t>
  </x:si>
  <x:si>
    <x:t xml:space="preserve">A source rule must apply consistently to all corresponding rows/treatments.</x:t>
  </x:si>
  <x:si>
    <x:t xml:space="preserve">Nipper/Kwok recovery, modifier splits, source exclusions</x:t>
  </x:si>
  <x:si>
    <x:t xml:space="preserve">Separate deliberate modifiers</x:t>
  </x:si>
  <x:si>
    <x:t xml:space="preserve">Flag DOM-added, UV, special diet/nutrition, food-factor and similar study-specific modifier arms as SECONDARY; keep baseline/control-type arms primary when identifiable.</x:t>
  </x:si>
  <x:si>
    <x:t xml:space="preserve">mutate(primary = if_else(deliberate_modifier, FALSE, primary))</x:t>
  </x:si>
  <x:si>
    <x:t xml:space="preserve">Temperature/salinity/routine protocol are not automatically treated as modifiers.</x:t>
  </x:si>
  <x:si>
    <x:t xml:space="preserve">56 secondary modifier rows</x:t>
  </x:si>
  <x:si>
    <x:t xml:space="preserve">Audit duplicates and dependence</x:t>
  </x:si>
  <x:si>
    <x:t xml:space="preserve">Sort/group by Test Number and Result Number. Use COUNTIF/PivotTable to see how many Results per Test and Tests per Reference.</x:t>
  </x:si>
  <x:si>
    <x:t xml:space="preserve">count(data,Reference_Number,Test_Number); distinct(Test_Number); distinct(Result_Number)</x:t>
  </x:si>
  <x:si>
    <x:t xml:space="preserve">Same-looking rows are not duplicates if Test/Result IDs show distinct tests/results.</x:t>
  </x:si>
  <x:si>
    <x:t xml:space="preserve">410 results / 401 tests; primary 295 / 288 tests</x:t>
  </x:si>
  <x:si>
    <x:t xml:space="preserve">Summarize evidence by metal</x:t>
  </x:si>
  <x:si>
    <x:t xml:space="preserve">PivotTable: Metal in rows; Count of Result, distinct Test, distinct Reference, distinct Species; repeat for Stage and Order.</x:t>
  </x:si>
  <x:si>
    <x:t xml:space="preserve">group_by(Metal) |&gt; summarise(n_result=n(), n_test=n_distinct(Test_Number), n_ref=n_distinct(Reference_Number), n_species=n_distinct(Species))</x:t>
  </x:si>
  <x:si>
    <x:t xml:space="preserve">Metal selection uses independent structure and subgroup support, not raw n alone.</x:t>
  </x:si>
  <x:si>
    <x:t xml:space="preserve">Core panel decision: Cu/Cd/Zn</x:t>
  </x:si>
  <x:si>
    <x:t xml:space="preserve">Find exact within-study metal matches</x:t>
  </x:si>
  <x:si>
    <x:t xml:space="preserve">Create a context key from Reference + Species + Stage + Duration + Temperature + Salinity + Exposure Type. Count distinct metals within each key.</x:t>
  </x:si>
  <x:si>
    <x:t xml:space="preserve">group_by(Reference,Species,Stage,Duration,Temperature,Salinity,Exposure_Type) |&gt; filter(n_distinct(Metal)&gt;=2)</x:t>
  </x:si>
  <x:si>
    <x:t xml:space="preserve">This is a strict first-pass matched definition; later chemistry and tolerance rules can refine it.</x:t>
  </x:si>
  <x:si>
    <x:t xml:space="preserve">35 exact multi-metal contexts</x:t>
  </x:si>
  <x:si>
    <x:t xml:space="preserve">Check common support</x:t>
  </x:si>
  <x:si>
    <x:t xml:space="preserve">Use PivotTables/scatterplots for Temperature and Salinity by Metal and count missing values.</x:t>
  </x:si>
  <x:si>
    <x:t xml:space="preserve">summarise missingness; plot distributions by Metal</x:t>
  </x:si>
  <x:si>
    <x:t xml:space="preserve">Do not choose a matching caliper before seeing overlap and independent support.</x:t>
  </x:si>
  <x:si>
    <x:t xml:space="preserve">Temperature 79%, salinity 75% observed in primary</x:t>
  </x:si>
  <x:si>
    <x:t xml:space="preserve">Harmonize LC50 units</x:t>
  </x:si>
  <x:si>
    <x:t xml:space="preserve">Use a lookup table for atomic weights. Convert ug/L or ppb to mg/L (/1000), mg/L or ppm as-is, then umol/L = mg/L*1000/atomic weight.</x:t>
  </x:si>
  <x:si>
    <x:t xml:space="preserve">left_join atomic weights; mutate(LC50_umol_L=...)</x:t>
  </x:si>
  <x:si>
    <x:t xml:space="preserve">Special source rules override generic unit labels. Cr remains pending if compound-vs-ion basis is unresolved.</x:t>
  </x:si>
  <x:si>
    <x:t xml:space="preserve">246 harmonized primary rows; 186 core rows ready</x:t>
  </x:si>
  <x:si>
    <x:t xml:space="preserve">Special OBrien correction</x:t>
  </x:si>
  <x:si>
    <x:t xml:space="preserve">For Reference 2977, treat the numeric values 0.3–12 as values on the source table 10^-6 M scale, i.e. directly as umol Cu/L.</x:t>
  </x:si>
  <x:si>
    <x:t xml:space="preserve">if_else(Reference_Number==2977, Analysis_Point, generic_conversion)</x:t>
  </x:si>
  <x:si>
    <x:t xml:space="preserve">Without this source check the raw “M” display would create a million-fold error.</x:t>
  </x:si>
  <x:si>
    <x:t xml:space="preserve">13 Cu life-stage rows correctly harmonized</x:t>
  </x:si>
  <x:si>
    <x:t xml:space="preserve">Create analysis response</x:t>
  </x:si>
  <x:si>
    <x:t xml:space="preserve">Add ln(LC50_umol_L) only after positive molar LC50 is available.</x:t>
  </x:si>
  <x:si>
    <x:t xml:space="preserve">mutate(ln_LC50=log(LC50_umol_L))</x:t>
  </x:si>
  <x:si>
    <x:t xml:space="preserve">Log response is for plots/models later; it is not an inclusion criterion.</x:t>
  </x:si>
  <x:si>
    <x:t xml:space="preserve">Analysis-ready response variable</x:t>
  </x:si>
</x:sst>
</file>

<file path=xl/styles.xml><?xml version="1.0" encoding="utf-8"?>
<x:styleSheet xmlns:x="http://schemas.openxmlformats.org/spreadsheetml/2006/main">
  <x:numFmts count="5">
    <x:numFmt numFmtId="164" formatCode="0.0%"/>
    <x:numFmt numFmtId="165" formatCode="0.0000"/>
    <x:numFmt numFmtId="166" formatCode="0.000000"/>
    <x:numFmt numFmtId="167" formatCode="0.000"/>
    <x:numFmt numFmtId="200" formatCode="0"/>
  </x:numFmts>
  <x:fonts count="9">
    <x:font>
      <x:sz val="11"/>
      <x:name val="Carlito"/>
    </x:font>
    <x:font>
      <x:b/>
      <x:sz val="14"/>
      <x:color rgb="FFFFFFFF"/>
      <x:name val="Carlito"/>
    </x:font>
    <x:font>
      <x:b/>
      <x:sz val="11"/>
      <x:color rgb="FFFFFFFF"/>
      <x:name val="Carlito"/>
    </x:font>
    <x:font>
      <x:b/>
      <x:sz val="11"/>
      <x:name val="Carlito"/>
    </x:font>
    <x:font>
      <x:sz val="10"/>
      <x:name val="Arial Unicode MS"/>
    </x:font>
    <x:font>
      <x:sz val="11"/>
      <x:name val="Calibri"/>
    </x:font>
    <x:font>
      <x:sz val="10"/>
      <x:name val="Calibri"/>
    </x:font>
    <x:font>
      <x:b/>
      <x:sz val="14"/>
      <x:color rgb="FFFFFFFF"/>
      <x:name val="Calibri"/>
    </x:font>
    <x:font>
      <x:b/>
      <x:sz val="10"/>
      <x:name val="Calibri"/>
    </x:font>
  </x:fonts>
  <x:fills count="10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5B9BD5"/>
      </x:patternFill>
    </x:fill>
    <x:fill>
      <x:patternFill patternType="solid">
        <x:fgColor rgb="FF70AD47"/>
      </x:patternFill>
    </x:fill>
    <x:fill>
      <x:patternFill patternType="solid">
        <x:fgColor rgb="FFA5A5A5"/>
      </x:patternFill>
    </x:fill>
    <x:fill>
      <x:patternFill patternType="solid">
        <x:fgColor rgb="FF1F4E78"/>
      </x:patternFill>
    </x:fill>
    <x:fill>
      <x:patternFill patternType="solid">
        <x:fgColor rgb="FF1F4E78"/>
      </x:patternFill>
    </x:fill>
    <x:fill>
      <x:patternFill patternType="solid">
        <x:fgColor rgb="FF173A4B"/>
      </x:patternFill>
    </x:fill>
    <x:fill>
      <x:patternFill patternType="solid">
        <x:fgColor rgb="FFDFEAF0"/>
      </x:patternFill>
    </x:fill>
  </x:fills>
  <x:borders count="2">
    <x:border/>
    <x:border/>
  </x:borders>
  <x:cellStyleXfs count="1">
    <x:xf numFmtId="0" fontId="0" fillId="0" borderId="0"/>
  </x:cellStyleXfs>
  <x:cellXfs count="57">
    <x:xf numFmtId="0" fontId="0" fillId="0" borderId="0" xfId="0"/>
    <x:xf numFmtId="0" fontId="2" fillId="3" borderId="0" xfId="0" applyFont="1" applyFill="1"/>
    <x:xf numFmtId="0" fontId="0" fillId="0" borderId="0" xfId="0" applyAlignment="1">
      <x:alignment wrapText="1"/>
    </x:xf>
    <x:xf numFmtId="0" fontId="2" fillId="4" borderId="0" xfId="0" applyFont="1" applyFill="1"/>
    <x:xf numFmtId="0" fontId="2" fillId="3" borderId="0" xfId="0" applyFont="1" applyFill="1" applyAlignment="1">
      <x:alignment wrapText="1"/>
    </x:xf>
    <x:xf numFmtId="0" fontId="2" fillId="3" borderId="0" xfId="0" applyFont="1" applyFill="1" applyAlignment="1">
      <x:alignment horizontal="center" wrapText="1"/>
    </x:xf>
    <x:xf numFmtId="0" fontId="2" fillId="4" borderId="0" xfId="0" applyFont="1" applyFill="1" applyAlignment="1">
      <x:alignment horizontal="center" wrapText="1"/>
    </x:xf>
    <x:xf numFmtId="164" fontId="0" fillId="0" borderId="0" xfId="0" applyNumberFormat="1"/>
    <x:xf numFmtId="0" fontId="2" fillId="5" borderId="0" xfId="0" applyFont="1" applyFill="1"/>
    <x:xf numFmtId="0" fontId="2" fillId="2" borderId="0" xfId="0" applyFont="1" applyFill="1" applyAlignment="1">
      <x:alignment wrapText="1"/>
    </x:xf>
    <x:xf numFmtId="0" fontId="2" fillId="6" borderId="0" xfId="0" applyFont="1" applyFill="1" applyAlignment="1">
      <x:alignment horizontal="center" vertical="center" wrapText="1"/>
    </x:xf>
    <x:xf numFmtId="165" fontId="0" fillId="0" borderId="0" xfId="0" applyNumberFormat="1" applyAlignment="1">
      <x:alignment wrapText="1"/>
    </x:xf>
    <x:xf numFmtId="166" fontId="0" fillId="0" borderId="0" xfId="0" applyNumberFormat="1" applyAlignment="1">
      <x:alignment wrapText="1"/>
    </x:xf>
    <x:xf numFmtId="167" fontId="0" fillId="0" borderId="0" xfId="0" applyNumberFormat="1" applyAlignment="1">
      <x:alignment wrapText="1"/>
    </x:xf>
    <x:xf numFmtId="0" fontId="2" fillId="7" borderId="0" xfId="0" applyFont="1" applyFill="1" applyAlignment="1">
      <x:alignment horizontal="center" vertical="center" wrapText="1"/>
    </x:xf>
    <x:xf numFmtId="0" fontId="1" fillId="2" borderId="0" xfId="0" applyFont="1" applyFill="1" applyAlignment="1">
      <x:alignment horizontal="center"/>
    </x:xf>
    <x:xf numFmtId="0" fontId="3" fillId="0" borderId="0" xfId="0" applyFont="1" applyAlignment="1">
      <x:alignment horizontal="center" vertical="center" wrapText="1"/>
    </x:xf>
    <x:xf numFmtId="0" fontId="0" fillId="0" borderId="0" xfId="0" applyAlignment="1">
      <x:alignment vertical="center" wrapText="1"/>
    </x:xf>
    <x:xf numFmtId="0" fontId="4" fillId="0" borderId="0" xfId="0" applyFont="1" applyAlignment="1">
      <x:alignment vertical="center" wrapText="1"/>
    </x:xf>
    <x:xf numFmtId="0" fontId="0" fillId="0" borderId="1" xfId="0" applyNumberFormat="1" applyFont="1" applyFill="1" applyBorder="1"/>
    <x:xf numFmtId="0" fontId="2" fillId="3" borderId="1" xfId="0" applyNumberFormat="1" applyFont="1" applyFill="1" applyBorder="1"/>
    <x:xf numFmtId="0" fontId="0" fillId="0" borderId="1" xfId="0" applyNumberFormat="1" applyFont="1" applyFill="1" applyBorder="1" applyAlignment="1">
      <x:alignment wrapText="1"/>
    </x:xf>
    <x:xf numFmtId="0" fontId="2" fillId="4" borderId="1" xfId="0" applyNumberFormat="1" applyFont="1" applyFill="1" applyBorder="1"/>
    <x:xf numFmtId="0" fontId="2" fillId="3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horizontal="center" wrapText="1"/>
    </x:xf>
    <x:xf numFmtId="0" fontId="2" fillId="4" borderId="1" xfId="0" applyNumberFormat="1" applyFont="1" applyFill="1" applyBorder="1" applyAlignment="1">
      <x:alignment horizontal="center" wrapText="1"/>
    </x:xf>
    <x:xf numFmtId="164" fontId="0" fillId="0" borderId="1" xfId="0" applyNumberFormat="1" applyFont="1" applyFill="1" applyBorder="1"/>
    <x:xf numFmtId="0" fontId="2" fillId="5" borderId="1" xfId="0" applyNumberFormat="1" applyFont="1" applyFill="1" applyBorder="1"/>
    <x:xf numFmtId="0" fontId="2" fillId="2" borderId="1" xfId="0" applyNumberFormat="1" applyFont="1" applyFill="1" applyBorder="1" applyAlignment="1">
      <x:alignment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165" fontId="0" fillId="0" borderId="1" xfId="0" applyNumberFormat="1" applyFont="1" applyFill="1" applyBorder="1" applyAlignment="1">
      <x:alignment wrapText="1"/>
    </x:xf>
    <x:xf numFmtId="166" fontId="0" fillId="0" borderId="1" xfId="0" applyNumberFormat="1" applyFont="1" applyFill="1" applyBorder="1" applyAlignment="1">
      <x:alignment wrapText="1"/>
    </x:xf>
    <x:xf numFmtId="167" fontId="0" fillId="0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/>
    </x:xf>
    <x:xf numFmtId="0" fontId="3" fillId="0" borderId="1" xfId="0" applyNumberFormat="1" applyFont="1" applyFill="1" applyBorder="1" applyAlignment="1">
      <x:alignment horizontal="center" vertical="center" wrapText="1"/>
    </x:xf>
    <x:xf numFmtId="0" fontId="0" fillId="0" borderId="1" xfId="0" applyNumberFormat="1" applyFont="1" applyFill="1" applyBorder="1" applyAlignment="1">
      <x:alignment vertical="center" wrapText="1"/>
    </x:xf>
    <x:xf numFmtId="0" fontId="4" fillId="0" borderId="1" xfId="0" applyNumberFormat="1" applyFont="1" applyFill="1" applyBorder="1" applyAlignment="1">
      <x:alignment vertical="center" wrapText="1"/>
    </x:xf>
    <x:xf numFmtId="0" fontId="5" fillId="0" borderId="0" xfId="0" applyNumberFormat="1" applyFont="1" applyFill="1" applyBorder="1"/>
    <x:xf numFmtId="0" fontId="5" fillId="0" borderId="1" xfId="0" applyNumberFormat="1" applyFont="1" applyFill="1" applyBorder="1"/>
    <x:xf numFmtId="0" fontId="6" fillId="0" borderId="0" xfId="0" applyNumberFormat="1" applyFont="1" applyFill="1" applyBorder="1"/>
    <x:xf numFmtId="0" fontId="6" fillId="0" borderId="1" xfId="0" applyNumberFormat="1" applyFont="1" applyFill="1" applyBorder="1"/>
    <x:xf numFmtId="0" fontId="6" fillId="8" borderId="0" xfId="0" applyNumberFormat="1" applyFont="1" applyFill="1" applyBorder="1"/>
    <x:xf numFmtId="0" fontId="7" fillId="8" borderId="0" xfId="0" applyNumberFormat="1" applyFont="1" applyFill="1" applyBorder="1"/>
    <x:xf numFmtId="0" fontId="6" fillId="8" borderId="1" xfId="0" applyNumberFormat="1" applyFont="1" applyFill="1" applyBorder="1"/>
    <x:xf numFmtId="0" fontId="7" fillId="8" borderId="1" xfId="0" applyNumberFormat="1" applyFont="1" applyFill="1" applyBorder="1"/>
    <x:xf numFmtId="0" fontId="6" fillId="0" borderId="0" xfId="0" applyNumberFormat="1" applyFont="1" applyFill="1" applyBorder="1" applyAlignment="1">
      <x:alignment wrapText="1"/>
    </x:xf>
    <x:xf numFmtId="0" fontId="6" fillId="0" borderId="1" xfId="0" applyNumberFormat="1" applyFont="1" applyFill="1" applyBorder="1" applyAlignment="1">
      <x:alignment wrapText="1"/>
    </x:xf>
    <x:xf numFmtId="0" fontId="6" fillId="9" borderId="0" xfId="0" applyNumberFormat="1" applyFont="1" applyFill="1" applyBorder="1"/>
    <x:xf numFmtId="0" fontId="8" fillId="9" borderId="0" xfId="0" applyNumberFormat="1" applyFont="1" applyFill="1" applyBorder="1"/>
    <x:xf numFmtId="0" fontId="8" fillId="9" borderId="0" xfId="0" applyNumberFormat="1" applyFont="1" applyFill="1" applyBorder="1" applyAlignment="1">
      <x:alignment wrapText="1"/>
    </x:xf>
    <x:xf numFmtId="0" fontId="6" fillId="9" borderId="1" xfId="0" applyNumberFormat="1" applyFont="1" applyFill="1" applyBorder="1"/>
    <x:xf numFmtId="0" fontId="8" fillId="9" borderId="1" xfId="0" applyNumberFormat="1" applyFont="1" applyFill="1" applyBorder="1"/>
    <x:xf numFmtId="0" fontId="8" fillId="9" borderId="1" xfId="0" applyNumberFormat="1" applyFont="1" applyFill="1" applyBorder="1" applyAlignment="1">
      <x:alignment wrapText="1"/>
    </x:xf>
    <x:xf numFmtId="167" fontId="6" fillId="0" borderId="0" xfId="0" applyNumberFormat="1" applyFont="1" applyFill="1" applyBorder="1" applyAlignment="1">
      <x:alignment wrapText="1"/>
    </x:xf>
    <x:xf numFmtId="167" fontId="6" fillId="0" borderId="1" xfId="0" applyNumberFormat="1" applyFont="1" applyFill="1" applyBorder="1" applyAlignment="1">
      <x:alignment wrapText="1"/>
    </x:xf>
    <x:xf numFmtId="200" fontId="6" fillId="0" borderId="0" xfId="0" applyNumberFormat="1" applyFont="1" applyFill="1" applyBorder="1" applyAlignment="1">
      <x:alignment wrapText="1"/>
    </x:xf>
    <x:xf numFmtId="200" fontId="6" fillId="0" borderId="1" xfId="0" applyNumberFormat="1" applyFont="1" applyFill="1" applyBorder="1" applyAlignment="1">
      <x:alignment wrapText="1"/>
    </x:xf>
  </x:cellXfs>
  <x:cellStyles count="1">
    <x:cellStyle name="Normal" xfId="0"/>
  </x:cellStyles>
  <x:dxfs count="3">
    <x:dxf>
      <x:fill>
        <x:patternFill>
          <x:bgColor rgb="FFE2F0D9"/>
        </x:patternFill>
      </x:fill>
    </x:dxf>
    <x:dxf>
      <x:fill>
        <x:patternFill>
          <x:bgColor rgb="FFE2F0D9"/>
        </x:patternFill>
      </x:fill>
    </x:dxf>
    <x:dxf>
      <x:fill>
        <x:patternFill>
          <x:bgColor rgb="FFFFF2CC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c0419f395cfb4590" /><Relationship Type="http://schemas.openxmlformats.org/officeDocument/2006/relationships/theme" Target="/xl/theme/theme1.xml" Id="Raa3ebb0223094966" /><Relationship Type="http://schemas.openxmlformats.org/officeDocument/2006/relationships/sharedStrings" Target="/xl/sharedStrings.xml" Id="R4dc263b0285d46bb" /><Relationship Type="http://schemas.openxmlformats.org/officeDocument/2006/relationships/worksheet" Target="/xl/worksheets/sheet1.xml" Id="R6d383c66ba0d46cc" /><Relationship Type="http://schemas.openxmlformats.org/officeDocument/2006/relationships/worksheet" Target="/xl/worksheets/sheet2.xml" Id="R99bbb64fdbfb4220" /><Relationship Type="http://schemas.openxmlformats.org/officeDocument/2006/relationships/worksheet" Target="/xl/worksheets/sheet3.xml" Id="R4b0034bfe1604761" /><Relationship Type="http://schemas.openxmlformats.org/officeDocument/2006/relationships/worksheet" Target="/xl/worksheets/sheet4.xml" Id="R408c53b0e8cc4c2a" /><Relationship Type="http://schemas.openxmlformats.org/officeDocument/2006/relationships/worksheet" Target="/xl/worksheets/sheet5.xml" Id="R232e816250304a43" /><Relationship Type="http://schemas.openxmlformats.org/officeDocument/2006/relationships/worksheet" Target="/xl/worksheets/sheet6.xml" Id="R41870a2ebb6645fa" /><Relationship Type="http://schemas.openxmlformats.org/officeDocument/2006/relationships/worksheet" Target="/xl/worksheets/sheet7.xml" Id="R73ca16ff8e3b4160" /><Relationship Type="http://schemas.openxmlformats.org/officeDocument/2006/relationships/worksheet" Target="/xl/worksheets/sheet8.xml" Id="R043108476d4c479f" /><Relationship Type="http://schemas.openxmlformats.org/officeDocument/2006/relationships/worksheet" Target="/xl/worksheets/sheet9.xml" Id="Rb93d083d762a480a" /><Relationship Type="http://schemas.openxmlformats.org/officeDocument/2006/relationships/worksheet" Target="/xl/worksheets/sheet10.xml" Id="Rdb36b8521dd246ce" /><Relationship Type="http://schemas.openxmlformats.org/officeDocument/2006/relationships/worksheet" Target="/xl/worksheets/sheet11.xml" Id="R64c2d247da7e4a49" /><Relationship Type="http://schemas.openxmlformats.org/officeDocument/2006/relationships/worksheet" Target="/xl/worksheets/sheet12.xml" Id="R9dd38e0fe01f4140" /><Relationship Type="http://schemas.openxmlformats.org/officeDocument/2006/relationships/worksheet" Target="/xl/worksheets/sheet13.xml" Id="R6452e279de6a4741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FormatPr defaultRowHeight="13.5"/>
  <x:cols>
    <x:col min="1" max="1" width="34" customWidth="1"/>
    <x:col min="2" max="2" width="14" customWidth="1"/>
    <x:col min="3" max="3" width="65" customWidth="1"/>
    <x:col min="5" max="5" width="12" customWidth="1"/>
    <x:col min="6" max="6" width="28" customWidth="1"/>
    <x:col min="7" max="7" width="35" customWidth="1"/>
    <x:col min="8" max="8" width="45" customWidth="1"/>
  </x:cols>
  <x:sheetData>
    <x:row r="1" ht="17.649999618530273">
      <x:c r="A1" s="15" t="s">
        <x:v>0</x:v>
      </x:c>
      <x:c r="B1" s="15"/>
      <x:c r="C1" s="15"/>
      <x:c r="D1" s="15"/>
      <x:c r="E1" s="15"/>
      <x:c r="F1" s="15"/>
      <x:c r="G1" s="15"/>
      <x:c r="H1" s="15"/>
    </x:row>
    <x:row r="3" ht="13.899999618530273">
      <x:c r="A3" s="1" t="s">
        <x:v>1</x:v>
      </x:c>
      <x:c r="B3" s="1" t="s">
        <x:v>2</x:v>
      </x:c>
      <x:c r="C3" s="1" t="s">
        <x:v>3</x:v>
      </x:c>
      <x:c r="E3" s="3" t="s">
        <x:v>4</x:v>
      </x:c>
      <x:c r="F3" s="3" t="s">
        <x:v>5</x:v>
      </x:c>
      <x:c r="G3" s="3" t="s">
        <x:v>6</x:v>
      </x:c>
      <x:c r="H3" s="3" t="s">
        <x:v>7</x:v>
      </x:c>
    </x:row>
    <x:row r="4">
      <x:c r="A4" s="2" t="s">
        <x:v>8</x:v>
      </x:c>
      <x:c r="B4" s="2">
        <x:v>2299</x:v>
      </x:c>
      <x:c r="C4" s="2" t="s">
        <x:v>9</x:v>
      </x:c>
      <x:c r="E4" s="2" t="s">
        <x:v>10</x:v>
      </x:c>
      <x:c r="F4" s="2" t="s">
        <x:v>11</x:v>
      </x:c>
      <x:c r="G4" s="2" t="s">
        <x:v>12</x:v>
      </x:c>
      <x:c r="H4" s="2" t="s">
        <x:v>13</x:v>
      </x:c>
    </x:row>
    <x:row r="5">
      <x:c r="A5" s="2" t="s">
        <x:v>14</x:v>
      </x:c>
      <x:c r="B5" s="2">
        <x:v>410</x:v>
      </x:c>
      <x:c r="C5" s="2" t="s">
        <x:v>15</x:v>
      </x:c>
      <x:c r="E5" s="2" t="s">
        <x:v>16</x:v>
      </x:c>
      <x:c r="F5" s="2" t="s">
        <x:v>11</x:v>
      </x:c>
      <x:c r="G5" s="2" t="s">
        <x:v>17</x:v>
      </x:c>
      <x:c r="H5" s="2" t="s">
        <x:v>18</x:v>
      </x:c>
    </x:row>
    <x:row r="6" ht="27">
      <x:c r="A6" s="2" t="s">
        <x:v>19</x:v>
      </x:c>
      <x:c r="B6" s="2">
        <x:v>72</x:v>
      </x:c>
      <x:c r="C6" s="2" t="s">
        <x:v>20</x:v>
      </x:c>
      <x:c r="E6" s="2" t="s">
        <x:v>21</x:v>
      </x:c>
      <x:c r="F6" s="2" t="s">
        <x:v>22</x:v>
      </x:c>
      <x:c r="G6" s="2" t="s">
        <x:v>23</x:v>
      </x:c>
      <x:c r="H6" s="2" t="s">
        <x:v>24</x:v>
      </x:c>
    </x:row>
    <x:row r="7">
      <x:c r="A7" s="2" t="s">
        <x:v>25</x:v>
      </x:c>
      <x:c r="B7" s="2">
        <x:v>401</x:v>
      </x:c>
      <x:c r="C7" s="2" t="s">
        <x:v>26</x:v>
      </x:c>
      <x:c r="E7" s="2" t="s">
        <x:v>27</x:v>
      </x:c>
      <x:c r="F7" s="2" t="s">
        <x:v>28</x:v>
      </x:c>
      <x:c r="G7" s="2" t="s">
        <x:v>29</x:v>
      </x:c>
      <x:c r="H7" s="2" t="s">
        <x:v>30</x:v>
      </x:c>
    </x:row>
    <x:row r="8" ht="27">
      <x:c r="A8" s="2" t="s">
        <x:v>31</x:v>
      </x:c>
      <x:c r="B8" s="2">
        <x:v>410</x:v>
      </x:c>
      <x:c r="C8" s="2" t="s">
        <x:v>32</x:v>
      </x:c>
      <x:c r="E8" s="2" t="s">
        <x:v>33</x:v>
      </x:c>
      <x:c r="F8" s="2" t="s">
        <x:v>34</x:v>
      </x:c>
      <x:c r="G8" s="2" t="s">
        <x:v>35</x:v>
      </x:c>
      <x:c r="H8" s="2" t="s">
        <x:v>36</x:v>
      </x:c>
    </x:row>
    <x:row r="9">
      <x:c r="A9" s="2" t="s">
        <x:v>37</x:v>
      </x:c>
      <x:c r="B9" s="2">
        <x:v>295</x:v>
      </x:c>
      <x:c r="C9" s="2" t="s">
        <x:v>38</x:v>
      </x:c>
      <x:c r="E9" s="2" t="s">
        <x:v>39</x:v>
      </x:c>
      <x:c r="F9" s="2" t="s">
        <x:v>40</x:v>
      </x:c>
      <x:c r="G9" s="2" t="s">
        <x:v>41</x:v>
      </x:c>
      <x:c r="H9" s="2" t="s">
        <x:v>42</x:v>
      </x:c>
    </x:row>
    <x:row r="10">
      <x:c r="A10" s="2" t="s">
        <x:v>43</x:v>
      </x:c>
      <x:c r="B10" s="2">
        <x:v>288</x:v>
      </x:c>
      <x:c r="C10" s="2" t="s">
        <x:v>44</x:v>
      </x:c>
      <x:c r="E10" s="2" t="s">
        <x:v>45</x:v>
      </x:c>
      <x:c r="F10" s="2" t="s">
        <x:v>46</x:v>
      </x:c>
      <x:c r="G10" s="2" t="s">
        <x:v>47</x:v>
      </x:c>
      <x:c r="H10" s="2" t="s">
        <x:v>48</x:v>
      </x:c>
    </x:row>
    <x:row r="11">
      <x:c r="A11" s="2" t="s">
        <x:v>49</x:v>
      </x:c>
      <x:c r="B11" s="2">
        <x:v>66</x:v>
      </x:c>
      <x:c r="C11" s="2" t="s">
        <x:v>50</x:v>
      </x:c>
      <x:c r="E11" s="2" t="s">
        <x:v>51</x:v>
      </x:c>
      <x:c r="F11" s="2" t="s">
        <x:v>46</x:v>
      </x:c>
      <x:c r="G11" s="2" t="s">
        <x:v>52</x:v>
      </x:c>
      <x:c r="H11" s="2" t="s">
        <x:v>53</x:v>
      </x:c>
    </x:row>
    <x:row r="12">
      <x:c r="A12" s="2" t="s">
        <x:v>54</x:v>
      </x:c>
      <x:c r="B12" s="2">
        <x:v>56</x:v>
      </x:c>
      <x:c r="C12" s="2" t="s">
        <x:v>55</x:v>
      </x:c>
    </x:row>
    <x:row r="13">
      <x:c r="A13" s="2" t="s">
        <x:v>56</x:v>
      </x:c>
      <x:c r="B13" s="2">
        <x:v>41</x:v>
      </x:c>
      <x:c r="C13" s="2" t="s">
        <x:v>57</x:v>
      </x:c>
    </x:row>
    <x:row r="14">
      <x:c r="A14" s="2" t="s">
        <x:v>58</x:v>
      </x:c>
      <x:c r="B14" s="2">
        <x:v>18</x:v>
      </x:c>
      <x:c r="C14" s="2" t="s">
        <x:v>59</x:v>
      </x:c>
    </x:row>
  </x:sheetData>
  <x:mergeCells>
    <x:mergeCell ref="A1:H1"/>
  </x:mergeCells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FormatPr defaultRowHeight="13.5"/>
  <x:sheetData>
    <x:row r="1" ht="41.650001525878906">
      <x:c r="A1" s="16" t="s">
        <x:v>60</x:v>
      </x:c>
      <x:c r="B1" s="16" t="s">
        <x:v>4</x:v>
      </x:c>
      <x:c r="C1" s="16" t="s">
        <x:v>61</x:v>
      </x:c>
      <x:c r="D1" s="16" t="s">
        <x:v>62</x:v>
      </x:c>
      <x:c r="E1" s="16" t="s">
        <x:v>63</x:v>
      </x:c>
      <x:c r="F1" s="16" t="s">
        <x:v>64</x:v>
      </x:c>
    </x:row>
    <x:row r="2" ht="40.5">
      <x:c r="A2" s="17">
        <x:v>8445</x:v>
      </x:c>
      <x:c r="B2" s="17" t="s">
        <x:v>16</x:v>
      </x:c>
      <x:c r="C2" s="18" t="s">
        <x:v>65</x:v>
      </x:c>
      <x:c r="D2" s="17" t="s">
        <x:v>66</x:v>
      </x:c>
      <x:c r="E2" s="17" t="s">
        <x:v>67</x:v>
      </x:c>
      <x:c r="F2" s="17" t="s">
        <x:v>68</x:v>
      </x:c>
    </x:row>
    <x:row r="3" ht="40.5">
      <x:c r="A3" s="17">
        <x:v>8445</x:v>
      </x:c>
      <x:c r="B3" s="17" t="s">
        <x:v>10</x:v>
      </x:c>
      <x:c r="C3" s="18" t="s">
        <x:v>65</x:v>
      </x:c>
      <x:c r="D3" s="17" t="s">
        <x:v>66</x:v>
      </x:c>
      <x:c r="E3" s="17" t="s">
        <x:v>67</x:v>
      </x:c>
      <x:c r="F3" s="17" t="s">
        <x:v>68</x:v>
      </x:c>
    </x:row>
    <x:row r="4" ht="54">
      <x:c r="A4" s="17">
        <x:v>8445</x:v>
      </x:c>
      <x:c r="B4" s="17" t="s">
        <x:v>16</x:v>
      </x:c>
      <x:c r="C4" s="18" t="s">
        <x:v>69</x:v>
      </x:c>
      <x:c r="D4" s="17" t="s">
        <x:v>70</x:v>
      </x:c>
      <x:c r="E4" s="17" t="s">
        <x:v>71</x:v>
      </x:c>
      <x:c r="F4" s="17" t="s">
        <x:v>72</x:v>
      </x:c>
    </x:row>
    <x:row r="5" ht="40.5">
      <x:c r="A5" s="17">
        <x:v>11097</x:v>
      </x:c>
      <x:c r="B5" s="17" t="s">
        <x:v>10</x:v>
      </x:c>
      <x:c r="C5" s="18" t="s">
        <x:v>73</x:v>
      </x:c>
      <x:c r="D5" s="17" t="s">
        <x:v>74</x:v>
      </x:c>
      <x:c r="E5" s="17" t="s">
        <x:v>67</x:v>
      </x:c>
      <x:c r="F5" s="17" t="s">
        <x:v>75</x:v>
      </x:c>
    </x:row>
    <x:row r="6" ht="40.5">
      <x:c r="A6" s="17">
        <x:v>11097</x:v>
      </x:c>
      <x:c r="B6" s="17" t="s">
        <x:v>16</x:v>
      </x:c>
      <x:c r="C6" s="18" t="s">
        <x:v>73</x:v>
      </x:c>
      <x:c r="D6" s="17" t="s">
        <x:v>74</x:v>
      </x:c>
      <x:c r="E6" s="17" t="s">
        <x:v>67</x:v>
      </x:c>
      <x:c r="F6" s="17" t="s">
        <x:v>75</x:v>
      </x:c>
    </x:row>
    <x:row r="7" ht="40.5">
      <x:c r="A7" s="17">
        <x:v>10900</x:v>
      </x:c>
      <x:c r="B7" s="17" t="s">
        <x:v>10</x:v>
      </x:c>
      <x:c r="C7" s="18" t="s">
        <x:v>76</x:v>
      </x:c>
      <x:c r="D7" s="17" t="s">
        <x:v>77</x:v>
      </x:c>
      <x:c r="E7" s="17" t="s">
        <x:v>78</x:v>
      </x:c>
      <x:c r="F7" s="17" t="s">
        <x:v>79</x:v>
      </x:c>
    </x:row>
  </x:sheetData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FormatPr defaultRowHeight="13.5"/>
  <x:cols>
    <x:col min="1" max="1" width="10" customWidth="1"/>
    <x:col min="2" max="4" width="14" customWidth="1"/>
    <x:col min="5" max="5" width="8" customWidth="1"/>
    <x:col min="6" max="6" width="34" customWidth="1"/>
    <x:col min="7" max="7" width="24" customWidth="1"/>
    <x:col min="8" max="9" width="16" customWidth="1"/>
    <x:col min="10" max="10" width="12" customWidth="1"/>
    <x:col min="11" max="11" width="18" customWidth="1"/>
    <x:col min="12" max="12" width="16" customWidth="1"/>
    <x:col min="13" max="16" width="12" customWidth="1"/>
    <x:col min="17" max="17" width="14" customWidth="1"/>
    <x:col min="18" max="18" width="16" customWidth="1"/>
    <x:col min="19" max="19" width="14" customWidth="1"/>
    <x:col min="20" max="21" width="12" customWidth="1"/>
    <x:col min="22" max="22" width="10" customWidth="1"/>
    <x:col min="23" max="23" width="14" customWidth="1"/>
    <x:col min="24" max="24" width="55" customWidth="1"/>
    <x:col min="25" max="25" width="24" customWidth="1"/>
    <x:col min="26" max="26" width="55" customWidth="1"/>
  </x:cols>
  <x:sheetData>
    <x:row r="1" ht="27.75">
      <x:c r="A1" s="5" t="s">
        <x:v>80</x:v>
      </x:c>
      <x:c r="B1" s="5" t="s">
        <x:v>81</x:v>
      </x:c>
      <x:c r="C1" s="5" t="s">
        <x:v>82</x:v>
      </x:c>
      <x:c r="D1" s="5" t="s">
        <x:v>83</x:v>
      </x:c>
      <x:c r="E1" s="5" t="s">
        <x:v>4</x:v>
      </x:c>
      <x:c r="F1" s="5" t="s">
        <x:v>84</x:v>
      </x:c>
      <x:c r="G1" s="5" t="s">
        <x:v>85</x:v>
      </x:c>
      <x:c r="H1" s="5" t="s">
        <x:v>86</x:v>
      </x:c>
      <x:c r="I1" s="5" t="s">
        <x:v>87</x:v>
      </x:c>
      <x:c r="J1" s="5" t="s">
        <x:v>88</x:v>
      </x:c>
      <x:c r="K1" s="5" t="s">
        <x:v>89</x:v>
      </x:c>
      <x:c r="L1" s="5" t="s">
        <x:v>90</x:v>
      </x:c>
      <x:c r="M1" s="5" t="s">
        <x:v>91</x:v>
      </x:c>
      <x:c r="N1" s="5" t="s">
        <x:v>92</x:v>
      </x:c>
      <x:c r="O1" s="5" t="s">
        <x:v>93</x:v>
      </x:c>
      <x:c r="P1" s="5" t="s">
        <x:v>94</x:v>
      </x:c>
      <x:c r="Q1" s="5" t="s">
        <x:v>95</x:v>
      </x:c>
      <x:c r="R1" s="5" t="s">
        <x:v>96</x:v>
      </x:c>
      <x:c r="S1" s="5" t="s">
        <x:v>97</x:v>
      </x:c>
      <x:c r="T1" s="5" t="s">
        <x:v>98</x:v>
      </x:c>
      <x:c r="U1" s="5" t="s">
        <x:v>99</x:v>
      </x:c>
      <x:c r="V1" s="5" t="s">
        <x:v>100</x:v>
      </x:c>
      <x:c r="W1" s="5" t="s">
        <x:v>101</x:v>
      </x:c>
      <x:c r="X1" s="5" t="s">
        <x:v>102</x:v>
      </x:c>
      <x:c r="Y1" s="5" t="s">
        <x:v>103</x:v>
      </x:c>
      <x:c r="Z1" s="5" t="s">
        <x:v>104</x:v>
      </x:c>
    </x:row>
    <x:row r="2" ht="40.5">
      <x:c r="A2" s="2">
        <x:v>14</x:v>
      </x:c>
      <x:c r="B2" s="2">
        <x:v>1301484</x:v>
      </x:c>
      <x:c r="C2" s="2">
        <x:v>757363</x:v>
      </x:c>
      <x:c r="D2" s="2">
        <x:v>115854</x:v>
      </x:c>
      <x:c r="E2" s="2" t="s">
        <x:v>10</x:v>
      </x:c>
      <x:c r="F2" s="2" t="s">
        <x:v>105</x:v>
      </x:c>
      <x:c r="G2" s="2" t="s">
        <x:v>106</x:v>
      </x:c>
      <x:c r="H2" s="2" t="s">
        <x:v>107</x:v>
      </x:c>
      <x:c r="I2" s="2" t="s">
        <x:v>108</x:v>
      </x:c>
      <x:c r="J2" s="2">
        <x:v>4</x:v>
      </x:c>
      <x:c r="K2" s="2" t="s">
        <x:v>109</x:v>
      </x:c>
      <x:c r="L2" s="2" t="s">
        <x:v>110</x:v>
      </x:c>
      <x:c r="M2" s="2"/>
      <x:c r="N2" s="2">
        <x:v>743</x:v>
      </x:c>
      <x:c r="O2" s="2"/>
      <x:c r="P2" s="2"/>
      <x:c r="Q2" s="2" t="s">
        <x:v>111</x:v>
      </x:c>
      <x:c r="R2" s="2">
        <x:v>743</x:v>
      </x:c>
      <x:c r="S2" s="2" t="s">
        <x:v>111</x:v>
      </x:c>
      <x:c r="T2" s="2">
        <x:v>25</x:v>
      </x:c>
      <x:c r="U2" s="2">
        <x:v>33</x:v>
      </x:c>
      <x:c r="V2" s="2"/>
      <x:c r="W2" s="2"/>
      <x:c r="X2" s="2" t="s">
        <x:v>112</x:v>
      </x:c>
      <x:c r="Y2" s="2" t="s">
        <x:v>113</x:v>
      </x:c>
      <x:c r="Z2" s="2" t="s">
        <x:v>114</x:v>
      </x:c>
    </x:row>
    <x:row r="3" ht="27">
      <x:c r="A3" s="2">
        <x:v>26</x:v>
      </x:c>
      <x:c r="B3" s="2">
        <x:v>1152733</x:v>
      </x:c>
      <x:c r="C3" s="2">
        <x:v>86472</x:v>
      </x:c>
      <x:c r="D3" s="2">
        <x:v>13179</x:v>
      </x:c>
      <x:c r="E3" s="2" t="s">
        <x:v>45</x:v>
      </x:c>
      <x:c r="F3" s="2" t="s">
        <x:v>115</x:v>
      </x:c>
      <x:c r="G3" s="2" t="s">
        <x:v>116</x:v>
      </x:c>
      <x:c r="H3" s="2" t="s">
        <x:v>107</x:v>
      </x:c>
      <x:c r="I3" s="2"/>
      <x:c r="J3" s="2">
        <x:v>2</x:v>
      </x:c>
      <x:c r="K3" s="2" t="s">
        <x:v>117</x:v>
      </x:c>
      <x:c r="L3" s="2" t="s">
        <x:v>110</x:v>
      </x:c>
      <x:c r="M3" s="2"/>
      <x:c r="N3" s="2">
        <x:v>2580</x:v>
      </x:c>
      <x:c r="O3" s="2"/>
      <x:c r="P3" s="2"/>
      <x:c r="Q3" s="2" t="s">
        <x:v>111</x:v>
      </x:c>
      <x:c r="R3" s="2">
        <x:v>2580</x:v>
      </x:c>
      <x:c r="S3" s="2" t="s">
        <x:v>111</x:v>
      </x:c>
      <x:c r="T3" s="2">
        <x:v>22</x:v>
      </x:c>
      <x:c r="U3" s="2">
        <x:v>38</x:v>
      </x:c>
      <x:c r="V3" s="2"/>
      <x:c r="W3" s="2"/>
      <x:c r="X3" s="2" t="s">
        <x:v>118</x:v>
      </x:c>
      <x:c r="Y3" s="2" t="s">
        <x:v>113</x:v>
      </x:c>
      <x:c r="Z3" s="2" t="s">
        <x:v>114</x:v>
      </x:c>
    </x:row>
    <x:row r="4" ht="27">
      <x:c r="A4" s="2">
        <x:v>35</x:v>
      </x:c>
      <x:c r="B4" s="2">
        <x:v>2146048</x:v>
      </x:c>
      <x:c r="C4" s="2">
        <x:v>2276276</x:v>
      </x:c>
      <x:c r="D4" s="2">
        <x:v>169694</x:v>
      </x:c>
      <x:c r="E4" s="2" t="s">
        <x:v>21</x:v>
      </x:c>
      <x:c r="F4" s="2" t="s">
        <x:v>119</x:v>
      </x:c>
      <x:c r="G4" s="2" t="s">
        <x:v>106</x:v>
      </x:c>
      <x:c r="H4" s="2" t="s">
        <x:v>107</x:v>
      </x:c>
      <x:c r="I4" s="2" t="s">
        <x:v>108</x:v>
      </x:c>
      <x:c r="J4" s="2">
        <x:v>4</x:v>
      </x:c>
      <x:c r="K4" s="2" t="s">
        <x:v>117</x:v>
      </x:c>
      <x:c r="L4" s="2" t="s">
        <x:v>120</x:v>
      </x:c>
      <x:c r="M4" s="2"/>
      <x:c r="N4" s="2">
        <x:v>2.44</x:v>
      </x:c>
      <x:c r="O4" s="2"/>
      <x:c r="P4" s="2"/>
      <x:c r="Q4" s="2" t="s">
        <x:v>121</x:v>
      </x:c>
      <x:c r="R4" s="2">
        <x:v>2.44</x:v>
      </x:c>
      <x:c r="S4" s="2" t="s">
        <x:v>121</x:v>
      </x:c>
      <x:c r="T4" s="2">
        <x:v>20</x:v>
      </x:c>
      <x:c r="U4" s="2">
        <x:v>35</x:v>
      </x:c>
      <x:c r="V4" s="2">
        <x:v>8.65</x:v>
      </x:c>
      <x:c r="W4" s="2"/>
      <x:c r="X4" s="2" t="s">
        <x:v>122</x:v>
      </x:c>
      <x:c r="Y4" s="2" t="s">
        <x:v>123</x:v>
      </x:c>
      <x:c r="Z4" s="2" t="s">
        <x:v>124</x:v>
      </x:c>
    </x:row>
    <x:row r="5" ht="27">
      <x:c r="A5" s="2">
        <x:v>36</x:v>
      </x:c>
      <x:c r="B5" s="2">
        <x:v>2146047</x:v>
      </x:c>
      <x:c r="C5" s="2">
        <x:v>2276270</x:v>
      </x:c>
      <x:c r="D5" s="2">
        <x:v>169694</x:v>
      </x:c>
      <x:c r="E5" s="2" t="s">
        <x:v>21</x:v>
      </x:c>
      <x:c r="F5" s="2" t="s">
        <x:v>119</x:v>
      </x:c>
      <x:c r="G5" s="2" t="s">
        <x:v>106</x:v>
      </x:c>
      <x:c r="H5" s="2" t="s">
        <x:v>107</x:v>
      </x:c>
      <x:c r="I5" s="2" t="s">
        <x:v>108</x:v>
      </x:c>
      <x:c r="J5" s="2">
        <x:v>4</x:v>
      </x:c>
      <x:c r="K5" s="2" t="s">
        <x:v>117</x:v>
      </x:c>
      <x:c r="L5" s="2" t="s">
        <x:v>120</x:v>
      </x:c>
      <x:c r="M5" s="2"/>
      <x:c r="N5" s="2">
        <x:v>1.22</x:v>
      </x:c>
      <x:c r="O5" s="2"/>
      <x:c r="P5" s="2"/>
      <x:c r="Q5" s="2" t="s">
        <x:v>121</x:v>
      </x:c>
      <x:c r="R5" s="2">
        <x:v>1.22</x:v>
      </x:c>
      <x:c r="S5" s="2" t="s">
        <x:v>121</x:v>
      </x:c>
      <x:c r="T5" s="2">
        <x:v>20</x:v>
      </x:c>
      <x:c r="U5" s="2">
        <x:v>5</x:v>
      </x:c>
      <x:c r="V5" s="2">
        <x:v>8.65</x:v>
      </x:c>
      <x:c r="W5" s="2"/>
      <x:c r="X5" s="2" t="s">
        <x:v>122</x:v>
      </x:c>
      <x:c r="Y5" s="2" t="s">
        <x:v>123</x:v>
      </x:c>
      <x:c r="Z5" s="2" t="s">
        <x:v>124</x:v>
      </x:c>
    </x:row>
    <x:row r="6" ht="27">
      <x:c r="A6" s="2">
        <x:v>37</x:v>
      </x:c>
      <x:c r="B6" s="2">
        <x:v>2101662</x:v>
      </x:c>
      <x:c r="C6" s="2">
        <x:v>2186587</x:v>
      </x:c>
      <x:c r="D6" s="2">
        <x:v>150008</x:v>
      </x:c>
      <x:c r="E6" s="2" t="s">
        <x:v>21</x:v>
      </x:c>
      <x:c r="F6" s="2" t="s">
        <x:v>119</x:v>
      </x:c>
      <x:c r="G6" s="2" t="s">
        <x:v>106</x:v>
      </x:c>
      <x:c r="H6" s="2" t="s">
        <x:v>107</x:v>
      </x:c>
      <x:c r="I6" s="2" t="s">
        <x:v>125</x:v>
      </x:c>
      <x:c r="J6" s="2">
        <x:v>4</x:v>
      </x:c>
      <x:c r="K6" s="2" t="s">
        <x:v>126</x:v>
      </x:c>
      <x:c r="L6" s="2" t="s">
        <x:v>120</x:v>
      </x:c>
      <x:c r="M6" s="2"/>
      <x:c r="N6" s="2">
        <x:v>0.68</x:v>
      </x:c>
      <x:c r="O6" s="2">
        <x:v>0.62</x:v>
      </x:c>
      <x:c r="P6" s="2">
        <x:v>0.75</x:v>
      </x:c>
      <x:c r="Q6" s="2" t="s">
        <x:v>121</x:v>
      </x:c>
      <x:c r="R6" s="2">
        <x:v>0.68</x:v>
      </x:c>
      <x:c r="S6" s="2" t="s">
        <x:v>121</x:v>
      </x:c>
      <x:c r="T6" s="2">
        <x:v>25</x:v>
      </x:c>
      <x:c r="U6" s="2"/>
      <x:c r="V6" s="2"/>
      <x:c r="W6" s="2"/>
      <x:c r="X6" s="2" t="s">
        <x:v>127</x:v>
      </x:c>
      <x:c r="Y6" s="2" t="s">
        <x:v>123</x:v>
      </x:c>
      <x:c r="Z6" s="2" t="s">
        <x:v>124</x:v>
      </x:c>
    </x:row>
    <x:row r="7" ht="27">
      <x:c r="A7" s="2">
        <x:v>38</x:v>
      </x:c>
      <x:c r="B7" s="2">
        <x:v>2101658</x:v>
      </x:c>
      <x:c r="C7" s="2">
        <x:v>2186583</x:v>
      </x:c>
      <x:c r="D7" s="2">
        <x:v>150008</x:v>
      </x:c>
      <x:c r="E7" s="2" t="s">
        <x:v>21</x:v>
      </x:c>
      <x:c r="F7" s="2" t="s">
        <x:v>119</x:v>
      </x:c>
      <x:c r="G7" s="2" t="s">
        <x:v>106</x:v>
      </x:c>
      <x:c r="H7" s="2" t="s">
        <x:v>107</x:v>
      </x:c>
      <x:c r="I7" s="2" t="s">
        <x:v>125</x:v>
      </x:c>
      <x:c r="J7" s="2">
        <x:v>4</x:v>
      </x:c>
      <x:c r="K7" s="2" t="s">
        <x:v>126</x:v>
      </x:c>
      <x:c r="L7" s="2" t="s">
        <x:v>110</x:v>
      </x:c>
      <x:c r="M7" s="2"/>
      <x:c r="N7" s="2">
        <x:v>0.43</x:v>
      </x:c>
      <x:c r="O7" s="2">
        <x:v>0.4</x:v>
      </x:c>
      <x:c r="P7" s="2">
        <x:v>0.47</x:v>
      </x:c>
      <x:c r="Q7" s="2" t="s">
        <x:v>121</x:v>
      </x:c>
      <x:c r="R7" s="2">
        <x:v>0.43</x:v>
      </x:c>
      <x:c r="S7" s="2" t="s">
        <x:v>121</x:v>
      </x:c>
      <x:c r="T7" s="2">
        <x:v>25</x:v>
      </x:c>
      <x:c r="U7" s="2"/>
      <x:c r="V7" s="2"/>
      <x:c r="W7" s="2"/>
      <x:c r="X7" s="2" t="s">
        <x:v>127</x:v>
      </x:c>
      <x:c r="Y7" s="2" t="s">
        <x:v>123</x:v>
      </x:c>
      <x:c r="Z7" s="2" t="s">
        <x:v>124</x:v>
      </x:c>
    </x:row>
    <x:row r="8" ht="27">
      <x:c r="A8" s="2">
        <x:v>39</x:v>
      </x:c>
      <x:c r="B8" s="2">
        <x:v>2101654</x:v>
      </x:c>
      <x:c r="C8" s="2">
        <x:v>2186579</x:v>
      </x:c>
      <x:c r="D8" s="2">
        <x:v>150008</x:v>
      </x:c>
      <x:c r="E8" s="2" t="s">
        <x:v>21</x:v>
      </x:c>
      <x:c r="F8" s="2" t="s">
        <x:v>119</x:v>
      </x:c>
      <x:c r="G8" s="2" t="s">
        <x:v>106</x:v>
      </x:c>
      <x:c r="H8" s="2" t="s">
        <x:v>107</x:v>
      </x:c>
      <x:c r="I8" s="2" t="s">
        <x:v>125</x:v>
      </x:c>
      <x:c r="J8" s="2">
        <x:v>4</x:v>
      </x:c>
      <x:c r="K8" s="2" t="s">
        <x:v>126</x:v>
      </x:c>
      <x:c r="L8" s="2" t="s">
        <x:v>110</x:v>
      </x:c>
      <x:c r="M8" s="2"/>
      <x:c r="N8" s="2">
        <x:v>0.85</x:v>
      </x:c>
      <x:c r="O8" s="2">
        <x:v>0.78</x:v>
      </x:c>
      <x:c r="P8" s="2">
        <x:v>0.94</x:v>
      </x:c>
      <x:c r="Q8" s="2" t="s">
        <x:v>121</x:v>
      </x:c>
      <x:c r="R8" s="2">
        <x:v>0.85</x:v>
      </x:c>
      <x:c r="S8" s="2" t="s">
        <x:v>121</x:v>
      </x:c>
      <x:c r="T8" s="2">
        <x:v>25</x:v>
      </x:c>
      <x:c r="U8" s="2"/>
      <x:c r="V8" s="2"/>
      <x:c r="W8" s="2"/>
      <x:c r="X8" s="2" t="s">
        <x:v>127</x:v>
      </x:c>
      <x:c r="Y8" s="2" t="s">
        <x:v>123</x:v>
      </x:c>
      <x:c r="Z8" s="2" t="s">
        <x:v>124</x:v>
      </x:c>
    </x:row>
    <x:row r="9">
      <x:c r="A9" s="2">
        <x:v>49</x:v>
      </x:c>
      <x:c r="B9" s="2">
        <x:v>1035621</x:v>
      </x:c>
      <x:c r="C9" s="2">
        <x:v>54724</x:v>
      </x:c>
      <x:c r="D9" s="2">
        <x:v>2183</x:v>
      </x:c>
      <x:c r="E9" s="2" t="s">
        <x:v>10</x:v>
      </x:c>
      <x:c r="F9" s="2" t="s">
        <x:v>128</x:v>
      </x:c>
      <x:c r="G9" s="2" t="s">
        <x:v>129</x:v>
      </x:c>
      <x:c r="H9" s="2" t="s">
        <x:v>107</x:v>
      </x:c>
      <x:c r="I9" s="2" t="s">
        <x:v>108</x:v>
      </x:c>
      <x:c r="J9" s="2">
        <x:v>4</x:v>
      </x:c>
      <x:c r="K9" s="2" t="s">
        <x:v>117</x:v>
      </x:c>
      <x:c r="L9" s="2" t="s">
        <x:v>110</x:v>
      </x:c>
      <x:c r="M9" s="2"/>
      <x:c r="N9" s="2">
        <x:v>1800</x:v>
      </x:c>
      <x:c r="O9" s="2">
        <x:v>1300</x:v>
      </x:c>
      <x:c r="P9" s="2">
        <x:v>2400</x:v>
      </x:c>
      <x:c r="Q9" s="2" t="s">
        <x:v>111</x:v>
      </x:c>
      <x:c r="R9" s="2">
        <x:v>1800</x:v>
      </x:c>
      <x:c r="S9" s="2" t="s">
        <x:v>111</x:v>
      </x:c>
      <x:c r="T9" s="2">
        <x:v>20</x:v>
      </x:c>
      <x:c r="U9" s="2">
        <x:v>7</x:v>
      </x:c>
      <x:c r="V9" s="2">
        <x:v>8</x:v>
      </x:c>
      <x:c r="W9" s="2"/>
      <x:c r="X9" s="2" t="s">
        <x:v>130</x:v>
      </x:c>
      <x:c r="Y9" s="2" t="s">
        <x:v>113</x:v>
      </x:c>
      <x:c r="Z9" s="2" t="s">
        <x:v>114</x:v>
      </x:c>
    </x:row>
    <x:row r="10" ht="40.5">
      <x:c r="A10" s="2">
        <x:v>59</x:v>
      </x:c>
      <x:c r="B10" s="2">
        <x:v>1159856</x:v>
      </x:c>
      <x:c r="C10" s="2">
        <x:v>142865</x:v>
      </x:c>
      <x:c r="D10" s="2">
        <x:v>14137</x:v>
      </x:c>
      <x:c r="E10" s="2" t="s">
        <x:v>10</x:v>
      </x:c>
      <x:c r="F10" s="2" t="s">
        <x:v>131</x:v>
      </x:c>
      <x:c r="G10" s="2" t="s">
        <x:v>132</x:v>
      </x:c>
      <x:c r="H10" s="2" t="s">
        <x:v>107</x:v>
      </x:c>
      <x:c r="I10" s="2" t="s">
        <x:v>108</x:v>
      </x:c>
      <x:c r="J10" s="2">
        <x:v>4</x:v>
      </x:c>
      <x:c r="K10" s="2" t="s">
        <x:v>126</x:v>
      </x:c>
      <x:c r="L10" s="2" t="s">
        <x:v>110</x:v>
      </x:c>
      <x:c r="M10" s="2"/>
      <x:c r="N10" s="2">
        <x:v>88</x:v>
      </x:c>
      <x:c r="O10" s="2"/>
      <x:c r="P10" s="2"/>
      <x:c r="Q10" s="2" t="s">
        <x:v>111</x:v>
      </x:c>
      <x:c r="R10" s="2">
        <x:v>88</x:v>
      </x:c>
      <x:c r="S10" s="2" t="s">
        <x:v>111</x:v>
      </x:c>
      <x:c r="T10" s="2"/>
      <x:c r="U10" s="2"/>
      <x:c r="V10" s="2"/>
      <x:c r="W10" s="2"/>
      <x:c r="X10" s="2" t="s">
        <x:v>133</x:v>
      </x:c>
      <x:c r="Y10" s="2" t="s">
        <x:v>113</x:v>
      </x:c>
      <x:c r="Z10" s="2" t="s">
        <x:v>114</x:v>
      </x:c>
    </x:row>
    <x:row r="11" ht="27">
      <x:c r="A11" s="2">
        <x:v>60</x:v>
      </x:c>
      <x:c r="B11" s="2">
        <x:v>1111947</x:v>
      </x:c>
      <x:c r="C11" s="2">
        <x:v>42366</x:v>
      </x:c>
      <x:c r="D11" s="2">
        <x:v>8446</x:v>
      </x:c>
      <x:c r="E11" s="2" t="s">
        <x:v>10</x:v>
      </x:c>
      <x:c r="F11" s="2" t="s">
        <x:v>131</x:v>
      </x:c>
      <x:c r="G11" s="2" t="s">
        <x:v>134</x:v>
      </x:c>
      <x:c r="H11" s="2" t="s">
        <x:v>135</x:v>
      </x:c>
      <x:c r="I11" s="2"/>
      <x:c r="J11" s="2">
        <x:v>3</x:v>
      </x:c>
      <x:c r="K11" s="2" t="s">
        <x:v>136</x:v>
      </x:c>
      <x:c r="L11" s="2" t="s">
        <x:v>110</x:v>
      </x:c>
      <x:c r="M11" s="2"/>
      <x:c r="N11" s="2">
        <x:v>9</x:v>
      </x:c>
      <x:c r="O11" s="2"/>
      <x:c r="P11" s="2"/>
      <x:c r="Q11" s="2" t="s">
        <x:v>111</x:v>
      </x:c>
      <x:c r="R11" s="2">
        <x:v>9</x:v>
      </x:c>
      <x:c r="S11" s="2" t="s">
        <x:v>111</x:v>
      </x:c>
      <x:c r="T11" s="2">
        <x:v>20</x:v>
      </x:c>
      <x:c r="U11" s="2">
        <x:v>30</x:v>
      </x:c>
      <x:c r="V11" s="2"/>
      <x:c r="W11" s="2"/>
      <x:c r="X11" s="2" t="s">
        <x:v>137</x:v>
      </x:c>
      <x:c r="Y11" s="2" t="s">
        <x:v>138</x:v>
      </x:c>
      <x:c r="Z11" s="2" t="s">
        <x:v>139</x:v>
      </x:c>
    </x:row>
    <x:row r="12" ht="40.5">
      <x:c r="A12" s="2">
        <x:v>61</x:v>
      </x:c>
      <x:c r="B12" s="2">
        <x:v>1159857</x:v>
      </x:c>
      <x:c r="C12" s="2">
        <x:v>142866</x:v>
      </x:c>
      <x:c r="D12" s="2">
        <x:v>14137</x:v>
      </x:c>
      <x:c r="E12" s="2" t="s">
        <x:v>10</x:v>
      </x:c>
      <x:c r="F12" s="2" t="s">
        <x:v>131</x:v>
      </x:c>
      <x:c r="G12" s="2" t="s">
        <x:v>132</x:v>
      </x:c>
      <x:c r="H12" s="2" t="s">
        <x:v>107</x:v>
      </x:c>
      <x:c r="I12" s="2" t="s">
        <x:v>125</x:v>
      </x:c>
      <x:c r="J12" s="2">
        <x:v>4</x:v>
      </x:c>
      <x:c r="K12" s="2" t="s">
        <x:v>126</x:v>
      </x:c>
      <x:c r="L12" s="2" t="s">
        <x:v>110</x:v>
      </x:c>
      <x:c r="M12" s="2"/>
      <x:c r="N12" s="2">
        <x:v>64</x:v>
      </x:c>
      <x:c r="O12" s="2"/>
      <x:c r="P12" s="2"/>
      <x:c r="Q12" s="2" t="s">
        <x:v>111</x:v>
      </x:c>
      <x:c r="R12" s="2">
        <x:v>64</x:v>
      </x:c>
      <x:c r="S12" s="2" t="s">
        <x:v>111</x:v>
      </x:c>
      <x:c r="T12" s="2"/>
      <x:c r="U12" s="2"/>
      <x:c r="V12" s="2"/>
      <x:c r="W12" s="2"/>
      <x:c r="X12" s="2" t="s">
        <x:v>133</x:v>
      </x:c>
      <x:c r="Y12" s="2" t="s">
        <x:v>113</x:v>
      </x:c>
      <x:c r="Z12" s="2" t="s">
        <x:v>114</x:v>
      </x:c>
    </x:row>
    <x:row r="13" ht="27">
      <x:c r="A13" s="2">
        <x:v>81</x:v>
      </x:c>
      <x:c r="B13" s="2">
        <x:v>1054948</x:v>
      </x:c>
      <x:c r="C13" s="2">
        <x:v>220835</x:v>
      </x:c>
      <x:c r="D13" s="2">
        <x:v>3825</x:v>
      </x:c>
      <x:c r="E13" s="2" t="s">
        <x:v>51</x:v>
      </x:c>
      <x:c r="F13" s="2" t="s">
        <x:v>140</x:v>
      </x:c>
      <x:c r="G13" s="2" t="s">
        <x:v>141</x:v>
      </x:c>
      <x:c r="H13" s="2" t="s">
        <x:v>135</x:v>
      </x:c>
      <x:c r="I13" s="2"/>
      <x:c r="J13" s="2">
        <x:v>4</x:v>
      </x:c>
      <x:c r="K13" s="2" t="s">
        <x:v>109</x:v>
      </x:c>
      <x:c r="L13" s="2" t="s">
        <x:v>110</x:v>
      </x:c>
      <x:c r="M13" s="2"/>
      <x:c r="N13" s="2">
        <x:v>668</x:v>
      </x:c>
      <x:c r="O13" s="2">
        <x:v>484</x:v>
      </x:c>
      <x:c r="P13" s="2">
        <x:v>876</x:v>
      </x:c>
      <x:c r="Q13" s="2" t="s">
        <x:v>111</x:v>
      </x:c>
      <x:c r="R13" s="2">
        <x:v>668</x:v>
      </x:c>
      <x:c r="S13" s="2" t="s">
        <x:v>111</x:v>
      </x:c>
      <x:c r="T13" s="2">
        <x:v>10</x:v>
      </x:c>
      <x:c r="U13" s="2">
        <x:v>30</x:v>
      </x:c>
      <x:c r="V13" s="2"/>
      <x:c r="W13" s="2"/>
      <x:c r="X13" s="2" t="s">
        <x:v>142</x:v>
      </x:c>
      <x:c r="Y13" s="2" t="s">
        <x:v>113</x:v>
      </x:c>
      <x:c r="Z13" s="2" t="s">
        <x:v>114</x:v>
      </x:c>
    </x:row>
    <x:row r="14">
      <x:c r="A14" s="2">
        <x:v>83</x:v>
      </x:c>
      <x:c r="B14" s="2">
        <x:v>1053695</x:v>
      </x:c>
      <x:c r="C14" s="2">
        <x:v>194886</x:v>
      </x:c>
      <x:c r="D14" s="2">
        <x:v>3751</x:v>
      </x:c>
      <x:c r="E14" s="2" t="s">
        <x:v>51</x:v>
      </x:c>
      <x:c r="F14" s="2" t="s">
        <x:v>140</x:v>
      </x:c>
      <x:c r="G14" s="2" t="s">
        <x:v>141</x:v>
      </x:c>
      <x:c r="H14" s="2" t="s">
        <x:v>135</x:v>
      </x:c>
      <x:c r="I14" s="2" t="s">
        <x:v>108</x:v>
      </x:c>
      <x:c r="J14" s="2">
        <x:v>4</x:v>
      </x:c>
      <x:c r="K14" s="2" t="s">
        <x:v>109</x:v>
      </x:c>
      <x:c r="L14" s="2" t="s">
        <x:v>110</x:v>
      </x:c>
      <x:c r="M14" s="2"/>
      <x:c r="N14" s="2">
        <x:v>668</x:v>
      </x:c>
      <x:c r="O14" s="2">
        <x:v>484</x:v>
      </x:c>
      <x:c r="P14" s="2">
        <x:v>876</x:v>
      </x:c>
      <x:c r="Q14" s="2" t="s">
        <x:v>111</x:v>
      </x:c>
      <x:c r="R14" s="2">
        <x:v>668</x:v>
      </x:c>
      <x:c r="S14" s="2" t="s">
        <x:v>111</x:v>
      </x:c>
      <x:c r="T14" s="2">
        <x:v>10</x:v>
      </x:c>
      <x:c r="U14" s="2">
        <x:v>30</x:v>
      </x:c>
      <x:c r="V14" s="2"/>
      <x:c r="W14" s="2"/>
      <x:c r="X14" s="2" t="s">
        <x:v>143</x:v>
      </x:c>
      <x:c r="Y14" s="2" t="s">
        <x:v>113</x:v>
      </x:c>
      <x:c r="Z14" s="2" t="s">
        <x:v>114</x:v>
      </x:c>
    </x:row>
    <x:row r="15" ht="40.5">
      <x:c r="A15" s="2">
        <x:v>84</x:v>
      </x:c>
      <x:c r="B15" s="2">
        <x:v>1078773</x:v>
      </x:c>
      <x:c r="C15" s="2">
        <x:v>10206</x:v>
      </x:c>
      <x:c r="D15" s="2">
        <x:v>6079</x:v>
      </x:c>
      <x:c r="E15" s="2" t="s">
        <x:v>39</x:v>
      </x:c>
      <x:c r="F15" s="2" t="s">
        <x:v>144</x:v>
      </x:c>
      <x:c r="G15" s="2" t="s">
        <x:v>135</x:v>
      </x:c>
      <x:c r="H15" s="2" t="s">
        <x:v>135</x:v>
      </x:c>
      <x:c r="I15" s="2"/>
      <x:c r="J15" s="2">
        <x:v>2</x:v>
      </x:c>
      <x:c r="K15" s="2" t="s">
        <x:v>117</x:v>
      </x:c>
      <x:c r="L15" s="2" t="s">
        <x:v>110</x:v>
      </x:c>
      <x:c r="M15" s="2"/>
      <x:c r="N15" s="2">
        <x:v>31</x:v>
      </x:c>
      <x:c r="O15" s="2"/>
      <x:c r="P15" s="2"/>
      <x:c r="Q15" s="2" t="s">
        <x:v>111</x:v>
      </x:c>
      <x:c r="R15" s="2">
        <x:v>31</x:v>
      </x:c>
      <x:c r="S15" s="2" t="s">
        <x:v>111</x:v>
      </x:c>
      <x:c r="T15" s="2">
        <x:v>9</x:v>
      </x:c>
      <x:c r="U15" s="2"/>
      <x:c r="V15" s="2"/>
      <x:c r="W15" s="2"/>
      <x:c r="X15" s="2" t="s">
        <x:v>145</x:v>
      </x:c>
      <x:c r="Y15" s="2" t="s">
        <x:v>113</x:v>
      </x:c>
      <x:c r="Z15" s="2" t="s">
        <x:v>114</x:v>
      </x:c>
    </x:row>
    <x:row r="16" ht="40.5">
      <x:c r="A16" s="2">
        <x:v>88</x:v>
      </x:c>
      <x:c r="B16" s="2">
        <x:v>1078775</x:v>
      </x:c>
      <x:c r="C16" s="2">
        <x:v>10208</x:v>
      </x:c>
      <x:c r="D16" s="2">
        <x:v>6079</x:v>
      </x:c>
      <x:c r="E16" s="2" t="s">
        <x:v>39</x:v>
      </x:c>
      <x:c r="F16" s="2" t="s">
        <x:v>144</x:v>
      </x:c>
      <x:c r="G16" s="2" t="s">
        <x:v>135</x:v>
      </x:c>
      <x:c r="H16" s="2" t="s">
        <x:v>135</x:v>
      </x:c>
      <x:c r="I16" s="2"/>
      <x:c r="J16" s="2">
        <x:v>2</x:v>
      </x:c>
      <x:c r="K16" s="2" t="s">
        <x:v>117</x:v>
      </x:c>
      <x:c r="L16" s="2" t="s">
        <x:v>110</x:v>
      </x:c>
      <x:c r="M16" s="2"/>
      <x:c r="N16" s="2">
        <x:v>32</x:v>
      </x:c>
      <x:c r="O16" s="2"/>
      <x:c r="P16" s="2"/>
      <x:c r="Q16" s="2" t="s">
        <x:v>111</x:v>
      </x:c>
      <x:c r="R16" s="2">
        <x:v>32</x:v>
      </x:c>
      <x:c r="S16" s="2" t="s">
        <x:v>111</x:v>
      </x:c>
      <x:c r="T16" s="2">
        <x:v>9</x:v>
      </x:c>
      <x:c r="U16" s="2"/>
      <x:c r="V16" s="2"/>
      <x:c r="W16" s="2"/>
      <x:c r="X16" s="2" t="s">
        <x:v>145</x:v>
      </x:c>
      <x:c r="Y16" s="2" t="s">
        <x:v>113</x:v>
      </x:c>
      <x:c r="Z16" s="2" t="s">
        <x:v>114</x:v>
      </x:c>
    </x:row>
    <x:row r="17" ht="40.5">
      <x:c r="A17" s="2">
        <x:v>103</x:v>
      </x:c>
      <x:c r="B17" s="2">
        <x:v>1078774</x:v>
      </x:c>
      <x:c r="C17" s="2">
        <x:v>10207</x:v>
      </x:c>
      <x:c r="D17" s="2">
        <x:v>6079</x:v>
      </x:c>
      <x:c r="E17" s="2" t="s">
        <x:v>39</x:v>
      </x:c>
      <x:c r="F17" s="2" t="s">
        <x:v>144</x:v>
      </x:c>
      <x:c r="G17" s="2" t="s">
        <x:v>135</x:v>
      </x:c>
      <x:c r="H17" s="2" t="s">
        <x:v>135</x:v>
      </x:c>
      <x:c r="I17" s="2" t="s">
        <x:v>108</x:v>
      </x:c>
      <x:c r="J17" s="2">
        <x:v>2</x:v>
      </x:c>
      <x:c r="K17" s="2" t="s">
        <x:v>117</x:v>
      </x:c>
      <x:c r="L17" s="2" t="s">
        <x:v>110</x:v>
      </x:c>
      <x:c r="M17" s="2"/>
      <x:c r="N17" s="2">
        <x:v>22</x:v>
      </x:c>
      <x:c r="O17" s="2"/>
      <x:c r="P17" s="2"/>
      <x:c r="Q17" s="2" t="s">
        <x:v>111</x:v>
      </x:c>
      <x:c r="R17" s="2">
        <x:v>22</x:v>
      </x:c>
      <x:c r="S17" s="2" t="s">
        <x:v>111</x:v>
      </x:c>
      <x:c r="T17" s="2">
        <x:v>21</x:v>
      </x:c>
      <x:c r="U17" s="2"/>
      <x:c r="V17" s="2"/>
      <x:c r="W17" s="2"/>
      <x:c r="X17" s="2" t="s">
        <x:v>145</x:v>
      </x:c>
      <x:c r="Y17" s="2" t="s">
        <x:v>113</x:v>
      </x:c>
      <x:c r="Z17" s="2" t="s">
        <x:v>114</x:v>
      </x:c>
    </x:row>
    <x:row r="18">
      <x:c r="A18" s="2">
        <x:v>105</x:v>
      </x:c>
      <x:c r="B18" s="2">
        <x:v>1053473</x:v>
      </x:c>
      <x:c r="C18" s="2">
        <x:v>129431</x:v>
      </x:c>
      <x:c r="D18" s="2">
        <x:v>3734</x:v>
      </x:c>
      <x:c r="E18" s="2" t="s">
        <x:v>39</x:v>
      </x:c>
      <x:c r="F18" s="2" t="s">
        <x:v>144</x:v>
      </x:c>
      <x:c r="G18" s="2" t="s">
        <x:v>146</x:v>
      </x:c>
      <x:c r="H18" s="2" t="s">
        <x:v>135</x:v>
      </x:c>
      <x:c r="I18" s="2"/>
      <x:c r="J18" s="2">
        <x:v>4</x:v>
      </x:c>
      <x:c r="K18" s="2" t="s">
        <x:v>117</x:v>
      </x:c>
      <x:c r="L18" s="2" t="s">
        <x:v>110</x:v>
      </x:c>
      <x:c r="M18" s="2"/>
      <x:c r="N18" s="2">
        <x:v>79</x:v>
      </x:c>
      <x:c r="O18" s="2">
        <x:v>45</x:v>
      </x:c>
      <x:c r="P18" s="2">
        <x:v>112</x:v>
      </x:c>
      <x:c r="Q18" s="2" t="s">
        <x:v>111</x:v>
      </x:c>
      <x:c r="R18" s="2">
        <x:v>79</x:v>
      </x:c>
      <x:c r="S18" s="2" t="s">
        <x:v>111</x:v>
      </x:c>
      <x:c r="T18" s="2">
        <x:v>20</x:v>
      </x:c>
      <x:c r="U18" s="2">
        <x:v>30</x:v>
      </x:c>
      <x:c r="V18" s="2"/>
      <x:c r="W18" s="2"/>
      <x:c r="X18" s="2" t="s">
        <x:v>143</x:v>
      </x:c>
      <x:c r="Y18" s="2" t="s">
        <x:v>113</x:v>
      </x:c>
      <x:c r="Z18" s="2" t="s">
        <x:v>114</x:v>
      </x:c>
    </x:row>
    <x:row r="19" ht="27">
      <x:c r="A19" s="2">
        <x:v>111</x:v>
      </x:c>
      <x:c r="B19" s="2">
        <x:v>1111935</x:v>
      </x:c>
      <x:c r="C19" s="2">
        <x:v>21216</x:v>
      </x:c>
      <x:c r="D19" s="2">
        <x:v>8445</x:v>
      </x:c>
      <x:c r="E19" s="2" t="s">
        <x:v>39</x:v>
      </x:c>
      <x:c r="F19" s="2" t="s">
        <x:v>144</x:v>
      </x:c>
      <x:c r="G19" s="2" t="s">
        <x:v>134</x:v>
      </x:c>
      <x:c r="H19" s="2" t="s">
        <x:v>135</x:v>
      </x:c>
      <x:c r="I19" s="2"/>
      <x:c r="J19" s="2">
        <x:v>2</x:v>
      </x:c>
      <x:c r="K19" s="2" t="s">
        <x:v>117</x:v>
      </x:c>
      <x:c r="L19" s="2" t="s">
        <x:v>110</x:v>
      </x:c>
      <x:c r="M19" s="2"/>
      <x:c r="N19" s="2">
        <x:v>17</x:v>
      </x:c>
      <x:c r="O19" s="2"/>
      <x:c r="P19" s="2"/>
      <x:c r="Q19" s="2" t="s">
        <x:v>111</x:v>
      </x:c>
      <x:c r="R19" s="2">
        <x:v>17</x:v>
      </x:c>
      <x:c r="S19" s="2" t="s">
        <x:v>111</x:v>
      </x:c>
      <x:c r="T19" s="2">
        <x:v>20</x:v>
      </x:c>
      <x:c r="U19" s="2">
        <x:v>10</x:v>
      </x:c>
      <x:c r="V19" s="2"/>
      <x:c r="W19" s="2"/>
      <x:c r="X19" s="2" t="s">
        <x:v>147</x:v>
      </x:c>
      <x:c r="Y19" s="2" t="s">
        <x:v>113</x:v>
      </x:c>
      <x:c r="Z19" s="2" t="s">
        <x:v>114</x:v>
      </x:c>
    </x:row>
    <x:row r="20" ht="27">
      <x:c r="A20" s="2">
        <x:v>112</x:v>
      </x:c>
      <x:c r="B20" s="2">
        <x:v>1111929</x:v>
      </x:c>
      <x:c r="C20" s="2">
        <x:v>21210</x:v>
      </x:c>
      <x:c r="D20" s="2">
        <x:v>8445</x:v>
      </x:c>
      <x:c r="E20" s="2" t="s">
        <x:v>39</x:v>
      </x:c>
      <x:c r="F20" s="2" t="s">
        <x:v>144</x:v>
      </x:c>
      <x:c r="G20" s="2" t="s">
        <x:v>134</x:v>
      </x:c>
      <x:c r="H20" s="2" t="s">
        <x:v>135</x:v>
      </x:c>
      <x:c r="I20" s="2" t="s">
        <x:v>148</x:v>
      </x:c>
      <x:c r="J20" s="2">
        <x:v>4</x:v>
      </x:c>
      <x:c r="K20" s="2" t="s">
        <x:v>117</x:v>
      </x:c>
      <x:c r="L20" s="2" t="s">
        <x:v>110</x:v>
      </x:c>
      <x:c r="M20" s="2"/>
      <x:c r="N20" s="2">
        <x:v>15</x:v>
      </x:c>
      <x:c r="O20" s="2"/>
      <x:c r="P20" s="2"/>
      <x:c r="Q20" s="2" t="s">
        <x:v>111</x:v>
      </x:c>
      <x:c r="R20" s="2">
        <x:v>15</x:v>
      </x:c>
      <x:c r="S20" s="2" t="s">
        <x:v>111</x:v>
      </x:c>
      <x:c r="T20" s="2">
        <x:v>20</x:v>
      </x:c>
      <x:c r="U20" s="2">
        <x:v>10</x:v>
      </x:c>
      <x:c r="V20" s="2"/>
      <x:c r="W20" s="2"/>
      <x:c r="X20" s="2" t="s">
        <x:v>147</x:v>
      </x:c>
      <x:c r="Y20" s="2" t="s">
        <x:v>113</x:v>
      </x:c>
      <x:c r="Z20" s="2" t="s">
        <x:v>114</x:v>
      </x:c>
    </x:row>
    <x:row r="21" ht="27">
      <x:c r="A21" s="2">
        <x:v>113</x:v>
      </x:c>
      <x:c r="B21" s="2">
        <x:v>1111930</x:v>
      </x:c>
      <x:c r="C21" s="2">
        <x:v>21211</x:v>
      </x:c>
      <x:c r="D21" s="2">
        <x:v>8445</x:v>
      </x:c>
      <x:c r="E21" s="2" t="s">
        <x:v>39</x:v>
      </x:c>
      <x:c r="F21" s="2" t="s">
        <x:v>144</x:v>
      </x:c>
      <x:c r="G21" s="2" t="s">
        <x:v>134</x:v>
      </x:c>
      <x:c r="H21" s="2" t="s">
        <x:v>135</x:v>
      </x:c>
      <x:c r="I21" s="2" t="s">
        <x:v>149</x:v>
      </x:c>
      <x:c r="J21" s="2">
        <x:v>1</x:v>
      </x:c>
      <x:c r="K21" s="2" t="s">
        <x:v>117</x:v>
      </x:c>
      <x:c r="L21" s="2" t="s">
        <x:v>110</x:v>
      </x:c>
      <x:c r="M21" s="2"/>
      <x:c r="N21" s="2">
        <x:v>20</x:v>
      </x:c>
      <x:c r="O21" s="2"/>
      <x:c r="P21" s="2"/>
      <x:c r="Q21" s="2" t="s">
        <x:v>111</x:v>
      </x:c>
      <x:c r="R21" s="2">
        <x:v>20</x:v>
      </x:c>
      <x:c r="S21" s="2" t="s">
        <x:v>111</x:v>
      </x:c>
      <x:c r="T21" s="2">
        <x:v>20</x:v>
      </x:c>
      <x:c r="U21" s="2">
        <x:v>10</x:v>
      </x:c>
      <x:c r="V21" s="2"/>
      <x:c r="W21" s="2"/>
      <x:c r="X21" s="2" t="s">
        <x:v>147</x:v>
      </x:c>
      <x:c r="Y21" s="2" t="s">
        <x:v>113</x:v>
      </x:c>
      <x:c r="Z21" s="2" t="s">
        <x:v>114</x:v>
      </x:c>
    </x:row>
    <x:row r="22" ht="27">
      <x:c r="A22" s="2">
        <x:v>114</x:v>
      </x:c>
      <x:c r="B22" s="2">
        <x:v>1111932</x:v>
      </x:c>
      <x:c r="C22" s="2">
        <x:v>21213</x:v>
      </x:c>
      <x:c r="D22" s="2">
        <x:v>8445</x:v>
      </x:c>
      <x:c r="E22" s="2" t="s">
        <x:v>39</x:v>
      </x:c>
      <x:c r="F22" s="2" t="s">
        <x:v>144</x:v>
      </x:c>
      <x:c r="G22" s="2" t="s">
        <x:v>134</x:v>
      </x:c>
      <x:c r="H22" s="2" t="s">
        <x:v>135</x:v>
      </x:c>
      <x:c r="I22" s="2" t="s">
        <x:v>149</x:v>
      </x:c>
      <x:c r="J22" s="2">
        <x:v>3</x:v>
      </x:c>
      <x:c r="K22" s="2" t="s">
        <x:v>117</x:v>
      </x:c>
      <x:c r="L22" s="2" t="s">
        <x:v>110</x:v>
      </x:c>
      <x:c r="M22" s="2"/>
      <x:c r="N22" s="2">
        <x:v>17</x:v>
      </x:c>
      <x:c r="O22" s="2"/>
      <x:c r="P22" s="2"/>
      <x:c r="Q22" s="2" t="s">
        <x:v>111</x:v>
      </x:c>
      <x:c r="R22" s="2">
        <x:v>17</x:v>
      </x:c>
      <x:c r="S22" s="2" t="s">
        <x:v>111</x:v>
      </x:c>
      <x:c r="T22" s="2">
        <x:v>20</x:v>
      </x:c>
      <x:c r="U22" s="2">
        <x:v>10</x:v>
      </x:c>
      <x:c r="V22" s="2"/>
      <x:c r="W22" s="2"/>
      <x:c r="X22" s="2" t="s">
        <x:v>147</x:v>
      </x:c>
      <x:c r="Y22" s="2" t="s">
        <x:v>113</x:v>
      </x:c>
      <x:c r="Z22" s="2" t="s">
        <x:v>114</x:v>
      </x:c>
    </x:row>
    <x:row r="23" ht="27">
      <x:c r="A23" s="2">
        <x:v>115</x:v>
      </x:c>
      <x:c r="B23" s="2">
        <x:v>1111926</x:v>
      </x:c>
      <x:c r="C23" s="2">
        <x:v>21207</x:v>
      </x:c>
      <x:c r="D23" s="2">
        <x:v>8445</x:v>
      </x:c>
      <x:c r="E23" s="2" t="s">
        <x:v>39</x:v>
      </x:c>
      <x:c r="F23" s="2" t="s">
        <x:v>144</x:v>
      </x:c>
      <x:c r="G23" s="2" t="s">
        <x:v>134</x:v>
      </x:c>
      <x:c r="H23" s="2" t="s">
        <x:v>135</x:v>
      </x:c>
      <x:c r="I23" s="2" t="s">
        <x:v>148</x:v>
      </x:c>
      <x:c r="J23" s="2">
        <x:v>1</x:v>
      </x:c>
      <x:c r="K23" s="2" t="s">
        <x:v>117</x:v>
      </x:c>
      <x:c r="L23" s="2" t="s">
        <x:v>110</x:v>
      </x:c>
      <x:c r="M23" s="2"/>
      <x:c r="N23" s="2">
        <x:v>22</x:v>
      </x:c>
      <x:c r="O23" s="2"/>
      <x:c r="P23" s="2"/>
      <x:c r="Q23" s="2" t="s">
        <x:v>111</x:v>
      </x:c>
      <x:c r="R23" s="2">
        <x:v>22</x:v>
      </x:c>
      <x:c r="S23" s="2" t="s">
        <x:v>111</x:v>
      </x:c>
      <x:c r="T23" s="2">
        <x:v>20</x:v>
      </x:c>
      <x:c r="U23" s="2">
        <x:v>10</x:v>
      </x:c>
      <x:c r="V23" s="2"/>
      <x:c r="W23" s="2"/>
      <x:c r="X23" s="2" t="s">
        <x:v>147</x:v>
      </x:c>
      <x:c r="Y23" s="2" t="s">
        <x:v>113</x:v>
      </x:c>
      <x:c r="Z23" s="2" t="s">
        <x:v>114</x:v>
      </x:c>
    </x:row>
    <x:row r="24">
      <x:c r="A24" s="2">
        <x:v>116</x:v>
      </x:c>
      <x:c r="B24" s="2">
        <x:v>1053474</x:v>
      </x:c>
      <x:c r="C24" s="2">
        <x:v>129432</x:v>
      </x:c>
      <x:c r="D24" s="2">
        <x:v>3734</x:v>
      </x:c>
      <x:c r="E24" s="2" t="s">
        <x:v>39</x:v>
      </x:c>
      <x:c r="F24" s="2" t="s">
        <x:v>144</x:v>
      </x:c>
      <x:c r="G24" s="2" t="s">
        <x:v>150</x:v>
      </x:c>
      <x:c r="H24" s="2" t="s">
        <x:v>135</x:v>
      </x:c>
      <x:c r="I24" s="2"/>
      <x:c r="J24" s="2">
        <x:v>4</x:v>
      </x:c>
      <x:c r="K24" s="2" t="s">
        <x:v>117</x:v>
      </x:c>
      <x:c r="L24" s="2" t="s">
        <x:v>110</x:v>
      </x:c>
      <x:c r="M24" s="2"/>
      <x:c r="N24" s="2">
        <x:v>158</x:v>
      </x:c>
      <x:c r="O24" s="2">
        <x:v>102</x:v>
      </x:c>
      <x:c r="P24" s="2">
        <x:v>216</x:v>
      </x:c>
      <x:c r="Q24" s="2" t="s">
        <x:v>111</x:v>
      </x:c>
      <x:c r="R24" s="2">
        <x:v>158</x:v>
      </x:c>
      <x:c r="S24" s="2" t="s">
        <x:v>111</x:v>
      </x:c>
      <x:c r="T24" s="2">
        <x:v>20</x:v>
      </x:c>
      <x:c r="U24" s="2">
        <x:v>30</x:v>
      </x:c>
      <x:c r="V24" s="2"/>
      <x:c r="W24" s="2"/>
      <x:c r="X24" s="2" t="s">
        <x:v>143</x:v>
      </x:c>
      <x:c r="Y24" s="2" t="s">
        <x:v>113</x:v>
      </x:c>
      <x:c r="Z24" s="2" t="s">
        <x:v>114</x:v>
      </x:c>
    </x:row>
    <x:row r="25" ht="27">
      <x:c r="A25" s="2">
        <x:v>117</x:v>
      </x:c>
      <x:c r="B25" s="2">
        <x:v>1111934</x:v>
      </x:c>
      <x:c r="C25" s="2">
        <x:v>21215</x:v>
      </x:c>
      <x:c r="D25" s="2">
        <x:v>8445</x:v>
      </x:c>
      <x:c r="E25" s="2" t="s">
        <x:v>39</x:v>
      </x:c>
      <x:c r="F25" s="2" t="s">
        <x:v>144</x:v>
      </x:c>
      <x:c r="G25" s="2" t="s">
        <x:v>134</x:v>
      </x:c>
      <x:c r="H25" s="2" t="s">
        <x:v>135</x:v>
      </x:c>
      <x:c r="I25" s="2"/>
      <x:c r="J25" s="2">
        <x:v>1</x:v>
      </x:c>
      <x:c r="K25" s="2" t="s">
        <x:v>117</x:v>
      </x:c>
      <x:c r="L25" s="2" t="s">
        <x:v>110</x:v>
      </x:c>
      <x:c r="M25" s="2"/>
      <x:c r="N25" s="2">
        <x:v>17.5</x:v>
      </x:c>
      <x:c r="O25" s="2"/>
      <x:c r="P25" s="2"/>
      <x:c r="Q25" s="2" t="s">
        <x:v>111</x:v>
      </x:c>
      <x:c r="R25" s="2">
        <x:v>17.5</x:v>
      </x:c>
      <x:c r="S25" s="2" t="s">
        <x:v>111</x:v>
      </x:c>
      <x:c r="T25" s="2">
        <x:v>20</x:v>
      </x:c>
      <x:c r="U25" s="2">
        <x:v>10</x:v>
      </x:c>
      <x:c r="V25" s="2"/>
      <x:c r="W25" s="2"/>
      <x:c r="X25" s="2" t="s">
        <x:v>147</x:v>
      </x:c>
      <x:c r="Y25" s="2" t="s">
        <x:v>113</x:v>
      </x:c>
      <x:c r="Z25" s="2" t="s">
        <x:v>114</x:v>
      </x:c>
    </x:row>
    <x:row r="26" ht="27">
      <x:c r="A26" s="2">
        <x:v>118</x:v>
      </x:c>
      <x:c r="B26" s="2">
        <x:v>1111928</x:v>
      </x:c>
      <x:c r="C26" s="2">
        <x:v>21209</x:v>
      </x:c>
      <x:c r="D26" s="2">
        <x:v>8445</x:v>
      </x:c>
      <x:c r="E26" s="2" t="s">
        <x:v>39</x:v>
      </x:c>
      <x:c r="F26" s="2" t="s">
        <x:v>144</x:v>
      </x:c>
      <x:c r="G26" s="2" t="s">
        <x:v>134</x:v>
      </x:c>
      <x:c r="H26" s="2" t="s">
        <x:v>135</x:v>
      </x:c>
      <x:c r="I26" s="2" t="s">
        <x:v>148</x:v>
      </x:c>
      <x:c r="J26" s="2">
        <x:v>3</x:v>
      </x:c>
      <x:c r="K26" s="2" t="s">
        <x:v>117</x:v>
      </x:c>
      <x:c r="L26" s="2" t="s">
        <x:v>110</x:v>
      </x:c>
      <x:c r="M26" s="2"/>
      <x:c r="N26" s="2">
        <x:v>16</x:v>
      </x:c>
      <x:c r="O26" s="2"/>
      <x:c r="P26" s="2"/>
      <x:c r="Q26" s="2" t="s">
        <x:v>111</x:v>
      </x:c>
      <x:c r="R26" s="2">
        <x:v>16</x:v>
      </x:c>
      <x:c r="S26" s="2" t="s">
        <x:v>111</x:v>
      </x:c>
      <x:c r="T26" s="2">
        <x:v>20</x:v>
      </x:c>
      <x:c r="U26" s="2">
        <x:v>10</x:v>
      </x:c>
      <x:c r="V26" s="2"/>
      <x:c r="W26" s="2"/>
      <x:c r="X26" s="2" t="s">
        <x:v>147</x:v>
      </x:c>
      <x:c r="Y26" s="2" t="s">
        <x:v>113</x:v>
      </x:c>
      <x:c r="Z26" s="2" t="s">
        <x:v>114</x:v>
      </x:c>
    </x:row>
    <x:row r="27">
      <x:c r="A27" s="2">
        <x:v>119</x:v>
      </x:c>
      <x:c r="B27" s="2">
        <x:v>1053471</x:v>
      </x:c>
      <x:c r="C27" s="2">
        <x:v>129429</x:v>
      </x:c>
      <x:c r="D27" s="2">
        <x:v>3734</x:v>
      </x:c>
      <x:c r="E27" s="2" t="s">
        <x:v>39</x:v>
      </x:c>
      <x:c r="F27" s="2" t="s">
        <x:v>144</x:v>
      </x:c>
      <x:c r="G27" s="2" t="s">
        <x:v>134</x:v>
      </x:c>
      <x:c r="H27" s="2" t="s">
        <x:v>135</x:v>
      </x:c>
      <x:c r="I27" s="2"/>
      <x:c r="J27" s="2">
        <x:v>4</x:v>
      </x:c>
      <x:c r="K27" s="2" t="s">
        <x:v>117</x:v>
      </x:c>
      <x:c r="L27" s="2" t="s">
        <x:v>110</x:v>
      </x:c>
      <x:c r="M27" s="2"/>
      <x:c r="N27" s="2">
        <x:v>20</x:v>
      </x:c>
      <x:c r="O27" s="2">
        <x:v>7</x:v>
      </x:c>
      <x:c r="P27" s="2">
        <x:v>38</x:v>
      </x:c>
      <x:c r="Q27" s="2" t="s">
        <x:v>111</x:v>
      </x:c>
      <x:c r="R27" s="2">
        <x:v>20</x:v>
      </x:c>
      <x:c r="S27" s="2" t="s">
        <x:v>111</x:v>
      </x:c>
      <x:c r="T27" s="2">
        <x:v>20</x:v>
      </x:c>
      <x:c r="U27" s="2">
        <x:v>30</x:v>
      </x:c>
      <x:c r="V27" s="2"/>
      <x:c r="W27" s="2"/>
      <x:c r="X27" s="2" t="s">
        <x:v>143</x:v>
      </x:c>
      <x:c r="Y27" s="2" t="s">
        <x:v>113</x:v>
      </x:c>
      <x:c r="Z27" s="2" t="s">
        <x:v>114</x:v>
      </x:c>
    </x:row>
    <x:row r="28">
      <x:c r="A28" s="2">
        <x:v>120</x:v>
      </x:c>
      <x:c r="B28" s="2">
        <x:v>1053472</x:v>
      </x:c>
      <x:c r="C28" s="2">
        <x:v>129430</x:v>
      </x:c>
      <x:c r="D28" s="2">
        <x:v>3734</x:v>
      </x:c>
      <x:c r="E28" s="2" t="s">
        <x:v>39</x:v>
      </x:c>
      <x:c r="F28" s="2" t="s">
        <x:v>144</x:v>
      </x:c>
      <x:c r="G28" s="2" t="s">
        <x:v>141</x:v>
      </x:c>
      <x:c r="H28" s="2" t="s">
        <x:v>135</x:v>
      </x:c>
      <x:c r="I28" s="2"/>
      <x:c r="J28" s="2">
        <x:v>4</x:v>
      </x:c>
      <x:c r="K28" s="2" t="s">
        <x:v>117</x:v>
      </x:c>
      <x:c r="L28" s="2" t="s">
        <x:v>110</x:v>
      </x:c>
      <x:c r="M28" s="2"/>
      <x:c r="N28" s="2">
        <x:v>10</x:v>
      </x:c>
      <x:c r="O28" s="2">
        <x:v>8</x:v>
      </x:c>
      <x:c r="P28" s="2">
        <x:v>12</x:v>
      </x:c>
      <x:c r="Q28" s="2" t="s">
        <x:v>111</x:v>
      </x:c>
      <x:c r="R28" s="2">
        <x:v>10</x:v>
      </x:c>
      <x:c r="S28" s="2" t="s">
        <x:v>111</x:v>
      </x:c>
      <x:c r="T28" s="2">
        <x:v>10</x:v>
      </x:c>
      <x:c r="U28" s="2">
        <x:v>30</x:v>
      </x:c>
      <x:c r="V28" s="2"/>
      <x:c r="W28" s="2"/>
      <x:c r="X28" s="2" t="s">
        <x:v>143</x:v>
      </x:c>
      <x:c r="Y28" s="2" t="s">
        <x:v>113</x:v>
      </x:c>
      <x:c r="Z28" s="2" t="s">
        <x:v>114</x:v>
      </x:c>
    </x:row>
    <x:row r="29" ht="27">
      <x:c r="A29" s="2">
        <x:v>121</x:v>
      </x:c>
      <x:c r="B29" s="2">
        <x:v>1111937</x:v>
      </x:c>
      <x:c r="C29" s="2">
        <x:v>21218</x:v>
      </x:c>
      <x:c r="D29" s="2">
        <x:v>8445</x:v>
      </x:c>
      <x:c r="E29" s="2" t="s">
        <x:v>39</x:v>
      </x:c>
      <x:c r="F29" s="2" t="s">
        <x:v>144</x:v>
      </x:c>
      <x:c r="G29" s="2" t="s">
        <x:v>134</x:v>
      </x:c>
      <x:c r="H29" s="2" t="s">
        <x:v>135</x:v>
      </x:c>
      <x:c r="I29" s="2"/>
      <x:c r="J29" s="2">
        <x:v>4</x:v>
      </x:c>
      <x:c r="K29" s="2" t="s">
        <x:v>117</x:v>
      </x:c>
      <x:c r="L29" s="2" t="s">
        <x:v>110</x:v>
      </x:c>
      <x:c r="M29" s="2"/>
      <x:c r="N29" s="2">
        <x:v>10</x:v>
      </x:c>
      <x:c r="O29" s="2"/>
      <x:c r="P29" s="2"/>
      <x:c r="Q29" s="2" t="s">
        <x:v>111</x:v>
      </x:c>
      <x:c r="R29" s="2">
        <x:v>10</x:v>
      </x:c>
      <x:c r="S29" s="2" t="s">
        <x:v>111</x:v>
      </x:c>
      <x:c r="T29" s="2">
        <x:v>20</x:v>
      </x:c>
      <x:c r="U29" s="2">
        <x:v>10</x:v>
      </x:c>
      <x:c r="V29" s="2"/>
      <x:c r="W29" s="2"/>
      <x:c r="X29" s="2" t="s">
        <x:v>147</x:v>
      </x:c>
      <x:c r="Y29" s="2" t="s">
        <x:v>113</x:v>
      </x:c>
      <x:c r="Z29" s="2" t="s">
        <x:v>114</x:v>
      </x:c>
    </x:row>
    <x:row r="30" ht="27">
      <x:c r="A30" s="2">
        <x:v>122</x:v>
      </x:c>
      <x:c r="B30" s="2">
        <x:v>1111936</x:v>
      </x:c>
      <x:c r="C30" s="2">
        <x:v>21217</x:v>
      </x:c>
      <x:c r="D30" s="2">
        <x:v>8445</x:v>
      </x:c>
      <x:c r="E30" s="2" t="s">
        <x:v>39</x:v>
      </x:c>
      <x:c r="F30" s="2" t="s">
        <x:v>144</x:v>
      </x:c>
      <x:c r="G30" s="2" t="s">
        <x:v>134</x:v>
      </x:c>
      <x:c r="H30" s="2" t="s">
        <x:v>135</x:v>
      </x:c>
      <x:c r="I30" s="2"/>
      <x:c r="J30" s="2">
        <x:v>3</x:v>
      </x:c>
      <x:c r="K30" s="2" t="s">
        <x:v>117</x:v>
      </x:c>
      <x:c r="L30" s="2" t="s">
        <x:v>110</x:v>
      </x:c>
      <x:c r="M30" s="2"/>
      <x:c r="N30" s="2">
        <x:v>13</x:v>
      </x:c>
      <x:c r="O30" s="2"/>
      <x:c r="P30" s="2"/>
      <x:c r="Q30" s="2" t="s">
        <x:v>111</x:v>
      </x:c>
      <x:c r="R30" s="2">
        <x:v>13</x:v>
      </x:c>
      <x:c r="S30" s="2" t="s">
        <x:v>111</x:v>
      </x:c>
      <x:c r="T30" s="2">
        <x:v>20</x:v>
      </x:c>
      <x:c r="U30" s="2">
        <x:v>10</x:v>
      </x:c>
      <x:c r="V30" s="2"/>
      <x:c r="W30" s="2"/>
      <x:c r="X30" s="2" t="s">
        <x:v>147</x:v>
      </x:c>
      <x:c r="Y30" s="2" t="s">
        <x:v>113</x:v>
      </x:c>
      <x:c r="Z30" s="2" t="s">
        <x:v>114</x:v>
      </x:c>
    </x:row>
    <x:row r="31" ht="27">
      <x:c r="A31" s="2">
        <x:v>123</x:v>
      </x:c>
      <x:c r="B31" s="2">
        <x:v>1111931</x:v>
      </x:c>
      <x:c r="C31" s="2">
        <x:v>21212</x:v>
      </x:c>
      <x:c r="D31" s="2">
        <x:v>8445</x:v>
      </x:c>
      <x:c r="E31" s="2" t="s">
        <x:v>39</x:v>
      </x:c>
      <x:c r="F31" s="2" t="s">
        <x:v>144</x:v>
      </x:c>
      <x:c r="G31" s="2" t="s">
        <x:v>134</x:v>
      </x:c>
      <x:c r="H31" s="2" t="s">
        <x:v>135</x:v>
      </x:c>
      <x:c r="I31" s="2" t="s">
        <x:v>149</x:v>
      </x:c>
      <x:c r="J31" s="2">
        <x:v>2</x:v>
      </x:c>
      <x:c r="K31" s="2" t="s">
        <x:v>117</x:v>
      </x:c>
      <x:c r="L31" s="2" t="s">
        <x:v>110</x:v>
      </x:c>
      <x:c r="M31" s="2"/>
      <x:c r="N31" s="2">
        <x:v>19</x:v>
      </x:c>
      <x:c r="O31" s="2"/>
      <x:c r="P31" s="2"/>
      <x:c r="Q31" s="2" t="s">
        <x:v>111</x:v>
      </x:c>
      <x:c r="R31" s="2">
        <x:v>19</x:v>
      </x:c>
      <x:c r="S31" s="2" t="s">
        <x:v>111</x:v>
      </x:c>
      <x:c r="T31" s="2">
        <x:v>20</x:v>
      </x:c>
      <x:c r="U31" s="2">
        <x:v>10</x:v>
      </x:c>
      <x:c r="V31" s="2"/>
      <x:c r="W31" s="2"/>
      <x:c r="X31" s="2" t="s">
        <x:v>147</x:v>
      </x:c>
      <x:c r="Y31" s="2" t="s">
        <x:v>113</x:v>
      </x:c>
      <x:c r="Z31" s="2" t="s">
        <x:v>114</x:v>
      </x:c>
    </x:row>
    <x:row r="32" ht="27">
      <x:c r="A32" s="2">
        <x:v>124</x:v>
      </x:c>
      <x:c r="B32" s="2">
        <x:v>1111933</x:v>
      </x:c>
      <x:c r="C32" s="2">
        <x:v>21214</x:v>
      </x:c>
      <x:c r="D32" s="2">
        <x:v>8445</x:v>
      </x:c>
      <x:c r="E32" s="2" t="s">
        <x:v>39</x:v>
      </x:c>
      <x:c r="F32" s="2" t="s">
        <x:v>144</x:v>
      </x:c>
      <x:c r="G32" s="2" t="s">
        <x:v>134</x:v>
      </x:c>
      <x:c r="H32" s="2" t="s">
        <x:v>135</x:v>
      </x:c>
      <x:c r="I32" s="2" t="s">
        <x:v>149</x:v>
      </x:c>
      <x:c r="J32" s="2">
        <x:v>4</x:v>
      </x:c>
      <x:c r="K32" s="2" t="s">
        <x:v>117</x:v>
      </x:c>
      <x:c r="L32" s="2" t="s">
        <x:v>110</x:v>
      </x:c>
      <x:c r="M32" s="2"/>
      <x:c r="N32" s="2">
        <x:v>14</x:v>
      </x:c>
      <x:c r="O32" s="2"/>
      <x:c r="P32" s="2"/>
      <x:c r="Q32" s="2" t="s">
        <x:v>111</x:v>
      </x:c>
      <x:c r="R32" s="2">
        <x:v>14</x:v>
      </x:c>
      <x:c r="S32" s="2" t="s">
        <x:v>111</x:v>
      </x:c>
      <x:c r="T32" s="2">
        <x:v>20</x:v>
      </x:c>
      <x:c r="U32" s="2">
        <x:v>10</x:v>
      </x:c>
      <x:c r="V32" s="2"/>
      <x:c r="W32" s="2"/>
      <x:c r="X32" s="2" t="s">
        <x:v>147</x:v>
      </x:c>
      <x:c r="Y32" s="2" t="s">
        <x:v>113</x:v>
      </x:c>
      <x:c r="Z32" s="2" t="s">
        <x:v>114</x:v>
      </x:c>
    </x:row>
    <x:row r="33" ht="27">
      <x:c r="A33" s="2">
        <x:v>125</x:v>
      </x:c>
      <x:c r="B33" s="2">
        <x:v>1111927</x:v>
      </x:c>
      <x:c r="C33" s="2">
        <x:v>21208</x:v>
      </x:c>
      <x:c r="D33" s="2">
        <x:v>8445</x:v>
      </x:c>
      <x:c r="E33" s="2" t="s">
        <x:v>39</x:v>
      </x:c>
      <x:c r="F33" s="2" t="s">
        <x:v>144</x:v>
      </x:c>
      <x:c r="G33" s="2" t="s">
        <x:v>134</x:v>
      </x:c>
      <x:c r="H33" s="2" t="s">
        <x:v>135</x:v>
      </x:c>
      <x:c r="I33" s="2" t="s">
        <x:v>148</x:v>
      </x:c>
      <x:c r="J33" s="2">
        <x:v>2</x:v>
      </x:c>
      <x:c r="K33" s="2" t="s">
        <x:v>117</x:v>
      </x:c>
      <x:c r="L33" s="2" t="s">
        <x:v>110</x:v>
      </x:c>
      <x:c r="M33" s="2"/>
      <x:c r="N33" s="2">
        <x:v>19</x:v>
      </x:c>
      <x:c r="O33" s="2"/>
      <x:c r="P33" s="2"/>
      <x:c r="Q33" s="2" t="s">
        <x:v>111</x:v>
      </x:c>
      <x:c r="R33" s="2">
        <x:v>19</x:v>
      </x:c>
      <x:c r="S33" s="2" t="s">
        <x:v>111</x:v>
      </x:c>
      <x:c r="T33" s="2">
        <x:v>20</x:v>
      </x:c>
      <x:c r="U33" s="2">
        <x:v>10</x:v>
      </x:c>
      <x:c r="V33" s="2"/>
      <x:c r="W33" s="2"/>
      <x:c r="X33" s="2" t="s">
        <x:v>147</x:v>
      </x:c>
      <x:c r="Y33" s="2" t="s">
        <x:v>113</x:v>
      </x:c>
      <x:c r="Z33" s="2" t="s">
        <x:v>114</x:v>
      </x:c>
    </x:row>
    <x:row r="34">
      <x:c r="A34" s="2">
        <x:v>129</x:v>
      </x:c>
      <x:c r="B34" s="2">
        <x:v>1053477</x:v>
      </x:c>
      <x:c r="C34" s="2">
        <x:v>129435</x:v>
      </x:c>
      <x:c r="D34" s="2">
        <x:v>3734</x:v>
      </x:c>
      <x:c r="E34" s="2" t="s">
        <x:v>45</x:v>
      </x:c>
      <x:c r="F34" s="2" t="s">
        <x:v>151</x:v>
      </x:c>
      <x:c r="G34" s="2" t="s">
        <x:v>146</x:v>
      </x:c>
      <x:c r="H34" s="2" t="s">
        <x:v>135</x:v>
      </x:c>
      <x:c r="I34" s="2"/>
      <x:c r="J34" s="2">
        <x:v>3</x:v>
      </x:c>
      <x:c r="K34" s="2" t="s">
        <x:v>117</x:v>
      </x:c>
      <x:c r="L34" s="2" t="s">
        <x:v>110</x:v>
      </x:c>
      <x:c r="M34" s="2"/>
      <x:c r="N34" s="2">
        <x:v>9100</x:v>
      </x:c>
      <x:c r="O34" s="2">
        <x:v>6170</x:v>
      </x:c>
      <x:c r="P34" s="2">
        <x:v>12400</x:v>
      </x:c>
      <x:c r="Q34" s="2" t="s">
        <x:v>111</x:v>
      </x:c>
      <x:c r="R34" s="2">
        <x:v>9100</x:v>
      </x:c>
      <x:c r="S34" s="2" t="s">
        <x:v>111</x:v>
      </x:c>
      <x:c r="T34" s="2">
        <x:v>20</x:v>
      </x:c>
      <x:c r="U34" s="2">
        <x:v>30</x:v>
      </x:c>
      <x:c r="V34" s="2"/>
      <x:c r="W34" s="2"/>
      <x:c r="X34" s="2" t="s">
        <x:v>143</x:v>
      </x:c>
      <x:c r="Y34" s="2" t="s">
        <x:v>113</x:v>
      </x:c>
      <x:c r="Z34" s="2" t="s">
        <x:v>114</x:v>
      </x:c>
    </x:row>
    <x:row r="35">
      <x:c r="A35" s="2">
        <x:v>134</x:v>
      </x:c>
      <x:c r="B35" s="2">
        <x:v>1053476</x:v>
      </x:c>
      <x:c r="C35" s="2">
        <x:v>129434</x:v>
      </x:c>
      <x:c r="D35" s="2">
        <x:v>3734</x:v>
      </x:c>
      <x:c r="E35" s="2" t="s">
        <x:v>45</x:v>
      </x:c>
      <x:c r="F35" s="2" t="s">
        <x:v>151</x:v>
      </x:c>
      <x:c r="G35" s="2" t="s">
        <x:v>141</x:v>
      </x:c>
      <x:c r="H35" s="2" t="s">
        <x:v>135</x:v>
      </x:c>
      <x:c r="I35" s="2"/>
      <x:c r="J35" s="2">
        <x:v>4</x:v>
      </x:c>
      <x:c r="K35" s="2" t="s">
        <x:v>117</x:v>
      </x:c>
      <x:c r="L35" s="2" t="s">
        <x:v>110</x:v>
      </x:c>
      <x:c r="M35" s="2"/>
      <x:c r="N35" s="2">
        <x:v>2076</x:v>
      </x:c>
      <x:c r="O35" s="2">
        <x:v>1525</x:v>
      </x:c>
      <x:c r="P35" s="2">
        <x:v>2900</x:v>
      </x:c>
      <x:c r="Q35" s="2" t="s">
        <x:v>111</x:v>
      </x:c>
      <x:c r="R35" s="2">
        <x:v>2076</x:v>
      </x:c>
      <x:c r="S35" s="2" t="s">
        <x:v>111</x:v>
      </x:c>
      <x:c r="T35" s="2">
        <x:v>10</x:v>
      </x:c>
      <x:c r="U35" s="2">
        <x:v>30</x:v>
      </x:c>
      <x:c r="V35" s="2"/>
      <x:c r="W35" s="2"/>
      <x:c r="X35" s="2" t="s">
        <x:v>143</x:v>
      </x:c>
      <x:c r="Y35" s="2" t="s">
        <x:v>113</x:v>
      </x:c>
      <x:c r="Z35" s="2" t="s">
        <x:v>114</x:v>
      </x:c>
    </x:row>
    <x:row r="36">
      <x:c r="A36" s="2">
        <x:v>135</x:v>
      </x:c>
      <x:c r="B36" s="2">
        <x:v>1053478</x:v>
      </x:c>
      <x:c r="C36" s="2">
        <x:v>129436</x:v>
      </x:c>
      <x:c r="D36" s="2">
        <x:v>3734</x:v>
      </x:c>
      <x:c r="E36" s="2" t="s">
        <x:v>45</x:v>
      </x:c>
      <x:c r="F36" s="2" t="s">
        <x:v>151</x:v>
      </x:c>
      <x:c r="G36" s="2" t="s">
        <x:v>150</x:v>
      </x:c>
      <x:c r="H36" s="2" t="s">
        <x:v>135</x:v>
      </x:c>
      <x:c r="I36" s="2"/>
      <x:c r="J36" s="2">
        <x:v>4</x:v>
      </x:c>
      <x:c r="K36" s="2" t="s">
        <x:v>117</x:v>
      </x:c>
      <x:c r="L36" s="2" t="s">
        <x:v>110</x:v>
      </x:c>
      <x:c r="M36" s="2"/>
      <x:c r="N36" s="2">
        <x:v>9670</x:v>
      </x:c>
      <x:c r="O36" s="2">
        <x:v>7350</x:v>
      </x:c>
      <x:c r="P36" s="2">
        <x:v>12120</x:v>
      </x:c>
      <x:c r="Q36" s="2" t="s">
        <x:v>111</x:v>
      </x:c>
      <x:c r="R36" s="2">
        <x:v>9670</x:v>
      </x:c>
      <x:c r="S36" s="2" t="s">
        <x:v>111</x:v>
      </x:c>
      <x:c r="T36" s="2">
        <x:v>20</x:v>
      </x:c>
      <x:c r="U36" s="2">
        <x:v>30</x:v>
      </x:c>
      <x:c r="V36" s="2"/>
      <x:c r="W36" s="2"/>
      <x:c r="X36" s="2" t="s">
        <x:v>143</x:v>
      </x:c>
      <x:c r="Y36" s="2" t="s">
        <x:v>113</x:v>
      </x:c>
      <x:c r="Z36" s="2" t="s">
        <x:v>114</x:v>
      </x:c>
    </x:row>
    <x:row r="37">
      <x:c r="A37" s="2">
        <x:v>136</x:v>
      </x:c>
      <x:c r="B37" s="2">
        <x:v>1053475</x:v>
      </x:c>
      <x:c r="C37" s="2">
        <x:v>129433</x:v>
      </x:c>
      <x:c r="D37" s="2">
        <x:v>3734</x:v>
      </x:c>
      <x:c r="E37" s="2" t="s">
        <x:v>45</x:v>
      </x:c>
      <x:c r="F37" s="2" t="s">
        <x:v>151</x:v>
      </x:c>
      <x:c r="G37" s="2" t="s">
        <x:v>134</x:v>
      </x:c>
      <x:c r="H37" s="2" t="s">
        <x:v>135</x:v>
      </x:c>
      <x:c r="I37" s="2"/>
      <x:c r="J37" s="2">
        <x:v>3</x:v>
      </x:c>
      <x:c r="K37" s="2" t="s">
        <x:v>117</x:v>
      </x:c>
      <x:c r="L37" s="2" t="s">
        <x:v>110</x:v>
      </x:c>
      <x:c r="M37" s="2"/>
      <x:c r="N37" s="2">
        <x:v>460</x:v>
      </x:c>
      <x:c r="O37" s="2">
        <x:v>260</x:v>
      </x:c>
      <x:c r="P37" s="2">
        <x:v>710</x:v>
      </x:c>
      <x:c r="Q37" s="2" t="s">
        <x:v>111</x:v>
      </x:c>
      <x:c r="R37" s="2">
        <x:v>460</x:v>
      </x:c>
      <x:c r="S37" s="2" t="s">
        <x:v>111</x:v>
      </x:c>
      <x:c r="T37" s="2">
        <x:v>20</x:v>
      </x:c>
      <x:c r="U37" s="2">
        <x:v>30</x:v>
      </x:c>
      <x:c r="V37" s="2"/>
      <x:c r="W37" s="2"/>
      <x:c r="X37" s="2" t="s">
        <x:v>143</x:v>
      </x:c>
      <x:c r="Y37" s="2" t="s">
        <x:v>113</x:v>
      </x:c>
      <x:c r="Z37" s="2" t="s">
        <x:v>114</x:v>
      </x:c>
    </x:row>
    <x:row r="38" ht="27">
      <x:c r="A38" s="2">
        <x:v>138</x:v>
      </x:c>
      <x:c r="B38" s="2">
        <x:v>1284914</x:v>
      </x:c>
      <x:c r="C38" s="2">
        <x:v>738947</x:v>
      </x:c>
      <x:c r="D38" s="2">
        <x:v>59900</x:v>
      </x:c>
      <x:c r="E38" s="2" t="s">
        <x:v>27</x:v>
      </x:c>
      <x:c r="F38" s="2" t="s">
        <x:v>152</x:v>
      </x:c>
      <x:c r="G38" s="2" t="s">
        <x:v>153</x:v>
      </x:c>
      <x:c r="H38" s="2" t="s">
        <x:v>135</x:v>
      </x:c>
      <x:c r="I38" s="2"/>
      <x:c r="J38" s="2">
        <x:v>2</x:v>
      </x:c>
      <x:c r="K38" s="2" t="s">
        <x:v>117</x:v>
      </x:c>
      <x:c r="L38" s="2" t="s">
        <x:v>110</x:v>
      </x:c>
      <x:c r="M38" s="2"/>
      <x:c r="N38" s="2">
        <x:v>400</x:v>
      </x:c>
      <x:c r="O38" s="2"/>
      <x:c r="P38" s="2"/>
      <x:c r="Q38" s="2" t="s">
        <x:v>154</x:v>
      </x:c>
      <x:c r="R38" s="2">
        <x:v>400</x:v>
      </x:c>
      <x:c r="S38" s="2" t="s">
        <x:v>154</x:v>
      </x:c>
      <x:c r="T38" s="2">
        <x:v>15</x:v>
      </x:c>
      <x:c r="U38" s="2"/>
      <x:c r="V38" s="2">
        <x:v>8</x:v>
      </x:c>
      <x:c r="W38" s="2">
        <x:v>1</x:v>
      </x:c>
      <x:c r="X38" s="2" t="s">
        <x:v>155</x:v>
      </x:c>
      <x:c r="Y38" s="2" t="s">
        <x:v>113</x:v>
      </x:c>
      <x:c r="Z38" s="2" t="s">
        <x:v>114</x:v>
      </x:c>
    </x:row>
    <x:row r="39">
      <x:c r="A39" s="2">
        <x:v>139</x:v>
      </x:c>
      <x:c r="B39" s="2">
        <x:v>1053694</x:v>
      </x:c>
      <x:c r="C39" s="2">
        <x:v>194885</x:v>
      </x:c>
      <x:c r="D39" s="2">
        <x:v>3751</x:v>
      </x:c>
      <x:c r="E39" s="2" t="s">
        <x:v>27</x:v>
      </x:c>
      <x:c r="F39" s="2" t="s">
        <x:v>152</x:v>
      </x:c>
      <x:c r="G39" s="2" t="s">
        <x:v>134</x:v>
      </x:c>
      <x:c r="H39" s="2" t="s">
        <x:v>135</x:v>
      </x:c>
      <x:c r="I39" s="2" t="s">
        <x:v>108</x:v>
      </x:c>
      <x:c r="J39" s="2">
        <x:v>4</x:v>
      </x:c>
      <x:c r="K39" s="2" t="s">
        <x:v>109</x:v>
      </x:c>
      <x:c r="L39" s="2" t="s">
        <x:v>110</x:v>
      </x:c>
      <x:c r="M39" s="2"/>
      <x:c r="N39" s="2">
        <x:v>43</x:v>
      </x:c>
      <x:c r="O39" s="2">
        <x:v>30</x:v>
      </x:c>
      <x:c r="P39" s="2">
        <x:v>60</x:v>
      </x:c>
      <x:c r="Q39" s="2" t="s">
        <x:v>111</x:v>
      </x:c>
      <x:c r="R39" s="2">
        <x:v>43</x:v>
      </x:c>
      <x:c r="S39" s="2" t="s">
        <x:v>111</x:v>
      </x:c>
      <x:c r="T39" s="2">
        <x:v>20</x:v>
      </x:c>
      <x:c r="U39" s="2">
        <x:v>30</x:v>
      </x:c>
      <x:c r="V39" s="2"/>
      <x:c r="W39" s="2"/>
      <x:c r="X39" s="2" t="s">
        <x:v>143</x:v>
      </x:c>
      <x:c r="Y39" s="2" t="s">
        <x:v>113</x:v>
      </x:c>
      <x:c r="Z39" s="2" t="s">
        <x:v>114</x:v>
      </x:c>
    </x:row>
    <x:row r="40">
      <x:c r="A40" s="2">
        <x:v>140</x:v>
      </x:c>
      <x:c r="B40" s="2">
        <x:v>1053693</x:v>
      </x:c>
      <x:c r="C40" s="2">
        <x:v>194884</x:v>
      </x:c>
      <x:c r="D40" s="2">
        <x:v>3751</x:v>
      </x:c>
      <x:c r="E40" s="2" t="s">
        <x:v>27</x:v>
      </x:c>
      <x:c r="F40" s="2" t="s">
        <x:v>152</x:v>
      </x:c>
      <x:c r="G40" s="2" t="s">
        <x:v>141</x:v>
      </x:c>
      <x:c r="H40" s="2" t="s">
        <x:v>135</x:v>
      </x:c>
      <x:c r="I40" s="2" t="s">
        <x:v>108</x:v>
      </x:c>
      <x:c r="J40" s="2">
        <x:v>4</x:v>
      </x:c>
      <x:c r="K40" s="2" t="s">
        <x:v>109</x:v>
      </x:c>
      <x:c r="L40" s="2" t="s">
        <x:v>110</x:v>
      </x:c>
      <x:c r="M40" s="2"/>
      <x:c r="N40" s="2">
        <x:v>15</x:v>
      </x:c>
      <x:c r="O40" s="2">
        <x:v>10</x:v>
      </x:c>
      <x:c r="P40" s="2">
        <x:v>19</x:v>
      </x:c>
      <x:c r="Q40" s="2" t="s">
        <x:v>111</x:v>
      </x:c>
      <x:c r="R40" s="2">
        <x:v>15</x:v>
      </x:c>
      <x:c r="S40" s="2" t="s">
        <x:v>111</x:v>
      </x:c>
      <x:c r="T40" s="2">
        <x:v>10</x:v>
      </x:c>
      <x:c r="U40" s="2">
        <x:v>30</x:v>
      </x:c>
      <x:c r="V40" s="2"/>
      <x:c r="W40" s="2"/>
      <x:c r="X40" s="2" t="s">
        <x:v>143</x:v>
      </x:c>
      <x:c r="Y40" s="2" t="s">
        <x:v>113</x:v>
      </x:c>
      <x:c r="Z40" s="2" t="s">
        <x:v>114</x:v>
      </x:c>
    </x:row>
    <x:row r="41" ht="27">
      <x:c r="A41" s="2">
        <x:v>184</x:v>
      </x:c>
      <x:c r="B41" s="2">
        <x:v>1111942</x:v>
      </x:c>
      <x:c r="C41" s="2">
        <x:v>23768</x:v>
      </x:c>
      <x:c r="D41" s="2">
        <x:v>8445</x:v>
      </x:c>
      <x:c r="E41" s="2" t="s">
        <x:v>16</x:v>
      </x:c>
      <x:c r="F41" s="2" t="s">
        <x:v>156</x:v>
      </x:c>
      <x:c r="G41" s="2" t="s">
        <x:v>134</x:v>
      </x:c>
      <x:c r="H41" s="2" t="s">
        <x:v>135</x:v>
      </x:c>
      <x:c r="I41" s="2" t="s">
        <x:v>149</x:v>
      </x:c>
      <x:c r="J41" s="2">
        <x:v>4</x:v>
      </x:c>
      <x:c r="K41" s="2" t="s">
        <x:v>117</x:v>
      </x:c>
      <x:c r="L41" s="2" t="s">
        <x:v>110</x:v>
      </x:c>
      <x:c r="M41" s="2"/>
      <x:c r="N41" s="2">
        <x:v>190</x:v>
      </x:c>
      <x:c r="O41" s="2"/>
      <x:c r="P41" s="2"/>
      <x:c r="Q41" s="2" t="s">
        <x:v>111</x:v>
      </x:c>
      <x:c r="R41" s="2">
        <x:v>190</x:v>
      </x:c>
      <x:c r="S41" s="2" t="s">
        <x:v>111</x:v>
      </x:c>
      <x:c r="T41" s="2">
        <x:v>20</x:v>
      </x:c>
      <x:c r="U41" s="2">
        <x:v>10</x:v>
      </x:c>
      <x:c r="V41" s="2"/>
      <x:c r="W41" s="2"/>
      <x:c r="X41" s="2" t="s">
        <x:v>147</x:v>
      </x:c>
      <x:c r="Y41" s="2" t="s">
        <x:v>113</x:v>
      </x:c>
      <x:c r="Z41" s="2" t="s">
        <x:v>114</x:v>
      </x:c>
    </x:row>
    <x:row r="42" ht="27">
      <x:c r="A42" s="2">
        <x:v>193</x:v>
      </x:c>
      <x:c r="B42" s="2">
        <x:v>1111941</x:v>
      </x:c>
      <x:c r="C42" s="2">
        <x:v>23767</x:v>
      </x:c>
      <x:c r="D42" s="2">
        <x:v>8445</x:v>
      </x:c>
      <x:c r="E42" s="2" t="s">
        <x:v>16</x:v>
      </x:c>
      <x:c r="F42" s="2" t="s">
        <x:v>156</x:v>
      </x:c>
      <x:c r="G42" s="2" t="s">
        <x:v>134</x:v>
      </x:c>
      <x:c r="H42" s="2" t="s">
        <x:v>135</x:v>
      </x:c>
      <x:c r="I42" s="2" t="s">
        <x:v>108</x:v>
      </x:c>
      <x:c r="J42" s="2">
        <x:v>4</x:v>
      </x:c>
      <x:c r="K42" s="2" t="s">
        <x:v>117</x:v>
      </x:c>
      <x:c r="L42" s="2" t="s">
        <x:v>110</x:v>
      </x:c>
      <x:c r="M42" s="2"/>
      <x:c r="N42" s="2">
        <x:v>122</x:v>
      </x:c>
      <x:c r="O42" s="2">
        <x:v>60</x:v>
      </x:c>
      <x:c r="P42" s="2">
        <x:v>341</x:v>
      </x:c>
      <x:c r="Q42" s="2" t="s">
        <x:v>111</x:v>
      </x:c>
      <x:c r="R42" s="2">
        <x:v>122</x:v>
      </x:c>
      <x:c r="S42" s="2" t="s">
        <x:v>111</x:v>
      </x:c>
      <x:c r="T42" s="2">
        <x:v>20</x:v>
      </x:c>
      <x:c r="U42" s="2">
        <x:v>30</x:v>
      </x:c>
      <x:c r="V42" s="2"/>
      <x:c r="W42" s="2"/>
      <x:c r="X42" s="2" t="s">
        <x:v>147</x:v>
      </x:c>
      <x:c r="Y42" s="2" t="s">
        <x:v>113</x:v>
      </x:c>
      <x:c r="Z42" s="2" t="s">
        <x:v>114</x:v>
      </x:c>
    </x:row>
    <x:row r="43" ht="27">
      <x:c r="A43" s="2">
        <x:v>203</x:v>
      </x:c>
      <x:c r="B43" s="2">
        <x:v>1120299</x:v>
      </x:c>
      <x:c r="C43" s="2">
        <x:v>126283</x:v>
      </x:c>
      <x:c r="D43" s="2">
        <x:v>9365</x:v>
      </x:c>
      <x:c r="E43" s="2" t="s">
        <x:v>16</x:v>
      </x:c>
      <x:c r="F43" s="2" t="s">
        <x:v>156</x:v>
      </x:c>
      <x:c r="G43" s="2" t="s">
        <x:v>157</x:v>
      </x:c>
      <x:c r="H43" s="2" t="s">
        <x:v>107</x:v>
      </x:c>
      <x:c r="I43" s="2" t="s">
        <x:v>108</x:v>
      </x:c>
      <x:c r="J43" s="2">
        <x:v>4</x:v>
      </x:c>
      <x:c r="K43" s="2" t="s">
        <x:v>117</x:v>
      </x:c>
      <x:c r="L43" s="2" t="s">
        <x:v>110</x:v>
      </x:c>
      <x:c r="M43" s="2"/>
      <x:c r="N43" s="2">
        <x:v>224</x:v>
      </x:c>
      <x:c r="O43" s="2">
        <x:v>213</x:v>
      </x:c>
      <x:c r="P43" s="2">
        <x:v>234</x:v>
      </x:c>
      <x:c r="Q43" s="2" t="s">
        <x:v>111</x:v>
      </x:c>
      <x:c r="R43" s="2">
        <x:v>224</x:v>
      </x:c>
      <x:c r="S43" s="2" t="s">
        <x:v>111</x:v>
      </x:c>
      <x:c r="T43" s="2">
        <x:v>20.8</x:v>
      </x:c>
      <x:c r="U43" s="2">
        <x:v>30.7</x:v>
      </x:c>
      <x:c r="V43" s="2">
        <x:v>7.8</x:v>
      </x:c>
      <x:c r="W43" s="2"/>
      <x:c r="X43" s="2" t="s">
        <x:v>158</x:v>
      </x:c>
      <x:c r="Y43" s="2" t="s">
        <x:v>113</x:v>
      </x:c>
      <x:c r="Z43" s="2" t="s">
        <x:v>114</x:v>
      </x:c>
    </x:row>
    <x:row r="44" ht="27">
      <x:c r="A44" s="2">
        <x:v>206</x:v>
      </x:c>
      <x:c r="B44" s="2">
        <x:v>1111940</x:v>
      </x:c>
      <x:c r="C44" s="2">
        <x:v>23766</x:v>
      </x:c>
      <x:c r="D44" s="2">
        <x:v>8445</x:v>
      </x:c>
      <x:c r="E44" s="2" t="s">
        <x:v>16</x:v>
      </x:c>
      <x:c r="F44" s="2" t="s">
        <x:v>156</x:v>
      </x:c>
      <x:c r="G44" s="2" t="s">
        <x:v>134</x:v>
      </x:c>
      <x:c r="H44" s="2" t="s">
        <x:v>135</x:v>
      </x:c>
      <x:c r="I44" s="2" t="s">
        <x:v>148</x:v>
      </x:c>
      <x:c r="J44" s="2">
        <x:v>4</x:v>
      </x:c>
      <x:c r="K44" s="2" t="s">
        <x:v>117</x:v>
      </x:c>
      <x:c r="L44" s="2" t="s">
        <x:v>110</x:v>
      </x:c>
      <x:c r="M44" s="2"/>
      <x:c r="N44" s="2">
        <x:v>220</x:v>
      </x:c>
      <x:c r="O44" s="2">
        <x:v>138</x:v>
      </x:c>
      <x:c r="P44" s="2">
        <x:v>313</x:v>
      </x:c>
      <x:c r="Q44" s="2" t="s">
        <x:v>111</x:v>
      </x:c>
      <x:c r="R44" s="2">
        <x:v>220</x:v>
      </x:c>
      <x:c r="S44" s="2" t="s">
        <x:v>111</x:v>
      </x:c>
      <x:c r="T44" s="2">
        <x:v>20</x:v>
      </x:c>
      <x:c r="U44" s="2">
        <x:v>10</x:v>
      </x:c>
      <x:c r="V44" s="2"/>
      <x:c r="W44" s="2"/>
      <x:c r="X44" s="2" t="s">
        <x:v>147</x:v>
      </x:c>
      <x:c r="Y44" s="2" t="s">
        <x:v>113</x:v>
      </x:c>
      <x:c r="Z44" s="2" t="s">
        <x:v>114</x:v>
      </x:c>
    </x:row>
    <x:row r="45" ht="27">
      <x:c r="A45" s="2">
        <x:v>214</x:v>
      </x:c>
      <x:c r="B45" s="2">
        <x:v>1134122</x:v>
      </x:c>
      <x:c r="C45" s="2">
        <x:v>107489</x:v>
      </x:c>
      <x:c r="D45" s="2">
        <x:v>10900</x:v>
      </x:c>
      <x:c r="E45" s="2" t="s">
        <x:v>16</x:v>
      </x:c>
      <x:c r="F45" s="2" t="s">
        <x:v>156</x:v>
      </x:c>
      <x:c r="G45" s="2" t="s">
        <x:v>150</x:v>
      </x:c>
      <x:c r="H45" s="2" t="s">
        <x:v>135</x:v>
      </x:c>
      <x:c r="I45" s="2" t="s">
        <x:v>159</x:v>
      </x:c>
      <x:c r="J45" s="2">
        <x:v>4</x:v>
      </x:c>
      <x:c r="K45" s="2" t="s">
        <x:v>117</x:v>
      </x:c>
      <x:c r="L45" s="2" t="s">
        <x:v>110</x:v>
      </x:c>
      <x:c r="M45" s="2"/>
      <x:c r="N45" s="2">
        <x:v>147.69999999999999</x:v>
      </x:c>
      <x:c r="O45" s="2">
        <x:v>133.1</x:v>
      </x:c>
      <x:c r="P45" s="2">
        <x:v>166.1</x:v>
      </x:c>
      <x:c r="Q45" s="2" t="s">
        <x:v>111</x:v>
      </x:c>
      <x:c r="R45" s="2">
        <x:v>147.69999999999999</x:v>
      </x:c>
      <x:c r="S45" s="2" t="s">
        <x:v>111</x:v>
      </x:c>
      <x:c r="T45" s="2">
        <x:v>15</x:v>
      </x:c>
      <x:c r="U45" s="2">
        <x:v>10</x:v>
      </x:c>
      <x:c r="V45" s="2"/>
      <x:c r="W45" s="2"/>
      <x:c r="X45" s="2" t="s">
        <x:v>160</x:v>
      </x:c>
      <x:c r="Y45" s="2" t="s">
        <x:v>113</x:v>
      </x:c>
      <x:c r="Z45" s="2" t="s">
        <x:v>114</x:v>
      </x:c>
    </x:row>
    <x:row r="46" ht="27">
      <x:c r="A46" s="2">
        <x:v>215</x:v>
      </x:c>
      <x:c r="B46" s="2">
        <x:v>1111939</x:v>
      </x:c>
      <x:c r="C46" s="2">
        <x:v>23765</x:v>
      </x:c>
      <x:c r="D46" s="2">
        <x:v>8445</x:v>
      </x:c>
      <x:c r="E46" s="2" t="s">
        <x:v>16</x:v>
      </x:c>
      <x:c r="F46" s="2" t="s">
        <x:v>156</x:v>
      </x:c>
      <x:c r="G46" s="2" t="s">
        <x:v>134</x:v>
      </x:c>
      <x:c r="H46" s="2" t="s">
        <x:v>135</x:v>
      </x:c>
      <x:c r="I46" s="2"/>
      <x:c r="J46" s="2">
        <x:v>4</x:v>
      </x:c>
      <x:c r="K46" s="2" t="s">
        <x:v>117</x:v>
      </x:c>
      <x:c r="L46" s="2" t="s">
        <x:v>110</x:v>
      </x:c>
      <x:c r="M46" s="2"/>
      <x:c r="N46" s="2">
        <x:v>90</x:v>
      </x:c>
      <x:c r="O46" s="2">
        <x:v>58</x:v>
      </x:c>
      <x:c r="P46" s="2">
        <x:v>135</x:v>
      </x:c>
      <x:c r="Q46" s="2" t="s">
        <x:v>111</x:v>
      </x:c>
      <x:c r="R46" s="2">
        <x:v>90</x:v>
      </x:c>
      <x:c r="S46" s="2" t="s">
        <x:v>111</x:v>
      </x:c>
      <x:c r="T46" s="2">
        <x:v>20</x:v>
      </x:c>
      <x:c r="U46" s="2">
        <x:v>10</x:v>
      </x:c>
      <x:c r="V46" s="2"/>
      <x:c r="W46" s="2"/>
      <x:c r="X46" s="2" t="s">
        <x:v>147</x:v>
      </x:c>
      <x:c r="Y46" s="2" t="s">
        <x:v>113</x:v>
      </x:c>
      <x:c r="Z46" s="2" t="s">
        <x:v>114</x:v>
      </x:c>
    </x:row>
    <x:row r="47" ht="27">
      <x:c r="A47" s="2">
        <x:v>228</x:v>
      </x:c>
      <x:c r="B47" s="2">
        <x:v>1111938</x:v>
      </x:c>
      <x:c r="C47" s="2">
        <x:v>23764</x:v>
      </x:c>
      <x:c r="D47" s="2">
        <x:v>8445</x:v>
      </x:c>
      <x:c r="E47" s="2" t="s">
        <x:v>16</x:v>
      </x:c>
      <x:c r="F47" s="2" t="s">
        <x:v>156</x:v>
      </x:c>
      <x:c r="G47" s="2" t="s">
        <x:v>134</x:v>
      </x:c>
      <x:c r="H47" s="2" t="s">
        <x:v>135</x:v>
      </x:c>
      <x:c r="I47" s="2"/>
      <x:c r="J47" s="2">
        <x:v>4</x:v>
      </x:c>
      <x:c r="K47" s="2" t="s">
        <x:v>117</x:v>
      </x:c>
      <x:c r="L47" s="2" t="s">
        <x:v>110</x:v>
      </x:c>
      <x:c r="M47" s="2"/>
      <x:c r="N47" s="2">
        <x:v>337</x:v>
      </x:c>
      <x:c r="O47" s="2">
        <x:v>184</x:v>
      </x:c>
      <x:c r="P47" s="2">
        <x:v>530</x:v>
      </x:c>
      <x:c r="Q47" s="2" t="s">
        <x:v>111</x:v>
      </x:c>
      <x:c r="R47" s="2">
        <x:v>337</x:v>
      </x:c>
      <x:c r="S47" s="2" t="s">
        <x:v>111</x:v>
      </x:c>
      <x:c r="T47" s="2">
        <x:v>20</x:v>
      </x:c>
      <x:c r="U47" s="2">
        <x:v>10</x:v>
      </x:c>
      <x:c r="V47" s="2"/>
      <x:c r="W47" s="2"/>
      <x:c r="X47" s="2" t="s">
        <x:v>147</x:v>
      </x:c>
      <x:c r="Y47" s="2" t="s">
        <x:v>113</x:v>
      </x:c>
      <x:c r="Z47" s="2" t="s">
        <x:v>114</x:v>
      </x:c>
    </x:row>
    <x:row r="48" ht="27">
      <x:c r="A48" s="2">
        <x:v>240</x:v>
      </x:c>
      <x:c r="B48" s="2">
        <x:v>1134120</x:v>
      </x:c>
      <x:c r="C48" s="2">
        <x:v>107487</x:v>
      </x:c>
      <x:c r="D48" s="2">
        <x:v>10900</x:v>
      </x:c>
      <x:c r="E48" s="2" t="s">
        <x:v>16</x:v>
      </x:c>
      <x:c r="F48" s="2" t="s">
        <x:v>156</x:v>
      </x:c>
      <x:c r="G48" s="2" t="s">
        <x:v>150</x:v>
      </x:c>
      <x:c r="H48" s="2" t="s">
        <x:v>135</x:v>
      </x:c>
      <x:c r="I48" s="2" t="s">
        <x:v>159</x:v>
      </x:c>
      <x:c r="J48" s="2">
        <x:v>4</x:v>
      </x:c>
      <x:c r="K48" s="2" t="s">
        <x:v>117</x:v>
      </x:c>
      <x:c r="L48" s="2" t="s">
        <x:v>110</x:v>
      </x:c>
      <x:c r="M48" s="2" t="s">
        <x:v>161</x:v>
      </x:c>
      <x:c r="N48" s="2">
        <x:v>120</x:v>
      </x:c>
      <x:c r="O48" s="2"/>
      <x:c r="P48" s="2"/>
      <x:c r="Q48" s="2" t="s">
        <x:v>111</x:v>
      </x:c>
      <x:c r="R48" s="2">
        <x:v>120</x:v>
      </x:c>
      <x:c r="S48" s="2" t="s">
        <x:v>111</x:v>
      </x:c>
      <x:c r="T48" s="2">
        <x:v>15</x:v>
      </x:c>
      <x:c r="U48" s="2">
        <x:v>10</x:v>
      </x:c>
      <x:c r="V48" s="2"/>
      <x:c r="W48" s="2"/>
      <x:c r="X48" s="2" t="s">
        <x:v>160</x:v>
      </x:c>
      <x:c r="Y48" s="2" t="s">
        <x:v>123</x:v>
      </x:c>
      <x:c r="Z48" s="2" t="s">
        <x:v>162</x:v>
      </x:c>
    </x:row>
    <x:row r="49" ht="27">
      <x:c r="A49" s="2">
        <x:v>243</x:v>
      </x:c>
      <x:c r="B49" s="2">
        <x:v>1134121</x:v>
      </x:c>
      <x:c r="C49" s="2">
        <x:v>107488</x:v>
      </x:c>
      <x:c r="D49" s="2">
        <x:v>10900</x:v>
      </x:c>
      <x:c r="E49" s="2" t="s">
        <x:v>16</x:v>
      </x:c>
      <x:c r="F49" s="2" t="s">
        <x:v>156</x:v>
      </x:c>
      <x:c r="G49" s="2" t="s">
        <x:v>150</x:v>
      </x:c>
      <x:c r="H49" s="2" t="s">
        <x:v>135</x:v>
      </x:c>
      <x:c r="I49" s="2" t="s">
        <x:v>159</x:v>
      </x:c>
      <x:c r="J49" s="2">
        <x:v>4</x:v>
      </x:c>
      <x:c r="K49" s="2" t="s">
        <x:v>117</x:v>
      </x:c>
      <x:c r="L49" s="2" t="s">
        <x:v>110</x:v>
      </x:c>
      <x:c r="M49" s="2" t="s">
        <x:v>161</x:v>
      </x:c>
      <x:c r="N49" s="2">
        <x:v>140</x:v>
      </x:c>
      <x:c r="O49" s="2"/>
      <x:c r="P49" s="2"/>
      <x:c r="Q49" s="2" t="s">
        <x:v>111</x:v>
      </x:c>
      <x:c r="R49" s="2">
        <x:v>140</x:v>
      </x:c>
      <x:c r="S49" s="2" t="s">
        <x:v>111</x:v>
      </x:c>
      <x:c r="T49" s="2">
        <x:v>15</x:v>
      </x:c>
      <x:c r="U49" s="2">
        <x:v>10</x:v>
      </x:c>
      <x:c r="V49" s="2"/>
      <x:c r="W49" s="2"/>
      <x:c r="X49" s="2" t="s">
        <x:v>160</x:v>
      </x:c>
      <x:c r="Y49" s="2" t="s">
        <x:v>123</x:v>
      </x:c>
      <x:c r="Z49" s="2" t="s">
        <x:v>162</x:v>
      </x:c>
    </x:row>
    <x:row r="50" ht="27">
      <x:c r="A50" s="2">
        <x:v>254</x:v>
      </x:c>
      <x:c r="B50" s="2">
        <x:v>1054945</x:v>
      </x:c>
      <x:c r="C50" s="2">
        <x:v>220832</x:v>
      </x:c>
      <x:c r="D50" s="2">
        <x:v>3825</x:v>
      </x:c>
      <x:c r="E50" s="2" t="s">
        <x:v>163</x:v>
      </x:c>
      <x:c r="F50" s="2" t="s">
        <x:v>164</x:v>
      </x:c>
      <x:c r="G50" s="2" t="s">
        <x:v>146</x:v>
      </x:c>
      <x:c r="H50" s="2" t="s">
        <x:v>135</x:v>
      </x:c>
      <x:c r="I50" s="2"/>
      <x:c r="J50" s="2">
        <x:v>4</x:v>
      </x:c>
      <x:c r="K50" s="2" t="s">
        <x:v>109</x:v>
      </x:c>
      <x:c r="L50" s="2" t="s">
        <x:v>110</x:v>
      </x:c>
      <x:c r="M50" s="2"/>
      <x:c r="N50" s="2">
        <x:v>3650</x:v>
      </x:c>
      <x:c r="O50" s="2">
        <x:v>1290</x:v>
      </x:c>
      <x:c r="P50" s="2">
        <x:v>6250</x:v>
      </x:c>
      <x:c r="Q50" s="2" t="s">
        <x:v>111</x:v>
      </x:c>
      <x:c r="R50" s="2">
        <x:v>3650</x:v>
      </x:c>
      <x:c r="S50" s="2" t="s">
        <x:v>111</x:v>
      </x:c>
      <x:c r="T50" s="2">
        <x:v>20</x:v>
      </x:c>
      <x:c r="U50" s="2">
        <x:v>30</x:v>
      </x:c>
      <x:c r="V50" s="2"/>
      <x:c r="W50" s="2"/>
      <x:c r="X50" s="2" t="s">
        <x:v>142</x:v>
      </x:c>
      <x:c r="Y50" s="2" t="s">
        <x:v>123</x:v>
      </x:c>
      <x:c r="Z50" s="2" t="s">
        <x:v>165</x:v>
      </x:c>
    </x:row>
    <x:row r="51">
      <x:c r="A51" s="2">
        <x:v>257</x:v>
      </x:c>
      <x:c r="B51" s="2">
        <x:v>1053690</x:v>
      </x:c>
      <x:c r="C51" s="2">
        <x:v>194881</x:v>
      </x:c>
      <x:c r="D51" s="2">
        <x:v>3751</x:v>
      </x:c>
      <x:c r="E51" s="2" t="s">
        <x:v>163</x:v>
      </x:c>
      <x:c r="F51" s="2" t="s">
        <x:v>164</x:v>
      </x:c>
      <x:c r="G51" s="2" t="s">
        <x:v>146</x:v>
      </x:c>
      <x:c r="H51" s="2" t="s">
        <x:v>135</x:v>
      </x:c>
      <x:c r="I51" s="2" t="s">
        <x:v>108</x:v>
      </x:c>
      <x:c r="J51" s="2">
        <x:v>4</x:v>
      </x:c>
      <x:c r="K51" s="2" t="s">
        <x:v>109</x:v>
      </x:c>
      <x:c r="L51" s="2" t="s">
        <x:v>110</x:v>
      </x:c>
      <x:c r="M51" s="2"/>
      <x:c r="N51" s="2">
        <x:v>3650</x:v>
      </x:c>
      <x:c r="O51" s="2">
        <x:v>1290</x:v>
      </x:c>
      <x:c r="P51" s="2">
        <x:v>6250</x:v>
      </x:c>
      <x:c r="Q51" s="2" t="s">
        <x:v>111</x:v>
      </x:c>
      <x:c r="R51" s="2">
        <x:v>3650</x:v>
      </x:c>
      <x:c r="S51" s="2" t="s">
        <x:v>111</x:v>
      </x:c>
      <x:c r="T51" s="2">
        <x:v>20</x:v>
      </x:c>
      <x:c r="U51" s="2">
        <x:v>30</x:v>
      </x:c>
      <x:c r="V51" s="2"/>
      <x:c r="W51" s="2"/>
      <x:c r="X51" s="2" t="s">
        <x:v>143</x:v>
      </x:c>
      <x:c r="Y51" s="2" t="s">
        <x:v>123</x:v>
      </x:c>
      <x:c r="Z51" s="2" t="s">
        <x:v>165</x:v>
      </x:c>
    </x:row>
    <x:row r="52">
      <x:c r="A52" s="2">
        <x:v>262</x:v>
      </x:c>
      <x:c r="B52" s="2">
        <x:v>1053689</x:v>
      </x:c>
      <x:c r="C52" s="2">
        <x:v>194880</x:v>
      </x:c>
      <x:c r="D52" s="2">
        <x:v>3751</x:v>
      </x:c>
      <x:c r="E52" s="2" t="s">
        <x:v>163</x:v>
      </x:c>
      <x:c r="F52" s="2" t="s">
        <x:v>164</x:v>
      </x:c>
      <x:c r="G52" s="2" t="s">
        <x:v>141</x:v>
      </x:c>
      <x:c r="H52" s="2" t="s">
        <x:v>135</x:v>
      </x:c>
      <x:c r="I52" s="2" t="s">
        <x:v>108</x:v>
      </x:c>
      <x:c r="J52" s="2">
        <x:v>4</x:v>
      </x:c>
      <x:c r="K52" s="2" t="s">
        <x:v>109</x:v>
      </x:c>
      <x:c r="L52" s="2" t="s">
        <x:v>110</x:v>
      </x:c>
      <x:c r="M52" s="2"/>
      <x:c r="N52" s="2">
        <x:v>6643</x:v>
      </x:c>
      <x:c r="O52" s="2">
        <x:v>5697</x:v>
      </x:c>
      <x:c r="P52" s="2">
        <x:v>7987</x:v>
      </x:c>
      <x:c r="Q52" s="2" t="s">
        <x:v>111</x:v>
      </x:c>
      <x:c r="R52" s="2">
        <x:v>6643</x:v>
      </x:c>
      <x:c r="S52" s="2" t="s">
        <x:v>111</x:v>
      </x:c>
      <x:c r="T52" s="2">
        <x:v>10</x:v>
      </x:c>
      <x:c r="U52" s="2">
        <x:v>30</x:v>
      </x:c>
      <x:c r="V52" s="2"/>
      <x:c r="W52" s="2"/>
      <x:c r="X52" s="2" t="s">
        <x:v>143</x:v>
      </x:c>
      <x:c r="Y52" s="2" t="s">
        <x:v>123</x:v>
      </x:c>
      <x:c r="Z52" s="2" t="s">
        <x:v>165</x:v>
      </x:c>
    </x:row>
    <x:row r="53" ht="27">
      <x:c r="A53" s="2">
        <x:v>263</x:v>
      </x:c>
      <x:c r="B53" s="2">
        <x:v>1054944</x:v>
      </x:c>
      <x:c r="C53" s="2">
        <x:v>220831</x:v>
      </x:c>
      <x:c r="D53" s="2">
        <x:v>3825</x:v>
      </x:c>
      <x:c r="E53" s="2" t="s">
        <x:v>163</x:v>
      </x:c>
      <x:c r="F53" s="2" t="s">
        <x:v>164</x:v>
      </x:c>
      <x:c r="G53" s="2" t="s">
        <x:v>141</x:v>
      </x:c>
      <x:c r="H53" s="2" t="s">
        <x:v>135</x:v>
      </x:c>
      <x:c r="I53" s="2"/>
      <x:c r="J53" s="2">
        <x:v>4</x:v>
      </x:c>
      <x:c r="K53" s="2" t="s">
        <x:v>109</x:v>
      </x:c>
      <x:c r="L53" s="2" t="s">
        <x:v>110</x:v>
      </x:c>
      <x:c r="M53" s="2"/>
      <x:c r="N53" s="2">
        <x:v>6643</x:v>
      </x:c>
      <x:c r="O53" s="2">
        <x:v>5697</x:v>
      </x:c>
      <x:c r="P53" s="2">
        <x:v>7987</x:v>
      </x:c>
      <x:c r="Q53" s="2" t="s">
        <x:v>111</x:v>
      </x:c>
      <x:c r="R53" s="2">
        <x:v>6643</x:v>
      </x:c>
      <x:c r="S53" s="2" t="s">
        <x:v>111</x:v>
      </x:c>
      <x:c r="T53" s="2">
        <x:v>10</x:v>
      </x:c>
      <x:c r="U53" s="2">
        <x:v>30</x:v>
      </x:c>
      <x:c r="V53" s="2"/>
      <x:c r="W53" s="2"/>
      <x:c r="X53" s="2" t="s">
        <x:v>142</x:v>
      </x:c>
      <x:c r="Y53" s="2" t="s">
        <x:v>123</x:v>
      </x:c>
      <x:c r="Z53" s="2" t="s">
        <x:v>165</x:v>
      </x:c>
    </x:row>
    <x:row r="54" ht="40.5">
      <x:c r="A54" s="2">
        <x:v>268</x:v>
      </x:c>
      <x:c r="B54" s="2">
        <x:v>1078810</x:v>
      </x:c>
      <x:c r="C54" s="2">
        <x:v>12517</x:v>
      </x:c>
      <x:c r="D54" s="2">
        <x:v>6079</x:v>
      </x:c>
      <x:c r="E54" s="2" t="s">
        <x:v>10</x:v>
      </x:c>
      <x:c r="F54" s="2" t="s">
        <x:v>166</x:v>
      </x:c>
      <x:c r="G54" s="2" t="s">
        <x:v>135</x:v>
      </x:c>
      <x:c r="H54" s="2" t="s">
        <x:v>135</x:v>
      </x:c>
      <x:c r="I54" s="2" t="s">
        <x:v>108</x:v>
      </x:c>
      <x:c r="J54" s="2">
        <x:v>4</x:v>
      </x:c>
      <x:c r="K54" s="2" t="s">
        <x:v>117</x:v>
      </x:c>
      <x:c r="L54" s="2" t="s">
        <x:v>110</x:v>
      </x:c>
      <x:c r="M54" s="2"/>
      <x:c r="N54" s="2">
        <x:v>60</x:v>
      </x:c>
      <x:c r="O54" s="2"/>
      <x:c r="P54" s="2"/>
      <x:c r="Q54" s="2" t="s">
        <x:v>111</x:v>
      </x:c>
      <x:c r="R54" s="2">
        <x:v>60</x:v>
      </x:c>
      <x:c r="S54" s="2" t="s">
        <x:v>111</x:v>
      </x:c>
      <x:c r="T54" s="2">
        <x:v>21</x:v>
      </x:c>
      <x:c r="U54" s="2"/>
      <x:c r="V54" s="2"/>
      <x:c r="W54" s="2"/>
      <x:c r="X54" s="2" t="s">
        <x:v>145</x:v>
      </x:c>
      <x:c r="Y54" s="2" t="s">
        <x:v>113</x:v>
      </x:c>
      <x:c r="Z54" s="2" t="s">
        <x:v>114</x:v>
      </x:c>
    </x:row>
    <x:row r="55" ht="40.5">
      <x:c r="A55" s="2">
        <x:v>285</x:v>
      </x:c>
      <x:c r="B55" s="2">
        <x:v>1078809</x:v>
      </x:c>
      <x:c r="C55" s="2">
        <x:v>12516</x:v>
      </x:c>
      <x:c r="D55" s="2">
        <x:v>6079</x:v>
      </x:c>
      <x:c r="E55" s="2" t="s">
        <x:v>10</x:v>
      </x:c>
      <x:c r="F55" s="2" t="s">
        <x:v>166</x:v>
      </x:c>
      <x:c r="G55" s="2" t="s">
        <x:v>135</x:v>
      </x:c>
      <x:c r="H55" s="2" t="s">
        <x:v>135</x:v>
      </x:c>
      <x:c r="I55" s="2"/>
      <x:c r="J55" s="2">
        <x:v>4</x:v>
      </x:c>
      <x:c r="K55" s="2" t="s">
        <x:v>117</x:v>
      </x:c>
      <x:c r="L55" s="2" t="s">
        <x:v>110</x:v>
      </x:c>
      <x:c r="M55" s="2"/>
      <x:c r="N55" s="2">
        <x:v>45</x:v>
      </x:c>
      <x:c r="O55" s="2"/>
      <x:c r="P55" s="2"/>
      <x:c r="Q55" s="2" t="s">
        <x:v>111</x:v>
      </x:c>
      <x:c r="R55" s="2">
        <x:v>45</x:v>
      </x:c>
      <x:c r="S55" s="2" t="s">
        <x:v>111</x:v>
      </x:c>
      <x:c r="T55" s="2">
        <x:v>9</x:v>
      </x:c>
      <x:c r="U55" s="2"/>
      <x:c r="V55" s="2"/>
      <x:c r="W55" s="2"/>
      <x:c r="X55" s="2" t="s">
        <x:v>145</x:v>
      </x:c>
      <x:c r="Y55" s="2" t="s">
        <x:v>113</x:v>
      </x:c>
      <x:c r="Z55" s="2" t="s">
        <x:v>114</x:v>
      </x:c>
    </x:row>
    <x:row r="56" ht="40.5">
      <x:c r="A56" s="2">
        <x:v>322</x:v>
      </x:c>
      <x:c r="B56" s="2">
        <x:v>1078811</x:v>
      </x:c>
      <x:c r="C56" s="2">
        <x:v>12518</x:v>
      </x:c>
      <x:c r="D56" s="2">
        <x:v>6079</x:v>
      </x:c>
      <x:c r="E56" s="2" t="s">
        <x:v>10</x:v>
      </x:c>
      <x:c r="F56" s="2" t="s">
        <x:v>166</x:v>
      </x:c>
      <x:c r="G56" s="2" t="s">
        <x:v>135</x:v>
      </x:c>
      <x:c r="H56" s="2" t="s">
        <x:v>135</x:v>
      </x:c>
      <x:c r="I56" s="2"/>
      <x:c r="J56" s="2">
        <x:v>2</x:v>
      </x:c>
      <x:c r="K56" s="2" t="s">
        <x:v>117</x:v>
      </x:c>
      <x:c r="L56" s="2" t="s">
        <x:v>110</x:v>
      </x:c>
      <x:c r="M56" s="2"/>
      <x:c r="N56" s="2">
        <x:v>105</x:v>
      </x:c>
      <x:c r="O56" s="2"/>
      <x:c r="P56" s="2"/>
      <x:c r="Q56" s="2" t="s">
        <x:v>111</x:v>
      </x:c>
      <x:c r="R56" s="2">
        <x:v>105</x:v>
      </x:c>
      <x:c r="S56" s="2" t="s">
        <x:v>111</x:v>
      </x:c>
      <x:c r="T56" s="2">
        <x:v>9</x:v>
      </x:c>
      <x:c r="U56" s="2"/>
      <x:c r="V56" s="2"/>
      <x:c r="W56" s="2"/>
      <x:c r="X56" s="2" t="s">
        <x:v>145</x:v>
      </x:c>
      <x:c r="Y56" s="2" t="s">
        <x:v>113</x:v>
      </x:c>
      <x:c r="Z56" s="2" t="s">
        <x:v>114</x:v>
      </x:c>
    </x:row>
    <x:row r="57" ht="40.5">
      <x:c r="A57" s="2">
        <x:v>324</x:v>
      </x:c>
      <x:c r="B57" s="2">
        <x:v>1078808</x:v>
      </x:c>
      <x:c r="C57" s="2">
        <x:v>12515</x:v>
      </x:c>
      <x:c r="D57" s="2">
        <x:v>6079</x:v>
      </x:c>
      <x:c r="E57" s="2" t="s">
        <x:v>10</x:v>
      </x:c>
      <x:c r="F57" s="2" t="s">
        <x:v>166</x:v>
      </x:c>
      <x:c r="G57" s="2" t="s">
        <x:v>135</x:v>
      </x:c>
      <x:c r="H57" s="2" t="s">
        <x:v>135</x:v>
      </x:c>
      <x:c r="I57" s="2" t="s">
        <x:v>167</x:v>
      </x:c>
      <x:c r="J57" s="2">
        <x:v>4</x:v>
      </x:c>
      <x:c r="K57" s="2" t="s">
        <x:v>117</x:v>
      </x:c>
      <x:c r="L57" s="2" t="s">
        <x:v>110</x:v>
      </x:c>
      <x:c r="M57" s="2"/>
      <x:c r="N57" s="2">
        <x:v>52</x:v>
      </x:c>
      <x:c r="O57" s="2"/>
      <x:c r="P57" s="2"/>
      <x:c r="Q57" s="2" t="s">
        <x:v>111</x:v>
      </x:c>
      <x:c r="R57" s="2">
        <x:v>52</x:v>
      </x:c>
      <x:c r="S57" s="2" t="s">
        <x:v>111</x:v>
      </x:c>
      <x:c r="T57" s="2">
        <x:v>9</x:v>
      </x:c>
      <x:c r="U57" s="2"/>
      <x:c r="V57" s="2"/>
      <x:c r="W57" s="2"/>
      <x:c r="X57" s="2" t="s">
        <x:v>145</x:v>
      </x:c>
      <x:c r="Y57" s="2" t="s">
        <x:v>113</x:v>
      </x:c>
      <x:c r="Z57" s="2" t="s">
        <x:v>114</x:v>
      </x:c>
    </x:row>
    <x:row r="58" ht="27">
      <x:c r="A58" s="2">
        <x:v>348</x:v>
      </x:c>
      <x:c r="B58" s="2">
        <x:v>1111945</x:v>
      </x:c>
      <x:c r="C58" s="2">
        <x:v>23785</x:v>
      </x:c>
      <x:c r="D58" s="2">
        <x:v>8445</x:v>
      </x:c>
      <x:c r="E58" s="2" t="s">
        <x:v>10</x:v>
      </x:c>
      <x:c r="F58" s="2" t="s">
        <x:v>166</x:v>
      </x:c>
      <x:c r="G58" s="2" t="s">
        <x:v>134</x:v>
      </x:c>
      <x:c r="H58" s="2" t="s">
        <x:v>135</x:v>
      </x:c>
      <x:c r="I58" s="2" t="s">
        <x:v>108</x:v>
      </x:c>
      <x:c r="J58" s="2">
        <x:v>4</x:v>
      </x:c>
      <x:c r="K58" s="2" t="s">
        <x:v>117</x:v>
      </x:c>
      <x:c r="L58" s="2" t="s">
        <x:v>110</x:v>
      </x:c>
      <x:c r="M58" s="2"/>
      <x:c r="N58" s="2">
        <x:v>17</x:v>
      </x:c>
      <x:c r="O58" s="2">
        <x:v>9</x:v>
      </x:c>
      <x:c r="P58" s="2">
        <x:v>29</x:v>
      </x:c>
      <x:c r="Q58" s="2" t="s">
        <x:v>111</x:v>
      </x:c>
      <x:c r="R58" s="2">
        <x:v>17</x:v>
      </x:c>
      <x:c r="S58" s="2" t="s">
        <x:v>111</x:v>
      </x:c>
      <x:c r="T58" s="2">
        <x:v>20</x:v>
      </x:c>
      <x:c r="U58" s="2">
        <x:v>30</x:v>
      </x:c>
      <x:c r="V58" s="2"/>
      <x:c r="W58" s="2"/>
      <x:c r="X58" s="2" t="s">
        <x:v>147</x:v>
      </x:c>
      <x:c r="Y58" s="2" t="s">
        <x:v>113</x:v>
      </x:c>
      <x:c r="Z58" s="2" t="s">
        <x:v>114</x:v>
      </x:c>
    </x:row>
    <x:row r="59" ht="27">
      <x:c r="A59" s="2">
        <x:v>349</x:v>
      </x:c>
      <x:c r="B59" s="2">
        <x:v>1047099</x:v>
      </x:c>
      <x:c r="C59" s="2">
        <x:v>115192</x:v>
      </x:c>
      <x:c r="D59" s="2">
        <x:v>2977</x:v>
      </x:c>
      <x:c r="E59" s="2" t="s">
        <x:v>10</x:v>
      </x:c>
      <x:c r="F59" s="2" t="s">
        <x:v>166</x:v>
      </x:c>
      <x:c r="G59" s="2" t="s">
        <x:v>168</x:v>
      </x:c>
      <x:c r="H59" s="2" t="s">
        <x:v>107</x:v>
      </x:c>
      <x:c r="I59" s="2" t="s">
        <x:v>125</x:v>
      </x:c>
      <x:c r="J59" s="2">
        <x:v>4</x:v>
      </x:c>
      <x:c r="K59" s="2" t="s">
        <x:v>126</x:v>
      </x:c>
      <x:c r="L59" s="2" t="s">
        <x:v>110</x:v>
      </x:c>
      <x:c r="M59" s="2"/>
      <x:c r="N59" s="2">
        <x:v>2.5</x:v>
      </x:c>
      <x:c r="O59" s="2">
        <x:v>0.9</x:v>
      </x:c>
      <x:c r="P59" s="2">
        <x:v>3.9</x:v>
      </x:c>
      <x:c r="Q59" s="2" t="s">
        <x:v>169</x:v>
      </x:c>
      <x:c r="R59" s="2">
        <x:v>2.5</x:v>
      </x:c>
      <x:c r="S59" s="2" t="s">
        <x:v>169</x:v>
      </x:c>
      <x:c r="T59" s="2"/>
      <x:c r="U59" s="2">
        <x:v>35</x:v>
      </x:c>
      <x:c r="V59" s="2"/>
      <x:c r="W59" s="2"/>
      <x:c r="X59" s="2" t="s">
        <x:v>170</x:v>
      </x:c>
      <x:c r="Y59" s="2" t="s">
        <x:v>113</x:v>
      </x:c>
      <x:c r="Z59" s="2" t="s">
        <x:v>114</x:v>
      </x:c>
    </x:row>
    <x:row r="60" ht="40.5">
      <x:c r="A60" s="2">
        <x:v>350</x:v>
      </x:c>
      <x:c r="B60" s="2">
        <x:v>1252479</x:v>
      </x:c>
      <x:c r="C60" s="2">
        <x:v>700796</x:v>
      </x:c>
      <x:c r="D60" s="2">
        <x:v>59877</x:v>
      </x:c>
      <x:c r="E60" s="2" t="s">
        <x:v>10</x:v>
      </x:c>
      <x:c r="F60" s="2" t="s">
        <x:v>166</x:v>
      </x:c>
      <x:c r="G60" s="2" t="s">
        <x:v>157</x:v>
      </x:c>
      <x:c r="H60" s="2" t="s">
        <x:v>107</x:v>
      </x:c>
      <x:c r="I60" s="2"/>
      <x:c r="J60" s="2">
        <x:v>4</x:v>
      </x:c>
      <x:c r="K60" s="2" t="s">
        <x:v>117</x:v>
      </x:c>
      <x:c r="L60" s="2" t="s">
        <x:v>110</x:v>
      </x:c>
      <x:c r="M60" s="2"/>
      <x:c r="N60" s="2">
        <x:v>124.6</x:v>
      </x:c>
      <x:c r="O60" s="2"/>
      <x:c r="P60" s="2"/>
      <x:c r="Q60" s="2" t="s">
        <x:v>111</x:v>
      </x:c>
      <x:c r="R60" s="2">
        <x:v>124.6</x:v>
      </x:c>
      <x:c r="S60" s="2" t="s">
        <x:v>111</x:v>
      </x:c>
      <x:c r="T60" s="2">
        <x:v>20</x:v>
      </x:c>
      <x:c r="U60" s="2">
        <x:v>30</x:v>
      </x:c>
      <x:c r="V60" s="2">
        <x:v>7.9</x:v>
      </x:c>
      <x:c r="W60" s="2"/>
      <x:c r="X60" s="2" t="s">
        <x:v>171</x:v>
      </x:c>
      <x:c r="Y60" s="2" t="s">
        <x:v>113</x:v>
      </x:c>
      <x:c r="Z60" s="2" t="s">
        <x:v>114</x:v>
      </x:c>
    </x:row>
    <x:row r="61" ht="27">
      <x:c r="A61" s="2">
        <x:v>351</x:v>
      </x:c>
      <x:c r="B61" s="2">
        <x:v>1047101</x:v>
      </x:c>
      <x:c r="C61" s="2">
        <x:v>115194</x:v>
      </x:c>
      <x:c r="D61" s="2">
        <x:v>2977</x:v>
      </x:c>
      <x:c r="E61" s="2" t="s">
        <x:v>10</x:v>
      </x:c>
      <x:c r="F61" s="2" t="s">
        <x:v>166</x:v>
      </x:c>
      <x:c r="G61" s="2" t="s">
        <x:v>168</x:v>
      </x:c>
      <x:c r="H61" s="2" t="s">
        <x:v>107</x:v>
      </x:c>
      <x:c r="I61" s="2" t="s">
        <x:v>125</x:v>
      </x:c>
      <x:c r="J61" s="2">
        <x:v>4</x:v>
      </x:c>
      <x:c r="K61" s="2" t="s">
        <x:v>126</x:v>
      </x:c>
      <x:c r="L61" s="2" t="s">
        <x:v>110</x:v>
      </x:c>
      <x:c r="M61" s="2"/>
      <x:c r="N61" s="2">
        <x:v>4.0999999999999996</x:v>
      </x:c>
      <x:c r="O61" s="2">
        <x:v>3.3</x:v>
      </x:c>
      <x:c r="P61" s="2">
        <x:v>5</x:v>
      </x:c>
      <x:c r="Q61" s="2" t="s">
        <x:v>169</x:v>
      </x:c>
      <x:c r="R61" s="2">
        <x:v>4.0999999999999996</x:v>
      </x:c>
      <x:c r="S61" s="2" t="s">
        <x:v>169</x:v>
      </x:c>
      <x:c r="T61" s="2"/>
      <x:c r="U61" s="2">
        <x:v>35</x:v>
      </x:c>
      <x:c r="V61" s="2"/>
      <x:c r="W61" s="2"/>
      <x:c r="X61" s="2" t="s">
        <x:v>170</x:v>
      </x:c>
      <x:c r="Y61" s="2" t="s">
        <x:v>113</x:v>
      </x:c>
      <x:c r="Z61" s="2" t="s">
        <x:v>114</x:v>
      </x:c>
    </x:row>
    <x:row r="62" ht="27">
      <x:c r="A62" s="2">
        <x:v>352</x:v>
      </x:c>
      <x:c r="B62" s="2">
        <x:v>1047097</x:v>
      </x:c>
      <x:c r="C62" s="2">
        <x:v>115190</x:v>
      </x:c>
      <x:c r="D62" s="2">
        <x:v>2977</x:v>
      </x:c>
      <x:c r="E62" s="2" t="s">
        <x:v>10</x:v>
      </x:c>
      <x:c r="F62" s="2" t="s">
        <x:v>166</x:v>
      </x:c>
      <x:c r="G62" s="2" t="s">
        <x:v>168</x:v>
      </x:c>
      <x:c r="H62" s="2" t="s">
        <x:v>107</x:v>
      </x:c>
      <x:c r="I62" s="2" t="s">
        <x:v>125</x:v>
      </x:c>
      <x:c r="J62" s="2">
        <x:v>4</x:v>
      </x:c>
      <x:c r="K62" s="2" t="s">
        <x:v>126</x:v>
      </x:c>
      <x:c r="L62" s="2" t="s">
        <x:v>110</x:v>
      </x:c>
      <x:c r="M62" s="2"/>
      <x:c r="N62" s="2">
        <x:v>1.2</x:v>
      </x:c>
      <x:c r="O62" s="2">
        <x:v>0.6</x:v>
      </x:c>
      <x:c r="P62" s="2">
        <x:v>1.6</x:v>
      </x:c>
      <x:c r="Q62" s="2" t="s">
        <x:v>169</x:v>
      </x:c>
      <x:c r="R62" s="2">
        <x:v>1.2</x:v>
      </x:c>
      <x:c r="S62" s="2" t="s">
        <x:v>169</x:v>
      </x:c>
      <x:c r="T62" s="2"/>
      <x:c r="U62" s="2">
        <x:v>35</x:v>
      </x:c>
      <x:c r="V62" s="2"/>
      <x:c r="W62" s="2"/>
      <x:c r="X62" s="2" t="s">
        <x:v>170</x:v>
      </x:c>
      <x:c r="Y62" s="2" t="s">
        <x:v>113</x:v>
      </x:c>
      <x:c r="Z62" s="2" t="s">
        <x:v>114</x:v>
      </x:c>
    </x:row>
    <x:row r="63" ht="27">
      <x:c r="A63" s="2">
        <x:v>353</x:v>
      </x:c>
      <x:c r="B63" s="2">
        <x:v>1134112</x:v>
      </x:c>
      <x:c r="C63" s="2">
        <x:v>107408</x:v>
      </x:c>
      <x:c r="D63" s="2">
        <x:v>10900</x:v>
      </x:c>
      <x:c r="E63" s="2" t="s">
        <x:v>10</x:v>
      </x:c>
      <x:c r="F63" s="2" t="s">
        <x:v>166</x:v>
      </x:c>
      <x:c r="G63" s="2" t="s">
        <x:v>150</x:v>
      </x:c>
      <x:c r="H63" s="2" t="s">
        <x:v>135</x:v>
      </x:c>
      <x:c r="I63" s="2" t="s">
        <x:v>159</x:v>
      </x:c>
      <x:c r="J63" s="2">
        <x:v>4</x:v>
      </x:c>
      <x:c r="K63" s="2" t="s">
        <x:v>117</x:v>
      </x:c>
      <x:c r="L63" s="2" t="s">
        <x:v>110</x:v>
      </x:c>
      <x:c r="M63" s="2"/>
      <x:c r="N63" s="2">
        <x:v>31.1</x:v>
      </x:c>
      <x:c r="O63" s="2"/>
      <x:c r="P63" s="2"/>
      <x:c r="Q63" s="2" t="s">
        <x:v>111</x:v>
      </x:c>
      <x:c r="R63" s="2">
        <x:v>31.1</x:v>
      </x:c>
      <x:c r="S63" s="2" t="s">
        <x:v>111</x:v>
      </x:c>
      <x:c r="T63" s="2">
        <x:v>15</x:v>
      </x:c>
      <x:c r="U63" s="2">
        <x:v>10</x:v>
      </x:c>
      <x:c r="V63" s="2"/>
      <x:c r="W63" s="2"/>
      <x:c r="X63" s="2" t="s">
        <x:v>160</x:v>
      </x:c>
      <x:c r="Y63" s="2" t="s">
        <x:v>113</x:v>
      </x:c>
      <x:c r="Z63" s="2" t="s">
        <x:v>114</x:v>
      </x:c>
    </x:row>
    <x:row r="64" ht="27">
      <x:c r="A64" s="2">
        <x:v>354</x:v>
      </x:c>
      <x:c r="B64" s="2">
        <x:v>1047100</x:v>
      </x:c>
      <x:c r="C64" s="2">
        <x:v>115193</x:v>
      </x:c>
      <x:c r="D64" s="2">
        <x:v>2977</x:v>
      </x:c>
      <x:c r="E64" s="2" t="s">
        <x:v>10</x:v>
      </x:c>
      <x:c r="F64" s="2" t="s">
        <x:v>166</x:v>
      </x:c>
      <x:c r="G64" s="2" t="s">
        <x:v>168</x:v>
      </x:c>
      <x:c r="H64" s="2" t="s">
        <x:v>107</x:v>
      </x:c>
      <x:c r="I64" s="2" t="s">
        <x:v>125</x:v>
      </x:c>
      <x:c r="J64" s="2">
        <x:v>4</x:v>
      </x:c>
      <x:c r="K64" s="2" t="s">
        <x:v>126</x:v>
      </x:c>
      <x:c r="L64" s="2" t="s">
        <x:v>110</x:v>
      </x:c>
      <x:c r="M64" s="2"/>
      <x:c r="N64" s="2">
        <x:v>2.9</x:v>
      </x:c>
      <x:c r="O64" s="2">
        <x:v>1.5</x:v>
      </x:c>
      <x:c r="P64" s="2">
        <x:v>4.2</x:v>
      </x:c>
      <x:c r="Q64" s="2" t="s">
        <x:v>169</x:v>
      </x:c>
      <x:c r="R64" s="2">
        <x:v>2.9</x:v>
      </x:c>
      <x:c r="S64" s="2" t="s">
        <x:v>169</x:v>
      </x:c>
      <x:c r="T64" s="2"/>
      <x:c r="U64" s="2">
        <x:v>35</x:v>
      </x:c>
      <x:c r="V64" s="2"/>
      <x:c r="W64" s="2"/>
      <x:c r="X64" s="2" t="s">
        <x:v>170</x:v>
      </x:c>
      <x:c r="Y64" s="2" t="s">
        <x:v>113</x:v>
      </x:c>
      <x:c r="Z64" s="2" t="s">
        <x:v>114</x:v>
      </x:c>
    </x:row>
    <x:row r="65" ht="27">
      <x:c r="A65" s="2">
        <x:v>355</x:v>
      </x:c>
      <x:c r="B65" s="2">
        <x:v>1134111</x:v>
      </x:c>
      <x:c r="C65" s="2">
        <x:v>107407</x:v>
      </x:c>
      <x:c r="D65" s="2">
        <x:v>10900</x:v>
      </x:c>
      <x:c r="E65" s="2" t="s">
        <x:v>10</x:v>
      </x:c>
      <x:c r="F65" s="2" t="s">
        <x:v>166</x:v>
      </x:c>
      <x:c r="G65" s="2" t="s">
        <x:v>150</x:v>
      </x:c>
      <x:c r="H65" s="2" t="s">
        <x:v>135</x:v>
      </x:c>
      <x:c r="I65" s="2" t="s">
        <x:v>159</x:v>
      </x:c>
      <x:c r="J65" s="2">
        <x:v>4</x:v>
      </x:c>
      <x:c r="K65" s="2" t="s">
        <x:v>117</x:v>
      </x:c>
      <x:c r="L65" s="2" t="s">
        <x:v>110</x:v>
      </x:c>
      <x:c r="M65" s="2"/>
      <x:c r="N65" s="2">
        <x:v>30.6</x:v>
      </x:c>
      <x:c r="O65" s="2"/>
      <x:c r="P65" s="2"/>
      <x:c r="Q65" s="2" t="s">
        <x:v>111</x:v>
      </x:c>
      <x:c r="R65" s="2">
        <x:v>30.6</x:v>
      </x:c>
      <x:c r="S65" s="2" t="s">
        <x:v>111</x:v>
      </x:c>
      <x:c r="T65" s="2">
        <x:v>15</x:v>
      </x:c>
      <x:c r="U65" s="2">
        <x:v>10</x:v>
      </x:c>
      <x:c r="V65" s="2"/>
      <x:c r="W65" s="2"/>
      <x:c r="X65" s="2" t="s">
        <x:v>160</x:v>
      </x:c>
      <x:c r="Y65" s="2" t="s">
        <x:v>113</x:v>
      </x:c>
      <x:c r="Z65" s="2" t="s">
        <x:v>114</x:v>
      </x:c>
    </x:row>
    <x:row r="66" ht="27">
      <x:c r="A66" s="2">
        <x:v>356</x:v>
      </x:c>
      <x:c r="B66" s="2">
        <x:v>1134115</x:v>
      </x:c>
      <x:c r="C66" s="2">
        <x:v>107411</x:v>
      </x:c>
      <x:c r="D66" s="2">
        <x:v>10900</x:v>
      </x:c>
      <x:c r="E66" s="2" t="s">
        <x:v>10</x:v>
      </x:c>
      <x:c r="F66" s="2" t="s">
        <x:v>166</x:v>
      </x:c>
      <x:c r="G66" s="2" t="s">
        <x:v>150</x:v>
      </x:c>
      <x:c r="H66" s="2" t="s">
        <x:v>135</x:v>
      </x:c>
      <x:c r="I66" s="2" t="s">
        <x:v>159</x:v>
      </x:c>
      <x:c r="J66" s="2">
        <x:v>4</x:v>
      </x:c>
      <x:c r="K66" s="2" t="s">
        <x:v>117</x:v>
      </x:c>
      <x:c r="L66" s="2" t="s">
        <x:v>110</x:v>
      </x:c>
      <x:c r="M66" s="2"/>
      <x:c r="N66" s="2">
        <x:v>33.700000000000003</x:v>
      </x:c>
      <x:c r="O66" s="2">
        <x:v>24</x:v>
      </x:c>
      <x:c r="P66" s="2">
        <x:v>46</x:v>
      </x:c>
      <x:c r="Q66" s="2" t="s">
        <x:v>111</x:v>
      </x:c>
      <x:c r="R66" s="2">
        <x:v>33.700000000000003</x:v>
      </x:c>
      <x:c r="S66" s="2" t="s">
        <x:v>111</x:v>
      </x:c>
      <x:c r="T66" s="2">
        <x:v>15</x:v>
      </x:c>
      <x:c r="U66" s="2">
        <x:v>10</x:v>
      </x:c>
      <x:c r="V66" s="2"/>
      <x:c r="W66" s="2"/>
      <x:c r="X66" s="2" t="s">
        <x:v>160</x:v>
      </x:c>
      <x:c r="Y66" s="2" t="s">
        <x:v>113</x:v>
      </x:c>
      <x:c r="Z66" s="2" t="s">
        <x:v>114</x:v>
      </x:c>
    </x:row>
    <x:row r="67" ht="27">
      <x:c r="A67" s="2">
        <x:v>357</x:v>
      </x:c>
      <x:c r="B67" s="2">
        <x:v>1134113</x:v>
      </x:c>
      <x:c r="C67" s="2">
        <x:v>107409</x:v>
      </x:c>
      <x:c r="D67" s="2">
        <x:v>10900</x:v>
      </x:c>
      <x:c r="E67" s="2" t="s">
        <x:v>10</x:v>
      </x:c>
      <x:c r="F67" s="2" t="s">
        <x:v>166</x:v>
      </x:c>
      <x:c r="G67" s="2" t="s">
        <x:v>150</x:v>
      </x:c>
      <x:c r="H67" s="2" t="s">
        <x:v>135</x:v>
      </x:c>
      <x:c r="I67" s="2" t="s">
        <x:v>159</x:v>
      </x:c>
      <x:c r="J67" s="2">
        <x:v>4</x:v>
      </x:c>
      <x:c r="K67" s="2" t="s">
        <x:v>117</x:v>
      </x:c>
      <x:c r="L67" s="2" t="s">
        <x:v>110</x:v>
      </x:c>
      <x:c r="M67" s="2"/>
      <x:c r="N67" s="2">
        <x:v>28.7</x:v>
      </x:c>
      <x:c r="O67" s="2"/>
      <x:c r="P67" s="2"/>
      <x:c r="Q67" s="2" t="s">
        <x:v>111</x:v>
      </x:c>
      <x:c r="R67" s="2">
        <x:v>28.7</x:v>
      </x:c>
      <x:c r="S67" s="2" t="s">
        <x:v>111</x:v>
      </x:c>
      <x:c r="T67" s="2">
        <x:v>15</x:v>
      </x:c>
      <x:c r="U67" s="2">
        <x:v>10</x:v>
      </x:c>
      <x:c r="V67" s="2"/>
      <x:c r="W67" s="2"/>
      <x:c r="X67" s="2" t="s">
        <x:v>160</x:v>
      </x:c>
      <x:c r="Y67" s="2" t="s">
        <x:v>113</x:v>
      </x:c>
      <x:c r="Z67" s="2" t="s">
        <x:v>114</x:v>
      </x:c>
    </x:row>
    <x:row r="68" ht="27">
      <x:c r="A68" s="2">
        <x:v>358</x:v>
      </x:c>
      <x:c r="B68" s="2">
        <x:v>1047096</x:v>
      </x:c>
      <x:c r="C68" s="2">
        <x:v>115189</x:v>
      </x:c>
      <x:c r="D68" s="2">
        <x:v>2977</x:v>
      </x:c>
      <x:c r="E68" s="2" t="s">
        <x:v>10</x:v>
      </x:c>
      <x:c r="F68" s="2" t="s">
        <x:v>166</x:v>
      </x:c>
      <x:c r="G68" s="2" t="s">
        <x:v>168</x:v>
      </x:c>
      <x:c r="H68" s="2" t="s">
        <x:v>107</x:v>
      </x:c>
      <x:c r="I68" s="2" t="s">
        <x:v>172</x:v>
      </x:c>
      <x:c r="J68" s="2">
        <x:v>4</x:v>
      </x:c>
      <x:c r="K68" s="2" t="s">
        <x:v>126</x:v>
      </x:c>
      <x:c r="L68" s="2" t="s">
        <x:v>110</x:v>
      </x:c>
      <x:c r="M68" s="2"/>
      <x:c r="N68" s="2">
        <x:v>3.6</x:v>
      </x:c>
      <x:c r="O68" s="2">
        <x:v>1.2</x:v>
      </x:c>
      <x:c r="P68" s="2">
        <x:v>6.2</x:v>
      </x:c>
      <x:c r="Q68" s="2" t="s">
        <x:v>169</x:v>
      </x:c>
      <x:c r="R68" s="2">
        <x:v>3.6</x:v>
      </x:c>
      <x:c r="S68" s="2" t="s">
        <x:v>169</x:v>
      </x:c>
      <x:c r="T68" s="2"/>
      <x:c r="U68" s="2">
        <x:v>35</x:v>
      </x:c>
      <x:c r="V68" s="2"/>
      <x:c r="W68" s="2"/>
      <x:c r="X68" s="2" t="s">
        <x:v>170</x:v>
      </x:c>
      <x:c r="Y68" s="2" t="s">
        <x:v>113</x:v>
      </x:c>
      <x:c r="Z68" s="2" t="s">
        <x:v>114</x:v>
      </x:c>
    </x:row>
    <x:row r="69" ht="27">
      <x:c r="A69" s="2">
        <x:v>359</x:v>
      </x:c>
      <x:c r="B69" s="2">
        <x:v>1111944</x:v>
      </x:c>
      <x:c r="C69" s="2">
        <x:v>23784</x:v>
      </x:c>
      <x:c r="D69" s="2">
        <x:v>8445</x:v>
      </x:c>
      <x:c r="E69" s="2" t="s">
        <x:v>10</x:v>
      </x:c>
      <x:c r="F69" s="2" t="s">
        <x:v>166</x:v>
      </x:c>
      <x:c r="G69" s="2" t="s">
        <x:v>134</x:v>
      </x:c>
      <x:c r="H69" s="2" t="s">
        <x:v>135</x:v>
      </x:c>
      <x:c r="I69" s="2" t="s">
        <x:v>148</x:v>
      </x:c>
      <x:c r="J69" s="2">
        <x:v>4</x:v>
      </x:c>
      <x:c r="K69" s="2" t="s">
        <x:v>117</x:v>
      </x:c>
      <x:c r="L69" s="2" t="s">
        <x:v>110</x:v>
      </x:c>
      <x:c r="M69" s="2"/>
      <x:c r="N69" s="2">
        <x:v>55</x:v>
      </x:c>
      <x:c r="O69" s="2">
        <x:v>36</x:v>
      </x:c>
      <x:c r="P69" s="2">
        <x:v>76</x:v>
      </x:c>
      <x:c r="Q69" s="2" t="s">
        <x:v>111</x:v>
      </x:c>
      <x:c r="R69" s="2">
        <x:v>55</x:v>
      </x:c>
      <x:c r="S69" s="2" t="s">
        <x:v>111</x:v>
      </x:c>
      <x:c r="T69" s="2">
        <x:v>20</x:v>
      </x:c>
      <x:c r="U69" s="2">
        <x:v>10</x:v>
      </x:c>
      <x:c r="V69" s="2"/>
      <x:c r="W69" s="2"/>
      <x:c r="X69" s="2" t="s">
        <x:v>147</x:v>
      </x:c>
      <x:c r="Y69" s="2" t="s">
        <x:v>113</x:v>
      </x:c>
      <x:c r="Z69" s="2" t="s">
        <x:v>114</x:v>
      </x:c>
    </x:row>
    <x:row r="70" ht="27">
      <x:c r="A70" s="2">
        <x:v>360</x:v>
      </x:c>
      <x:c r="B70" s="2">
        <x:v>1047106</x:v>
      </x:c>
      <x:c r="C70" s="2">
        <x:v>115199</x:v>
      </x:c>
      <x:c r="D70" s="2">
        <x:v>2977</x:v>
      </x:c>
      <x:c r="E70" s="2" t="s">
        <x:v>10</x:v>
      </x:c>
      <x:c r="F70" s="2" t="s">
        <x:v>166</x:v>
      </x:c>
      <x:c r="G70" s="2" t="s">
        <x:v>168</x:v>
      </x:c>
      <x:c r="H70" s="2" t="s">
        <x:v>107</x:v>
      </x:c>
      <x:c r="I70" s="2" t="s">
        <x:v>173</x:v>
      </x:c>
      <x:c r="J70" s="2">
        <x:v>4</x:v>
      </x:c>
      <x:c r="K70" s="2" t="s">
        <x:v>126</x:v>
      </x:c>
      <x:c r="L70" s="2" t="s">
        <x:v>110</x:v>
      </x:c>
      <x:c r="M70" s="2"/>
      <x:c r="N70" s="2">
        <x:v>6.2</x:v>
      </x:c>
      <x:c r="O70" s="2">
        <x:v>3.9</x:v>
      </x:c>
      <x:c r="P70" s="2">
        <x:v>7.9</x:v>
      </x:c>
      <x:c r="Q70" s="2" t="s">
        <x:v>169</x:v>
      </x:c>
      <x:c r="R70" s="2">
        <x:v>6.2</x:v>
      </x:c>
      <x:c r="S70" s="2" t="s">
        <x:v>169</x:v>
      </x:c>
      <x:c r="T70" s="2"/>
      <x:c r="U70" s="2">
        <x:v>35</x:v>
      </x:c>
      <x:c r="V70" s="2"/>
      <x:c r="W70" s="2"/>
      <x:c r="X70" s="2" t="s">
        <x:v>170</x:v>
      </x:c>
      <x:c r="Y70" s="2" t="s">
        <x:v>113</x:v>
      </x:c>
      <x:c r="Z70" s="2" t="s">
        <x:v>114</x:v>
      </x:c>
    </x:row>
    <x:row r="71" ht="27">
      <x:c r="A71" s="2">
        <x:v>361</x:v>
      </x:c>
      <x:c r="B71" s="2">
        <x:v>1047104</x:v>
      </x:c>
      <x:c r="C71" s="2">
        <x:v>115197</x:v>
      </x:c>
      <x:c r="D71" s="2">
        <x:v>2977</x:v>
      </x:c>
      <x:c r="E71" s="2" t="s">
        <x:v>10</x:v>
      </x:c>
      <x:c r="F71" s="2" t="s">
        <x:v>166</x:v>
      </x:c>
      <x:c r="G71" s="2" t="s">
        <x:v>168</x:v>
      </x:c>
      <x:c r="H71" s="2" t="s">
        <x:v>107</x:v>
      </x:c>
      <x:c r="I71" s="2" t="s">
        <x:v>173</x:v>
      </x:c>
      <x:c r="J71" s="2">
        <x:v>4</x:v>
      </x:c>
      <x:c r="K71" s="2" t="s">
        <x:v>126</x:v>
      </x:c>
      <x:c r="L71" s="2" t="s">
        <x:v>110</x:v>
      </x:c>
      <x:c r="M71" s="2"/>
      <x:c r="N71" s="2">
        <x:v>7.8</x:v>
      </x:c>
      <x:c r="O71" s="2">
        <x:v>4.5</x:v>
      </x:c>
      <x:c r="P71" s="2">
        <x:v>11.5</x:v>
      </x:c>
      <x:c r="Q71" s="2" t="s">
        <x:v>169</x:v>
      </x:c>
      <x:c r="R71" s="2">
        <x:v>7.8</x:v>
      </x:c>
      <x:c r="S71" s="2" t="s">
        <x:v>169</x:v>
      </x:c>
      <x:c r="T71" s="2"/>
      <x:c r="U71" s="2">
        <x:v>35</x:v>
      </x:c>
      <x:c r="V71" s="2"/>
      <x:c r="W71" s="2"/>
      <x:c r="X71" s="2" t="s">
        <x:v>170</x:v>
      </x:c>
      <x:c r="Y71" s="2" t="s">
        <x:v>113</x:v>
      </x:c>
      <x:c r="Z71" s="2" t="s">
        <x:v>114</x:v>
      </x:c>
    </x:row>
    <x:row r="72" ht="27">
      <x:c r="A72" s="2">
        <x:v>362</x:v>
      </x:c>
      <x:c r="B72" s="2">
        <x:v>1047102</x:v>
      </x:c>
      <x:c r="C72" s="2">
        <x:v>115195</x:v>
      </x:c>
      <x:c r="D72" s="2">
        <x:v>2977</x:v>
      </x:c>
      <x:c r="E72" s="2" t="s">
        <x:v>10</x:v>
      </x:c>
      <x:c r="F72" s="2" t="s">
        <x:v>166</x:v>
      </x:c>
      <x:c r="G72" s="2" t="s">
        <x:v>168</x:v>
      </x:c>
      <x:c r="H72" s="2" t="s">
        <x:v>107</x:v>
      </x:c>
      <x:c r="I72" s="2" t="s">
        <x:v>125</x:v>
      </x:c>
      <x:c r="J72" s="2">
        <x:v>4</x:v>
      </x:c>
      <x:c r="K72" s="2" t="s">
        <x:v>126</x:v>
      </x:c>
      <x:c r="L72" s="2" t="s">
        <x:v>110</x:v>
      </x:c>
      <x:c r="M72" s="2"/>
      <x:c r="N72" s="2">
        <x:v>4.8</x:v>
      </x:c>
      <x:c r="O72" s="2">
        <x:v>3.5</x:v>
      </x:c>
      <x:c r="P72" s="2">
        <x:v>6.1</x:v>
      </x:c>
      <x:c r="Q72" s="2" t="s">
        <x:v>169</x:v>
      </x:c>
      <x:c r="R72" s="2">
        <x:v>4.8</x:v>
      </x:c>
      <x:c r="S72" s="2" t="s">
        <x:v>169</x:v>
      </x:c>
      <x:c r="T72" s="2"/>
      <x:c r="U72" s="2">
        <x:v>35</x:v>
      </x:c>
      <x:c r="V72" s="2"/>
      <x:c r="W72" s="2"/>
      <x:c r="X72" s="2" t="s">
        <x:v>170</x:v>
      </x:c>
      <x:c r="Y72" s="2" t="s">
        <x:v>113</x:v>
      </x:c>
      <x:c r="Z72" s="2" t="s">
        <x:v>114</x:v>
      </x:c>
    </x:row>
    <x:row r="73" ht="27">
      <x:c r="A73" s="2">
        <x:v>363</x:v>
      </x:c>
      <x:c r="B73" s="2">
        <x:v>1111943</x:v>
      </x:c>
      <x:c r="C73" s="2">
        <x:v>23783</x:v>
      </x:c>
      <x:c r="D73" s="2">
        <x:v>8445</x:v>
      </x:c>
      <x:c r="E73" s="2" t="s">
        <x:v>10</x:v>
      </x:c>
      <x:c r="F73" s="2" t="s">
        <x:v>166</x:v>
      </x:c>
      <x:c r="G73" s="2" t="s">
        <x:v>134</x:v>
      </x:c>
      <x:c r="H73" s="2" t="s">
        <x:v>135</x:v>
      </x:c>
      <x:c r="I73" s="2"/>
      <x:c r="J73" s="2">
        <x:v>4</x:v>
      </x:c>
      <x:c r="K73" s="2" t="s">
        <x:v>117</x:v>
      </x:c>
      <x:c r="L73" s="2" t="s">
        <x:v>110</x:v>
      </x:c>
      <x:c r="M73" s="2"/>
      <x:c r="N73" s="2">
        <x:v>31</x:v>
      </x:c>
      <x:c r="O73" s="2">
        <x:v>21</x:v>
      </x:c>
      <x:c r="P73" s="2">
        <x:v>44</x:v>
      </x:c>
      <x:c r="Q73" s="2" t="s">
        <x:v>111</x:v>
      </x:c>
      <x:c r="R73" s="2">
        <x:v>31</x:v>
      </x:c>
      <x:c r="S73" s="2" t="s">
        <x:v>111</x:v>
      </x:c>
      <x:c r="T73" s="2">
        <x:v>20</x:v>
      </x:c>
      <x:c r="U73" s="2">
        <x:v>10</x:v>
      </x:c>
      <x:c r="V73" s="2"/>
      <x:c r="W73" s="2"/>
      <x:c r="X73" s="2" t="s">
        <x:v>147</x:v>
      </x:c>
      <x:c r="Y73" s="2" t="s">
        <x:v>113</x:v>
      </x:c>
      <x:c r="Z73" s="2" t="s">
        <x:v>114</x:v>
      </x:c>
    </x:row>
    <x:row r="74" ht="27">
      <x:c r="A74" s="2">
        <x:v>364</x:v>
      </x:c>
      <x:c r="B74" s="2">
        <x:v>1111946</x:v>
      </x:c>
      <x:c r="C74" s="2">
        <x:v>23786</x:v>
      </x:c>
      <x:c r="D74" s="2">
        <x:v>8445</x:v>
      </x:c>
      <x:c r="E74" s="2" t="s">
        <x:v>10</x:v>
      </x:c>
      <x:c r="F74" s="2" t="s">
        <x:v>166</x:v>
      </x:c>
      <x:c r="G74" s="2" t="s">
        <x:v>134</x:v>
      </x:c>
      <x:c r="H74" s="2" t="s">
        <x:v>135</x:v>
      </x:c>
      <x:c r="I74" s="2" t="s">
        <x:v>149</x:v>
      </x:c>
      <x:c r="J74" s="2">
        <x:v>4</x:v>
      </x:c>
      <x:c r="K74" s="2" t="s">
        <x:v>117</x:v>
      </x:c>
      <x:c r="L74" s="2" t="s">
        <x:v>110</x:v>
      </x:c>
      <x:c r="M74" s="2"/>
      <x:c r="N74" s="2">
        <x:v>64</x:v>
      </x:c>
      <x:c r="O74" s="2"/>
      <x:c r="P74" s="2"/>
      <x:c r="Q74" s="2" t="s">
        <x:v>111</x:v>
      </x:c>
      <x:c r="R74" s="2">
        <x:v>64</x:v>
      </x:c>
      <x:c r="S74" s="2" t="s">
        <x:v>111</x:v>
      </x:c>
      <x:c r="T74" s="2">
        <x:v>20</x:v>
      </x:c>
      <x:c r="U74" s="2">
        <x:v>10</x:v>
      </x:c>
      <x:c r="V74" s="2"/>
      <x:c r="W74" s="2"/>
      <x:c r="X74" s="2" t="s">
        <x:v>147</x:v>
      </x:c>
      <x:c r="Y74" s="2" t="s">
        <x:v>113</x:v>
      </x:c>
      <x:c r="Z74" s="2" t="s">
        <x:v>114</x:v>
      </x:c>
    </x:row>
    <x:row r="75" ht="27">
      <x:c r="A75" s="2">
        <x:v>365</x:v>
      </x:c>
      <x:c r="B75" s="2">
        <x:v>1047098</x:v>
      </x:c>
      <x:c r="C75" s="2">
        <x:v>115191</x:v>
      </x:c>
      <x:c r="D75" s="2">
        <x:v>2977</x:v>
      </x:c>
      <x:c r="E75" s="2" t="s">
        <x:v>10</x:v>
      </x:c>
      <x:c r="F75" s="2" t="s">
        <x:v>166</x:v>
      </x:c>
      <x:c r="G75" s="2" t="s">
        <x:v>168</x:v>
      </x:c>
      <x:c r="H75" s="2" t="s">
        <x:v>107</x:v>
      </x:c>
      <x:c r="I75" s="2" t="s">
        <x:v>125</x:v>
      </x:c>
      <x:c r="J75" s="2">
        <x:v>4</x:v>
      </x:c>
      <x:c r="K75" s="2" t="s">
        <x:v>126</x:v>
      </x:c>
      <x:c r="L75" s="2" t="s">
        <x:v>110</x:v>
      </x:c>
      <x:c r="M75" s="2"/>
      <x:c r="N75" s="2">
        <x:v>0.3</x:v>
      </x:c>
      <x:c r="O75" s="2">
        <x:v>0.02</x:v>
      </x:c>
      <x:c r="P75" s="2">
        <x:v>2</x:v>
      </x:c>
      <x:c r="Q75" s="2" t="s">
        <x:v>169</x:v>
      </x:c>
      <x:c r="R75" s="2">
        <x:v>0.3</x:v>
      </x:c>
      <x:c r="S75" s="2" t="s">
        <x:v>169</x:v>
      </x:c>
      <x:c r="T75" s="2"/>
      <x:c r="U75" s="2">
        <x:v>35</x:v>
      </x:c>
      <x:c r="V75" s="2"/>
      <x:c r="W75" s="2"/>
      <x:c r="X75" s="2" t="s">
        <x:v>170</x:v>
      </x:c>
      <x:c r="Y75" s="2" t="s">
        <x:v>113</x:v>
      </x:c>
      <x:c r="Z75" s="2" t="s">
        <x:v>114</x:v>
      </x:c>
    </x:row>
    <x:row r="76" ht="27">
      <x:c r="A76" s="2">
        <x:v>366</x:v>
      </x:c>
      <x:c r="B76" s="2">
        <x:v>1047103</x:v>
      </x:c>
      <x:c r="C76" s="2">
        <x:v>115196</x:v>
      </x:c>
      <x:c r="D76" s="2">
        <x:v>2977</x:v>
      </x:c>
      <x:c r="E76" s="2" t="s">
        <x:v>10</x:v>
      </x:c>
      <x:c r="F76" s="2" t="s">
        <x:v>166</x:v>
      </x:c>
      <x:c r="G76" s="2" t="s">
        <x:v>168</x:v>
      </x:c>
      <x:c r="H76" s="2" t="s">
        <x:v>107</x:v>
      </x:c>
      <x:c r="I76" s="2" t="s">
        <x:v>173</x:v>
      </x:c>
      <x:c r="J76" s="2">
        <x:v>4</x:v>
      </x:c>
      <x:c r="K76" s="2" t="s">
        <x:v>126</x:v>
      </x:c>
      <x:c r="L76" s="2" t="s">
        <x:v>110</x:v>
      </x:c>
      <x:c r="M76" s="2"/>
      <x:c r="N76" s="2">
        <x:v>5.9</x:v>
      </x:c>
      <x:c r="O76" s="2">
        <x:v>4.5999999999999996</x:v>
      </x:c>
      <x:c r="P76" s="2">
        <x:v>7.2</x:v>
      </x:c>
      <x:c r="Q76" s="2" t="s">
        <x:v>169</x:v>
      </x:c>
      <x:c r="R76" s="2">
        <x:v>5.9</x:v>
      </x:c>
      <x:c r="S76" s="2" t="s">
        <x:v>169</x:v>
      </x:c>
      <x:c r="T76" s="2"/>
      <x:c r="U76" s="2">
        <x:v>35</x:v>
      </x:c>
      <x:c r="V76" s="2"/>
      <x:c r="W76" s="2"/>
      <x:c r="X76" s="2" t="s">
        <x:v>170</x:v>
      </x:c>
      <x:c r="Y76" s="2" t="s">
        <x:v>113</x:v>
      </x:c>
      <x:c r="Z76" s="2" t="s">
        <x:v>114</x:v>
      </x:c>
    </x:row>
    <x:row r="77" ht="27">
      <x:c r="A77" s="2">
        <x:v>367</x:v>
      </x:c>
      <x:c r="B77" s="2">
        <x:v>1047105</x:v>
      </x:c>
      <x:c r="C77" s="2">
        <x:v>115198</x:v>
      </x:c>
      <x:c r="D77" s="2">
        <x:v>2977</x:v>
      </x:c>
      <x:c r="E77" s="2" t="s">
        <x:v>10</x:v>
      </x:c>
      <x:c r="F77" s="2" t="s">
        <x:v>166</x:v>
      </x:c>
      <x:c r="G77" s="2" t="s">
        <x:v>168</x:v>
      </x:c>
      <x:c r="H77" s="2" t="s">
        <x:v>107</x:v>
      </x:c>
      <x:c r="I77" s="2" t="s">
        <x:v>173</x:v>
      </x:c>
      <x:c r="J77" s="2">
        <x:v>4</x:v>
      </x:c>
      <x:c r="K77" s="2" t="s">
        <x:v>126</x:v>
      </x:c>
      <x:c r="L77" s="2" t="s">
        <x:v>110</x:v>
      </x:c>
      <x:c r="M77" s="2"/>
      <x:c r="N77" s="2">
        <x:v>6.5</x:v>
      </x:c>
      <x:c r="O77" s="2">
        <x:v>5</x:v>
      </x:c>
      <x:c r="P77" s="2">
        <x:v>8.1999999999999993</x:v>
      </x:c>
      <x:c r="Q77" s="2" t="s">
        <x:v>169</x:v>
      </x:c>
      <x:c r="R77" s="2">
        <x:v>6.5</x:v>
      </x:c>
      <x:c r="S77" s="2" t="s">
        <x:v>169</x:v>
      </x:c>
      <x:c r="T77" s="2"/>
      <x:c r="U77" s="2">
        <x:v>35</x:v>
      </x:c>
      <x:c r="V77" s="2"/>
      <x:c r="W77" s="2"/>
      <x:c r="X77" s="2" t="s">
        <x:v>170</x:v>
      </x:c>
      <x:c r="Y77" s="2" t="s">
        <x:v>113</x:v>
      </x:c>
      <x:c r="Z77" s="2" t="s">
        <x:v>114</x:v>
      </x:c>
    </x:row>
    <x:row r="78" ht="27">
      <x:c r="A78" s="2">
        <x:v>368</x:v>
      </x:c>
      <x:c r="B78" s="2">
        <x:v>1047107</x:v>
      </x:c>
      <x:c r="C78" s="2">
        <x:v>115200</x:v>
      </x:c>
      <x:c r="D78" s="2">
        <x:v>2977</x:v>
      </x:c>
      <x:c r="E78" s="2" t="s">
        <x:v>10</x:v>
      </x:c>
      <x:c r="F78" s="2" t="s">
        <x:v>166</x:v>
      </x:c>
      <x:c r="G78" s="2" t="s">
        <x:v>168</x:v>
      </x:c>
      <x:c r="H78" s="2" t="s">
        <x:v>107</x:v>
      </x:c>
      <x:c r="I78" s="2" t="s">
        <x:v>173</x:v>
      </x:c>
      <x:c r="J78" s="2">
        <x:v>4</x:v>
      </x:c>
      <x:c r="K78" s="2" t="s">
        <x:v>126</x:v>
      </x:c>
      <x:c r="L78" s="2" t="s">
        <x:v>110</x:v>
      </x:c>
      <x:c r="M78" s="2"/>
      <x:c r="N78" s="2">
        <x:v>6.2</x:v>
      </x:c>
      <x:c r="O78" s="2">
        <x:v>4.5</x:v>
      </x:c>
      <x:c r="P78" s="2">
        <x:v>7.9</x:v>
      </x:c>
      <x:c r="Q78" s="2" t="s">
        <x:v>169</x:v>
      </x:c>
      <x:c r="R78" s="2">
        <x:v>6.2</x:v>
      </x:c>
      <x:c r="S78" s="2" t="s">
        <x:v>169</x:v>
      </x:c>
      <x:c r="T78" s="2"/>
      <x:c r="U78" s="2">
        <x:v>35</x:v>
      </x:c>
      <x:c r="V78" s="2"/>
      <x:c r="W78" s="2"/>
      <x:c r="X78" s="2" t="s">
        <x:v>170</x:v>
      </x:c>
      <x:c r="Y78" s="2" t="s">
        <x:v>113</x:v>
      </x:c>
      <x:c r="Z78" s="2" t="s">
        <x:v>114</x:v>
      </x:c>
    </x:row>
    <x:row r="79" ht="27">
      <x:c r="A79" s="2">
        <x:v>369</x:v>
      </x:c>
      <x:c r="B79" s="2">
        <x:v>1134114</x:v>
      </x:c>
      <x:c r="C79" s="2">
        <x:v>107410</x:v>
      </x:c>
      <x:c r="D79" s="2">
        <x:v>10900</x:v>
      </x:c>
      <x:c r="E79" s="2" t="s">
        <x:v>10</x:v>
      </x:c>
      <x:c r="F79" s="2" t="s">
        <x:v>166</x:v>
      </x:c>
      <x:c r="G79" s="2" t="s">
        <x:v>150</x:v>
      </x:c>
      <x:c r="H79" s="2" t="s">
        <x:v>135</x:v>
      </x:c>
      <x:c r="I79" s="2" t="s">
        <x:v>159</x:v>
      </x:c>
      <x:c r="J79" s="2">
        <x:v>4</x:v>
      </x:c>
      <x:c r="K79" s="2" t="s">
        <x:v>117</x:v>
      </x:c>
      <x:c r="L79" s="2" t="s">
        <x:v>110</x:v>
      </x:c>
      <x:c r="M79" s="2"/>
      <x:c r="N79" s="2">
        <x:v>7.5</x:v>
      </x:c>
      <x:c r="O79" s="2">
        <x:v>1.5</x:v>
      </x:c>
      <x:c r="P79" s="2">
        <x:v>44.7</x:v>
      </x:c>
      <x:c r="Q79" s="2" t="s">
        <x:v>111</x:v>
      </x:c>
      <x:c r="R79" s="2">
        <x:v>7.5</x:v>
      </x:c>
      <x:c r="S79" s="2" t="s">
        <x:v>111</x:v>
      </x:c>
      <x:c r="T79" s="2">
        <x:v>15</x:v>
      </x:c>
      <x:c r="U79" s="2">
        <x:v>10</x:v>
      </x:c>
      <x:c r="V79" s="2"/>
      <x:c r="W79" s="2"/>
      <x:c r="X79" s="2" t="s">
        <x:v>160</x:v>
      </x:c>
      <x:c r="Y79" s="2" t="s">
        <x:v>113</x:v>
      </x:c>
      <x:c r="Z79" s="2" t="s">
        <x:v>114</x:v>
      </x:c>
    </x:row>
    <x:row r="80" ht="27">
      <x:c r="A80" s="2">
        <x:v>370</x:v>
      </x:c>
      <x:c r="B80" s="2">
        <x:v>1047108</x:v>
      </x:c>
      <x:c r="C80" s="2">
        <x:v>115201</x:v>
      </x:c>
      <x:c r="D80" s="2">
        <x:v>2977</x:v>
      </x:c>
      <x:c r="E80" s="2" t="s">
        <x:v>10</x:v>
      </x:c>
      <x:c r="F80" s="2" t="s">
        <x:v>166</x:v>
      </x:c>
      <x:c r="G80" s="2" t="s">
        <x:v>168</x:v>
      </x:c>
      <x:c r="H80" s="2" t="s">
        <x:v>107</x:v>
      </x:c>
      <x:c r="I80" s="2" t="str">
        <x:v>Adult</x:v>
      </x:c>
      <x:c r="J80" s="2">
        <x:v>4</x:v>
      </x:c>
      <x:c r="K80" s="2" t="s">
        <x:v>126</x:v>
      </x:c>
      <x:c r="L80" s="2" t="s">
        <x:v>110</x:v>
      </x:c>
      <x:c r="M80" s="2"/>
      <x:c r="N80" s="2">
        <x:v>12</x:v>
      </x:c>
      <x:c r="O80" s="2">
        <x:v>10</x:v>
      </x:c>
      <x:c r="P80" s="2">
        <x:v>14</x:v>
      </x:c>
      <x:c r="Q80" s="2" t="s">
        <x:v>169</x:v>
      </x:c>
      <x:c r="R80" s="2">
        <x:v>12</x:v>
      </x:c>
      <x:c r="S80" s="2" t="s">
        <x:v>169</x:v>
      </x:c>
      <x:c r="T80" s="2"/>
      <x:c r="U80" s="2">
        <x:v>35</x:v>
      </x:c>
      <x:c r="V80" s="2"/>
      <x:c r="W80" s="2"/>
      <x:c r="X80" s="2" t="s">
        <x:v>170</x:v>
      </x:c>
      <x:c r="Y80" s="2" t="s">
        <x:v>113</x:v>
      </x:c>
      <x:c r="Z80" s="2" t="s">
        <x:v>114</x:v>
      </x:c>
    </x:row>
    <x:row r="81">
      <x:c r="A81" s="2">
        <x:v>392</x:v>
      </x:c>
      <x:c r="B81" s="2">
        <x:v>1053485</x:v>
      </x:c>
      <x:c r="C81" s="2">
        <x:v>129448</x:v>
      </x:c>
      <x:c r="D81" s="2">
        <x:v>3734</x:v>
      </x:c>
      <x:c r="E81" s="2" t="s">
        <x:v>21</x:v>
      </x:c>
      <x:c r="F81" s="2" t="s">
        <x:v>174</x:v>
      </x:c>
      <x:c r="G81" s="2" t="s">
        <x:v>146</x:v>
      </x:c>
      <x:c r="H81" s="2" t="s">
        <x:v>135</x:v>
      </x:c>
      <x:c r="I81" s="2"/>
      <x:c r="J81" s="2">
        <x:v>4</x:v>
      </x:c>
      <x:c r="K81" s="2" t="s">
        <x:v>117</x:v>
      </x:c>
      <x:c r="L81" s="2" t="s">
        <x:v>110</x:v>
      </x:c>
      <x:c r="M81" s="2"/>
      <x:c r="N81" s="2">
        <x:v>1783</x:v>
      </x:c>
      <x:c r="O81" s="2">
        <x:v>1490</x:v>
      </x:c>
      <x:c r="P81" s="2">
        <x:v>2090</x:v>
      </x:c>
      <x:c r="Q81" s="2" t="s">
        <x:v>111</x:v>
      </x:c>
      <x:c r="R81" s="2">
        <x:v>1783</x:v>
      </x:c>
      <x:c r="S81" s="2" t="s">
        <x:v>111</x:v>
      </x:c>
      <x:c r="T81" s="2">
        <x:v>20</x:v>
      </x:c>
      <x:c r="U81" s="2">
        <x:v>30</x:v>
      </x:c>
      <x:c r="V81" s="2"/>
      <x:c r="W81" s="2"/>
      <x:c r="X81" s="2" t="s">
        <x:v>143</x:v>
      </x:c>
      <x:c r="Y81" s="2" t="s">
        <x:v>113</x:v>
      </x:c>
      <x:c r="Z81" s="2" t="s">
        <x:v>114</x:v>
      </x:c>
    </x:row>
    <x:row r="82" ht="40.5">
      <x:c r="A82" s="2">
        <x:v>402</x:v>
      </x:c>
      <x:c r="B82" s="2">
        <x:v>1282495</x:v>
      </x:c>
      <x:c r="C82" s="2">
        <x:v>736155</x:v>
      </x:c>
      <x:c r="D82" s="2">
        <x:v>59877</x:v>
      </x:c>
      <x:c r="E82" s="2" t="s">
        <x:v>21</x:v>
      </x:c>
      <x:c r="F82" s="2" t="s">
        <x:v>174</x:v>
      </x:c>
      <x:c r="G82" s="2" t="s">
        <x:v>157</x:v>
      </x:c>
      <x:c r="H82" s="2" t="s">
        <x:v>107</x:v>
      </x:c>
      <x:c r="I82" s="2" t="s">
        <x:v>108</x:v>
      </x:c>
      <x:c r="J82" s="2">
        <x:v>4</x:v>
      </x:c>
      <x:c r="K82" s="2" t="s">
        <x:v>175</x:v>
      </x:c>
      <x:c r="L82" s="2" t="s">
        <x:v>110</x:v>
      </x:c>
      <x:c r="M82" s="2"/>
      <x:c r="N82" s="2">
        <x:v>375.8</x:v>
      </x:c>
      <x:c r="O82" s="2">
        <x:v>346.1</x:v>
      </x:c>
      <x:c r="P82" s="2">
        <x:v>408</x:v>
      </x:c>
      <x:c r="Q82" s="2" t="s">
        <x:v>111</x:v>
      </x:c>
      <x:c r="R82" s="2">
        <x:v>375.8</x:v>
      </x:c>
      <x:c r="S82" s="2" t="s">
        <x:v>111</x:v>
      </x:c>
      <x:c r="T82" s="2">
        <x:v>20</x:v>
      </x:c>
      <x:c r="U82" s="2">
        <x:v>31</x:v>
      </x:c>
      <x:c r="V82" s="2">
        <x:v>8</x:v>
      </x:c>
      <x:c r="W82" s="2">
        <x:v>34</x:v>
      </x:c>
      <x:c r="X82" s="2" t="s">
        <x:v>171</x:v>
      </x:c>
      <x:c r="Y82" s="2" t="s">
        <x:v>123</x:v>
      </x:c>
      <x:c r="Z82" s="2" t="s">
        <x:v>176</x:v>
      </x:c>
    </x:row>
    <x:row r="83">
      <x:c r="A83" s="2">
        <x:v>403</x:v>
      </x:c>
      <x:c r="B83" s="2">
        <x:v>1053484</x:v>
      </x:c>
      <x:c r="C83" s="2">
        <x:v>129447</x:v>
      </x:c>
      <x:c r="D83" s="2">
        <x:v>3734</x:v>
      </x:c>
      <x:c r="E83" s="2" t="s">
        <x:v>21</x:v>
      </x:c>
      <x:c r="F83" s="2" t="s">
        <x:v>174</x:v>
      </x:c>
      <x:c r="G83" s="2" t="s">
        <x:v>141</x:v>
      </x:c>
      <x:c r="H83" s="2" t="s">
        <x:v>135</x:v>
      </x:c>
      <x:c r="I83" s="2"/>
      <x:c r="J83" s="2">
        <x:v>4</x:v>
      </x:c>
      <x:c r="K83" s="2" t="s">
        <x:v>117</x:v>
      </x:c>
      <x:c r="L83" s="2" t="s">
        <x:v>110</x:v>
      </x:c>
      <x:c r="M83" s="2"/>
      <x:c r="N83" s="2">
        <x:v>950</x:v>
      </x:c>
      <x:c r="O83" s="2">
        <x:v>712</x:v>
      </x:c>
      <x:c r="P83" s="2">
        <x:v>1338</x:v>
      </x:c>
      <x:c r="Q83" s="2" t="s">
        <x:v>111</x:v>
      </x:c>
      <x:c r="R83" s="2">
        <x:v>950</x:v>
      </x:c>
      <x:c r="S83" s="2" t="s">
        <x:v>111</x:v>
      </x:c>
      <x:c r="T83" s="2">
        <x:v>10</x:v>
      </x:c>
      <x:c r="U83" s="2">
        <x:v>30</x:v>
      </x:c>
      <x:c r="V83" s="2"/>
      <x:c r="W83" s="2"/>
      <x:c r="X83" s="2" t="s">
        <x:v>143</x:v>
      </x:c>
      <x:c r="Y83" s="2" t="s">
        <x:v>113</x:v>
      </x:c>
      <x:c r="Z83" s="2" t="s">
        <x:v>114</x:v>
      </x:c>
    </x:row>
    <x:row r="84">
      <x:c r="A84" s="2">
        <x:v>404</x:v>
      </x:c>
      <x:c r="B84" s="2">
        <x:v>1053486</x:v>
      </x:c>
      <x:c r="C84" s="2">
        <x:v>129449</x:v>
      </x:c>
      <x:c r="D84" s="2">
        <x:v>3734</x:v>
      </x:c>
      <x:c r="E84" s="2" t="s">
        <x:v>21</x:v>
      </x:c>
      <x:c r="F84" s="2" t="s">
        <x:v>174</x:v>
      </x:c>
      <x:c r="G84" s="2" t="s">
        <x:v>150</x:v>
      </x:c>
      <x:c r="H84" s="2" t="s">
        <x:v>135</x:v>
      </x:c>
      <x:c r="I84" s="2"/>
      <x:c r="J84" s="2">
        <x:v>4</x:v>
      </x:c>
      <x:c r="K84" s="2" t="s">
        <x:v>117</x:v>
      </x:c>
      <x:c r="L84" s="2" t="s">
        <x:v>110</x:v>
      </x:c>
      <x:c r="M84" s="2"/>
      <x:c r="N84" s="2">
        <x:v>4090</x:v>
      </x:c>
      <x:c r="O84" s="2">
        <x:v>3170</x:v>
      </x:c>
      <x:c r="P84" s="2">
        <x:v>4960</x:v>
      </x:c>
      <x:c r="Q84" s="2" t="s">
        <x:v>111</x:v>
      </x:c>
      <x:c r="R84" s="2">
        <x:v>4090</x:v>
      </x:c>
      <x:c r="S84" s="2" t="s">
        <x:v>111</x:v>
      </x:c>
      <x:c r="T84" s="2">
        <x:v>20</x:v>
      </x:c>
      <x:c r="U84" s="2">
        <x:v>30</x:v>
      </x:c>
      <x:c r="V84" s="2"/>
      <x:c r="W84" s="2"/>
      <x:c r="X84" s="2" t="s">
        <x:v>143</x:v>
      </x:c>
      <x:c r="Y84" s="2" t="s">
        <x:v>113</x:v>
      </x:c>
      <x:c r="Z84" s="2" t="s">
        <x:v>114</x:v>
      </x:c>
    </x:row>
    <x:row r="85">
      <x:c r="A85" s="2">
        <x:v>405</x:v>
      </x:c>
      <x:c r="B85" s="2">
        <x:v>1053483</x:v>
      </x:c>
      <x:c r="C85" s="2">
        <x:v>129446</x:v>
      </x:c>
      <x:c r="D85" s="2">
        <x:v>3734</x:v>
      </x:c>
      <x:c r="E85" s="2" t="s">
        <x:v>21</x:v>
      </x:c>
      <x:c r="F85" s="2" t="s">
        <x:v>174</x:v>
      </x:c>
      <x:c r="G85" s="2" t="s">
        <x:v>134</x:v>
      </x:c>
      <x:c r="H85" s="2" t="s">
        <x:v>135</x:v>
      </x:c>
      <x:c r="I85" s="2"/>
      <x:c r="J85" s="2">
        <x:v>4</x:v>
      </x:c>
      <x:c r="K85" s="2" t="s">
        <x:v>117</x:v>
      </x:c>
      <x:c r="L85" s="2" t="s">
        <x:v>110</x:v>
      </x:c>
      <x:c r="M85" s="2"/>
      <x:c r="N85" s="2">
        <x:v>290</x:v>
      </x:c>
      <x:c r="O85" s="2">
        <x:v>180</x:v>
      </x:c>
      <x:c r="P85" s="2">
        <x:v>440</x:v>
      </x:c>
      <x:c r="Q85" s="2" t="s">
        <x:v>111</x:v>
      </x:c>
      <x:c r="R85" s="2">
        <x:v>290</x:v>
      </x:c>
      <x:c r="S85" s="2" t="s">
        <x:v>111</x:v>
      </x:c>
      <x:c r="T85" s="2">
        <x:v>20</x:v>
      </x:c>
      <x:c r="U85" s="2">
        <x:v>30</x:v>
      </x:c>
      <x:c r="V85" s="2"/>
      <x:c r="W85" s="2"/>
      <x:c r="X85" s="2" t="s">
        <x:v>143</x:v>
      </x:c>
      <x:c r="Y85" s="2" t="s">
        <x:v>113</x:v>
      </x:c>
      <x:c r="Z85" s="2" t="s">
        <x:v>114</x:v>
      </x:c>
    </x:row>
    <x:row r="86" ht="27">
      <x:c r="A86" s="2">
        <x:v>406</x:v>
      </x:c>
      <x:c r="B86" s="2">
        <x:v>2142307</x:v>
      </x:c>
      <x:c r="C86" s="2">
        <x:v>2267988</x:v>
      </x:c>
      <x:c r="D86" s="2">
        <x:v>166161</x:v>
      </x:c>
      <x:c r="E86" s="2" t="s">
        <x:v>10</x:v>
      </x:c>
      <x:c r="F86" s="2" t="s">
        <x:v>177</x:v>
      </x:c>
      <x:c r="G86" s="2" t="s">
        <x:v>178</x:v>
      </x:c>
      <x:c r="H86" s="2" t="s">
        <x:v>107</x:v>
      </x:c>
      <x:c r="I86" s="2" t="s">
        <x:v>108</x:v>
      </x:c>
      <x:c r="J86" s="2">
        <x:v>4</x:v>
      </x:c>
      <x:c r="K86" s="2" t="s">
        <x:v>109</x:v>
      </x:c>
      <x:c r="L86" s="2" t="s">
        <x:v>120</x:v>
      </x:c>
      <x:c r="M86" s="2"/>
      <x:c r="N86" s="2"/>
      <x:c r="O86" s="2">
        <x:v>2</x:v>
      </x:c>
      <x:c r="P86" s="2">
        <x:v>4</x:v>
      </x:c>
      <x:c r="Q86" s="2" t="s">
        <x:v>179</x:v>
      </x:c>
      <x:c r="R86" s="2"/>
      <x:c r="S86" s="2" t="s">
        <x:v>179</x:v>
      </x:c>
      <x:c r="T86" s="2"/>
      <x:c r="U86" s="2">
        <x:v>30</x:v>
      </x:c>
      <x:c r="V86" s="2"/>
      <x:c r="W86" s="2"/>
      <x:c r="X86" s="2" t="s">
        <x:v>180</x:v>
      </x:c>
      <x:c r="Y86" s="2" t="s">
        <x:v>138</x:v>
      </x:c>
      <x:c r="Z86" s="2" t="s">
        <x:v>181</x:v>
      </x:c>
    </x:row>
    <x:row r="87" ht="40.5">
      <x:c r="A87" s="2">
        <x:v>410</x:v>
      </x:c>
      <x:c r="B87" s="2">
        <x:v>2154475</x:v>
      </x:c>
      <x:c r="C87" s="2">
        <x:v>2295509</x:v>
      </x:c>
      <x:c r="D87" s="2">
        <x:v>166814</x:v>
      </x:c>
      <x:c r="E87" s="2" t="s">
        <x:v>10</x:v>
      </x:c>
      <x:c r="F87" s="2" t="s">
        <x:v>177</x:v>
      </x:c>
      <x:c r="G87" s="2" t="s">
        <x:v>182</x:v>
      </x:c>
      <x:c r="H87" s="2" t="s">
        <x:v>107</x:v>
      </x:c>
      <x:c r="I87" s="2" t="s">
        <x:v>125</x:v>
      </x:c>
      <x:c r="J87" s="2">
        <x:v>4</x:v>
      </x:c>
      <x:c r="K87" s="2" t="s">
        <x:v>117</x:v>
      </x:c>
      <x:c r="L87" s="2" t="s">
        <x:v>110</x:v>
      </x:c>
      <x:c r="M87" s="2"/>
      <x:c r="N87" s="2">
        <x:v>50</x:v>
      </x:c>
      <x:c r="O87" s="2"/>
      <x:c r="P87" s="2"/>
      <x:c r="Q87" s="2" t="s">
        <x:v>111</x:v>
      </x:c>
      <x:c r="R87" s="2">
        <x:v>50</x:v>
      </x:c>
      <x:c r="S87" s="2" t="s">
        <x:v>111</x:v>
      </x:c>
      <x:c r="T87" s="2">
        <x:v>20</x:v>
      </x:c>
      <x:c r="U87" s="2">
        <x:v>38</x:v>
      </x:c>
      <x:c r="V87" s="2"/>
      <x:c r="W87" s="2"/>
      <x:c r="X87" s="2" t="s">
        <x:v>183</x:v>
      </x:c>
      <x:c r="Y87" s="2" t="s">
        <x:v>113</x:v>
      </x:c>
      <x:c r="Z87" s="2" t="s">
        <x:v>114</x:v>
      </x:c>
    </x:row>
    <x:row r="88" ht="27">
      <x:c r="A88" s="2">
        <x:v>424</x:v>
      </x:c>
      <x:c r="B88" s="2">
        <x:v>2142306</x:v>
      </x:c>
      <x:c r="C88" s="2">
        <x:v>2267986</x:v>
      </x:c>
      <x:c r="D88" s="2">
        <x:v>166161</x:v>
      </x:c>
      <x:c r="E88" s="2" t="s">
        <x:v>10</x:v>
      </x:c>
      <x:c r="F88" s="2" t="s">
        <x:v>177</x:v>
      </x:c>
      <x:c r="G88" s="2" t="s">
        <x:v>178</x:v>
      </x:c>
      <x:c r="H88" s="2" t="s">
        <x:v>107</x:v>
      </x:c>
      <x:c r="I88" s="2" t="s">
        <x:v>108</x:v>
      </x:c>
      <x:c r="J88" s="2">
        <x:v>4</x:v>
      </x:c>
      <x:c r="K88" s="2" t="s">
        <x:v>109</x:v>
      </x:c>
      <x:c r="L88" s="2" t="s">
        <x:v>120</x:v>
      </x:c>
      <x:c r="M88" s="2"/>
      <x:c r="N88" s="2"/>
      <x:c r="O88" s="2">
        <x:v>2</x:v>
      </x:c>
      <x:c r="P88" s="2">
        <x:v>4</x:v>
      </x:c>
      <x:c r="Q88" s="2" t="s">
        <x:v>179</x:v>
      </x:c>
      <x:c r="R88" s="2"/>
      <x:c r="S88" s="2" t="s">
        <x:v>179</x:v>
      </x:c>
      <x:c r="T88" s="2"/>
      <x:c r="U88" s="2">
        <x:v>30</x:v>
      </x:c>
      <x:c r="V88" s="2"/>
      <x:c r="W88" s="2"/>
      <x:c r="X88" s="2" t="s">
        <x:v>180</x:v>
      </x:c>
      <x:c r="Y88" s="2" t="s">
        <x:v>138</x:v>
      </x:c>
      <x:c r="Z88" s="2" t="s">
        <x:v>181</x:v>
      </x:c>
    </x:row>
    <x:row r="89" ht="27">
      <x:c r="A89" s="2">
        <x:v>438</x:v>
      </x:c>
      <x:c r="B89" s="2">
        <x:v>2142304</x:v>
      </x:c>
      <x:c r="C89" s="2">
        <x:v>2267982</x:v>
      </x:c>
      <x:c r="D89" s="2">
        <x:v>166161</x:v>
      </x:c>
      <x:c r="E89" s="2" t="s">
        <x:v>10</x:v>
      </x:c>
      <x:c r="F89" s="2" t="s">
        <x:v>177</x:v>
      </x:c>
      <x:c r="G89" s="2" t="s">
        <x:v>178</x:v>
      </x:c>
      <x:c r="H89" s="2" t="s">
        <x:v>107</x:v>
      </x:c>
      <x:c r="I89" s="2" t="s">
        <x:v>108</x:v>
      </x:c>
      <x:c r="J89" s="2">
        <x:v>4</x:v>
      </x:c>
      <x:c r="K89" s="2" t="s">
        <x:v>109</x:v>
      </x:c>
      <x:c r="L89" s="2" t="s">
        <x:v>120</x:v>
      </x:c>
      <x:c r="M89" s="2"/>
      <x:c r="N89" s="2"/>
      <x:c r="O89" s="2">
        <x:v>10</x:v>
      </x:c>
      <x:c r="P89" s="2">
        <x:v>12</x:v>
      </x:c>
      <x:c r="Q89" s="2" t="s">
        <x:v>179</x:v>
      </x:c>
      <x:c r="R89" s="2"/>
      <x:c r="S89" s="2" t="s">
        <x:v>179</x:v>
      </x:c>
      <x:c r="T89" s="2"/>
      <x:c r="U89" s="2">
        <x:v>30</x:v>
      </x:c>
      <x:c r="V89" s="2"/>
      <x:c r="W89" s="2"/>
      <x:c r="X89" s="2" t="s">
        <x:v>180</x:v>
      </x:c>
      <x:c r="Y89" s="2" t="s">
        <x:v>138</x:v>
      </x:c>
      <x:c r="Z89" s="2" t="s">
        <x:v>181</x:v>
      </x:c>
    </x:row>
    <x:row r="90" ht="27">
      <x:c r="A90" s="2">
        <x:v>470</x:v>
      </x:c>
      <x:c r="B90" s="2">
        <x:v>2142115</x:v>
      </x:c>
      <x:c r="C90" s="2">
        <x:v>2267557</x:v>
      </x:c>
      <x:c r="D90" s="2">
        <x:v>166161</x:v>
      </x:c>
      <x:c r="E90" s="2" t="s">
        <x:v>10</x:v>
      </x:c>
      <x:c r="F90" s="2" t="s">
        <x:v>177</x:v>
      </x:c>
      <x:c r="G90" s="2" t="s">
        <x:v>178</x:v>
      </x:c>
      <x:c r="H90" s="2" t="s">
        <x:v>107</x:v>
      </x:c>
      <x:c r="I90" s="2" t="s">
        <x:v>108</x:v>
      </x:c>
      <x:c r="J90" s="2">
        <x:v>4</x:v>
      </x:c>
      <x:c r="K90" s="2" t="s">
        <x:v>109</x:v>
      </x:c>
      <x:c r="L90" s="2" t="s">
        <x:v>120</x:v>
      </x:c>
      <x:c r="M90" s="2"/>
      <x:c r="N90" s="2">
        <x:v>857.19</x:v>
      </x:c>
      <x:c r="O90" s="2">
        <x:v>710.3</x:v>
      </x:c>
      <x:c r="P90" s="2">
        <x:v>1204.5999999999999</x:v>
      </x:c>
      <x:c r="Q90" s="2" t="s">
        <x:v>111</x:v>
      </x:c>
      <x:c r="R90" s="2">
        <x:v>857.19</x:v>
      </x:c>
      <x:c r="S90" s="2" t="s">
        <x:v>111</x:v>
      </x:c>
      <x:c r="T90" s="2"/>
      <x:c r="U90" s="2">
        <x:v>30</x:v>
      </x:c>
      <x:c r="V90" s="2"/>
      <x:c r="W90" s="2"/>
      <x:c r="X90" s="2" t="s">
        <x:v>180</x:v>
      </x:c>
      <x:c r="Y90" s="2" t="s">
        <x:v>138</x:v>
      </x:c>
      <x:c r="Z90" s="2" t="s">
        <x:v>181</x:v>
      </x:c>
    </x:row>
    <x:row r="91" ht="27">
      <x:c r="A91" s="2">
        <x:v>493</x:v>
      </x:c>
      <x:c r="B91" s="2">
        <x:v>2142113</x:v>
      </x:c>
      <x:c r="C91" s="2">
        <x:v>2267555</x:v>
      </x:c>
      <x:c r="D91" s="2">
        <x:v>166161</x:v>
      </x:c>
      <x:c r="E91" s="2" t="s">
        <x:v>10</x:v>
      </x:c>
      <x:c r="F91" s="2" t="s">
        <x:v>177</x:v>
      </x:c>
      <x:c r="G91" s="2" t="s">
        <x:v>178</x:v>
      </x:c>
      <x:c r="H91" s="2" t="s">
        <x:v>107</x:v>
      </x:c>
      <x:c r="I91" s="2" t="s">
        <x:v>108</x:v>
      </x:c>
      <x:c r="J91" s="2">
        <x:v>4</x:v>
      </x:c>
      <x:c r="K91" s="2" t="s">
        <x:v>109</x:v>
      </x:c>
      <x:c r="L91" s="2" t="s">
        <x:v>120</x:v>
      </x:c>
      <x:c r="M91" s="2"/>
      <x:c r="N91" s="2">
        <x:v>538.66999999999996</x:v>
      </x:c>
      <x:c r="O91" s="2">
        <x:v>455</x:v>
      </x:c>
      <x:c r="P91" s="2">
        <x:v>657.8</x:v>
      </x:c>
      <x:c r="Q91" s="2" t="s">
        <x:v>111</x:v>
      </x:c>
      <x:c r="R91" s="2">
        <x:v>538.66999999999996</x:v>
      </x:c>
      <x:c r="S91" s="2" t="s">
        <x:v>111</x:v>
      </x:c>
      <x:c r="T91" s="2"/>
      <x:c r="U91" s="2">
        <x:v>30</x:v>
      </x:c>
      <x:c r="V91" s="2"/>
      <x:c r="W91" s="2"/>
      <x:c r="X91" s="2" t="s">
        <x:v>180</x:v>
      </x:c>
      <x:c r="Y91" s="2" t="s">
        <x:v>138</x:v>
      </x:c>
      <x:c r="Z91" s="2" t="s">
        <x:v>181</x:v>
      </x:c>
    </x:row>
    <x:row r="92" ht="27">
      <x:c r="A92" s="2">
        <x:v>495</x:v>
      </x:c>
      <x:c r="B92" s="2">
        <x:v>2142305</x:v>
      </x:c>
      <x:c r="C92" s="2">
        <x:v>2267984</x:v>
      </x:c>
      <x:c r="D92" s="2">
        <x:v>166161</x:v>
      </x:c>
      <x:c r="E92" s="2" t="s">
        <x:v>10</x:v>
      </x:c>
      <x:c r="F92" s="2" t="s">
        <x:v>177</x:v>
      </x:c>
      <x:c r="G92" s="2" t="s">
        <x:v>178</x:v>
      </x:c>
      <x:c r="H92" s="2" t="s">
        <x:v>107</x:v>
      </x:c>
      <x:c r="I92" s="2" t="s">
        <x:v>108</x:v>
      </x:c>
      <x:c r="J92" s="2">
        <x:v>4</x:v>
      </x:c>
      <x:c r="K92" s="2" t="s">
        <x:v>109</x:v>
      </x:c>
      <x:c r="L92" s="2" t="s">
        <x:v>120</x:v>
      </x:c>
      <x:c r="M92" s="2"/>
      <x:c r="N92" s="2"/>
      <x:c r="O92" s="2">
        <x:v>12</x:v>
      </x:c>
      <x:c r="P92" s="2">
        <x:v>14</x:v>
      </x:c>
      <x:c r="Q92" s="2" t="s">
        <x:v>179</x:v>
      </x:c>
      <x:c r="R92" s="2"/>
      <x:c r="S92" s="2" t="s">
        <x:v>179</x:v>
      </x:c>
      <x:c r="T92" s="2"/>
      <x:c r="U92" s="2">
        <x:v>30</x:v>
      </x:c>
      <x:c r="V92" s="2"/>
      <x:c r="W92" s="2"/>
      <x:c r="X92" s="2" t="s">
        <x:v>180</x:v>
      </x:c>
      <x:c r="Y92" s="2" t="s">
        <x:v>138</x:v>
      </x:c>
      <x:c r="Z92" s="2" t="s">
        <x:v>181</x:v>
      </x:c>
    </x:row>
    <x:row r="93" ht="27">
      <x:c r="A93" s="2">
        <x:v>497</x:v>
      </x:c>
      <x:c r="B93" s="2">
        <x:v>2142308</x:v>
      </x:c>
      <x:c r="C93" s="2">
        <x:v>2267990</x:v>
      </x:c>
      <x:c r="D93" s="2">
        <x:v>166161</x:v>
      </x:c>
      <x:c r="E93" s="2" t="s">
        <x:v>10</x:v>
      </x:c>
      <x:c r="F93" s="2" t="s">
        <x:v>177</x:v>
      </x:c>
      <x:c r="G93" s="2" t="s">
        <x:v>178</x:v>
      </x:c>
      <x:c r="H93" s="2" t="s">
        <x:v>107</x:v>
      </x:c>
      <x:c r="I93" s="2" t="s">
        <x:v>108</x:v>
      </x:c>
      <x:c r="J93" s="2">
        <x:v>4</x:v>
      </x:c>
      <x:c r="K93" s="2" t="s">
        <x:v>109</x:v>
      </x:c>
      <x:c r="L93" s="2" t="s">
        <x:v>120</x:v>
      </x:c>
      <x:c r="M93" s="2" t="s">
        <x:v>184</x:v>
      </x:c>
      <x:c r="N93" s="2">
        <x:v>4</x:v>
      </x:c>
      <x:c r="O93" s="2"/>
      <x:c r="P93" s="2"/>
      <x:c r="Q93" s="2" t="s">
        <x:v>179</x:v>
      </x:c>
      <x:c r="R93" s="2">
        <x:v>4</x:v>
      </x:c>
      <x:c r="S93" s="2" t="s">
        <x:v>179</x:v>
      </x:c>
      <x:c r="T93" s="2"/>
      <x:c r="U93" s="2">
        <x:v>30</x:v>
      </x:c>
      <x:c r="V93" s="2"/>
      <x:c r="W93" s="2"/>
      <x:c r="X93" s="2" t="s">
        <x:v>180</x:v>
      </x:c>
      <x:c r="Y93" s="2" t="s">
        <x:v>138</x:v>
      </x:c>
      <x:c r="Z93" s="2" t="s">
        <x:v>181</x:v>
      </x:c>
    </x:row>
    <x:row r="94" ht="27">
      <x:c r="A94" s="2">
        <x:v>501</x:v>
      </x:c>
      <x:c r="B94" s="2">
        <x:v>2148070</x:v>
      </x:c>
      <x:c r="C94" s="2">
        <x:v>2282197</x:v>
      </x:c>
      <x:c r="D94" s="2">
        <x:v>169914</x:v>
      </x:c>
      <x:c r="E94" s="2" t="s">
        <x:v>10</x:v>
      </x:c>
      <x:c r="F94" s="2" t="s">
        <x:v>177</x:v>
      </x:c>
      <x:c r="G94" s="2" t="s">
        <x:v>182</x:v>
      </x:c>
      <x:c r="H94" s="2" t="s">
        <x:v>107</x:v>
      </x:c>
      <x:c r="I94" s="2" t="s">
        <x:v>125</x:v>
      </x:c>
      <x:c r="J94" s="2">
        <x:v>4</x:v>
      </x:c>
      <x:c r="K94" s="2" t="s">
        <x:v>109</x:v>
      </x:c>
      <x:c r="L94" s="2" t="s">
        <x:v>110</x:v>
      </x:c>
      <x:c r="M94" s="2"/>
      <x:c r="N94" s="2">
        <x:v>0.14000000000000001</x:v>
      </x:c>
      <x:c r="O94" s="2"/>
      <x:c r="P94" s="2"/>
      <x:c r="Q94" s="2" t="s">
        <x:v>121</x:v>
      </x:c>
      <x:c r="R94" s="2">
        <x:v>0.14000000000000001</x:v>
      </x:c>
      <x:c r="S94" s="2" t="s">
        <x:v>121</x:v>
      </x:c>
      <x:c r="T94" s="2"/>
      <x:c r="U94" s="2"/>
      <x:c r="V94" s="2"/>
      <x:c r="W94" s="2"/>
      <x:c r="X94" s="2" t="s">
        <x:v>185</x:v>
      </x:c>
      <x:c r="Y94" s="2" t="s">
        <x:v>113</x:v>
      </x:c>
      <x:c r="Z94" s="2" t="s">
        <x:v>114</x:v>
      </x:c>
    </x:row>
    <x:row r="95" ht="27">
      <x:c r="A95" s="2">
        <x:v>509</x:v>
      </x:c>
      <x:c r="B95" s="2">
        <x:v>2142303</x:v>
      </x:c>
      <x:c r="C95" s="2">
        <x:v>2267980</x:v>
      </x:c>
      <x:c r="D95" s="2">
        <x:v>166161</x:v>
      </x:c>
      <x:c r="E95" s="2" t="s">
        <x:v>10</x:v>
      </x:c>
      <x:c r="F95" s="2" t="s">
        <x:v>177</x:v>
      </x:c>
      <x:c r="G95" s="2" t="s">
        <x:v>178</x:v>
      </x:c>
      <x:c r="H95" s="2" t="s">
        <x:v>107</x:v>
      </x:c>
      <x:c r="I95" s="2" t="s">
        <x:v>108</x:v>
      </x:c>
      <x:c r="J95" s="2">
        <x:v>4</x:v>
      </x:c>
      <x:c r="K95" s="2" t="s">
        <x:v>109</x:v>
      </x:c>
      <x:c r="L95" s="2" t="s">
        <x:v>120</x:v>
      </x:c>
      <x:c r="M95" s="2"/>
      <x:c r="N95" s="2"/>
      <x:c r="O95" s="2">
        <x:v>8</x:v>
      </x:c>
      <x:c r="P95" s="2">
        <x:v>10</x:v>
      </x:c>
      <x:c r="Q95" s="2" t="s">
        <x:v>179</x:v>
      </x:c>
      <x:c r="R95" s="2"/>
      <x:c r="S95" s="2" t="s">
        <x:v>179</x:v>
      </x:c>
      <x:c r="T95" s="2"/>
      <x:c r="U95" s="2">
        <x:v>30</x:v>
      </x:c>
      <x:c r="V95" s="2"/>
      <x:c r="W95" s="2"/>
      <x:c r="X95" s="2" t="s">
        <x:v>180</x:v>
      </x:c>
      <x:c r="Y95" s="2" t="s">
        <x:v>138</x:v>
      </x:c>
      <x:c r="Z95" s="2" t="s">
        <x:v>181</x:v>
      </x:c>
    </x:row>
    <x:row r="96" ht="27">
      <x:c r="A96" s="2">
        <x:v>526</x:v>
      </x:c>
      <x:c r="B96" s="2">
        <x:v>2142309</x:v>
      </x:c>
      <x:c r="C96" s="2">
        <x:v>2267992</x:v>
      </x:c>
      <x:c r="D96" s="2">
        <x:v>166161</x:v>
      </x:c>
      <x:c r="E96" s="2" t="s">
        <x:v>10</x:v>
      </x:c>
      <x:c r="F96" s="2" t="s">
        <x:v>177</x:v>
      </x:c>
      <x:c r="G96" s="2" t="s">
        <x:v>178</x:v>
      </x:c>
      <x:c r="H96" s="2" t="s">
        <x:v>107</x:v>
      </x:c>
      <x:c r="I96" s="2" t="s">
        <x:v>108</x:v>
      </x:c>
      <x:c r="J96" s="2">
        <x:v>4</x:v>
      </x:c>
      <x:c r="K96" s="2" t="s">
        <x:v>109</x:v>
      </x:c>
      <x:c r="L96" s="2" t="s">
        <x:v>120</x:v>
      </x:c>
      <x:c r="M96" s="2" t="s">
        <x:v>184</x:v>
      </x:c>
      <x:c r="N96" s="2">
        <x:v>4</x:v>
      </x:c>
      <x:c r="O96" s="2"/>
      <x:c r="P96" s="2"/>
      <x:c r="Q96" s="2" t="s">
        <x:v>179</x:v>
      </x:c>
      <x:c r="R96" s="2">
        <x:v>4</x:v>
      </x:c>
      <x:c r="S96" s="2" t="s">
        <x:v>179</x:v>
      </x:c>
      <x:c r="T96" s="2"/>
      <x:c r="U96" s="2">
        <x:v>30</x:v>
      </x:c>
      <x:c r="V96" s="2"/>
      <x:c r="W96" s="2"/>
      <x:c r="X96" s="2" t="s">
        <x:v>180</x:v>
      </x:c>
      <x:c r="Y96" s="2" t="s">
        <x:v>138</x:v>
      </x:c>
      <x:c r="Z96" s="2" t="s">
        <x:v>181</x:v>
      </x:c>
    </x:row>
    <x:row r="97" ht="27">
      <x:c r="A97" s="2">
        <x:v>528</x:v>
      </x:c>
      <x:c r="B97" s="2">
        <x:v>2142302</x:v>
      </x:c>
      <x:c r="C97" s="2">
        <x:v>2267978</x:v>
      </x:c>
      <x:c r="D97" s="2">
        <x:v>166161</x:v>
      </x:c>
      <x:c r="E97" s="2" t="s">
        <x:v>10</x:v>
      </x:c>
      <x:c r="F97" s="2" t="s">
        <x:v>177</x:v>
      </x:c>
      <x:c r="G97" s="2" t="s">
        <x:v>178</x:v>
      </x:c>
      <x:c r="H97" s="2" t="s">
        <x:v>107</x:v>
      </x:c>
      <x:c r="I97" s="2" t="s">
        <x:v>108</x:v>
      </x:c>
      <x:c r="J97" s="2">
        <x:v>4</x:v>
      </x:c>
      <x:c r="K97" s="2" t="s">
        <x:v>109</x:v>
      </x:c>
      <x:c r="L97" s="2" t="s">
        <x:v>120</x:v>
      </x:c>
      <x:c r="M97" s="2"/>
      <x:c r="N97" s="2"/>
      <x:c r="O97" s="2">
        <x:v>4</x:v>
      </x:c>
      <x:c r="P97" s="2">
        <x:v>6</x:v>
      </x:c>
      <x:c r="Q97" s="2" t="s">
        <x:v>179</x:v>
      </x:c>
      <x:c r="R97" s="2"/>
      <x:c r="S97" s="2" t="s">
        <x:v>179</x:v>
      </x:c>
      <x:c r="T97" s="2"/>
      <x:c r="U97" s="2">
        <x:v>30</x:v>
      </x:c>
      <x:c r="V97" s="2"/>
      <x:c r="W97" s="2"/>
      <x:c r="X97" s="2" t="s">
        <x:v>180</x:v>
      </x:c>
      <x:c r="Y97" s="2" t="s">
        <x:v>138</x:v>
      </x:c>
      <x:c r="Z97" s="2" t="s">
        <x:v>181</x:v>
      </x:c>
    </x:row>
    <x:row r="98" ht="27">
      <x:c r="A98" s="2">
        <x:v>531</x:v>
      </x:c>
      <x:c r="B98" s="2">
        <x:v>2142112</x:v>
      </x:c>
      <x:c r="C98" s="2">
        <x:v>2267554</x:v>
      </x:c>
      <x:c r="D98" s="2">
        <x:v>166161</x:v>
      </x:c>
      <x:c r="E98" s="2" t="s">
        <x:v>10</x:v>
      </x:c>
      <x:c r="F98" s="2" t="s">
        <x:v>177</x:v>
      </x:c>
      <x:c r="G98" s="2" t="s">
        <x:v>178</x:v>
      </x:c>
      <x:c r="H98" s="2" t="s">
        <x:v>107</x:v>
      </x:c>
      <x:c r="I98" s="2" t="s">
        <x:v>108</x:v>
      </x:c>
      <x:c r="J98" s="2">
        <x:v>4</x:v>
      </x:c>
      <x:c r="K98" s="2" t="s">
        <x:v>109</x:v>
      </x:c>
      <x:c r="L98" s="2" t="s">
        <x:v>120</x:v>
      </x:c>
      <x:c r="M98" s="2"/>
      <x:c r="N98" s="2">
        <x:v>334.24</x:v>
      </x:c>
      <x:c r="O98" s="2">
        <x:v>280.60000000000002</x:v>
      </x:c>
      <x:c r="P98" s="2">
        <x:v>396.1</x:v>
      </x:c>
      <x:c r="Q98" s="2" t="s">
        <x:v>111</x:v>
      </x:c>
      <x:c r="R98" s="2">
        <x:v>334.24</x:v>
      </x:c>
      <x:c r="S98" s="2" t="s">
        <x:v>111</x:v>
      </x:c>
      <x:c r="T98" s="2"/>
      <x:c r="U98" s="2">
        <x:v>30</x:v>
      </x:c>
      <x:c r="V98" s="2"/>
      <x:c r="W98" s="2"/>
      <x:c r="X98" s="2" t="s">
        <x:v>180</x:v>
      </x:c>
      <x:c r="Y98" s="2" t="s">
        <x:v>113</x:v>
      </x:c>
      <x:c r="Z98" s="2" t="s">
        <x:v>114</x:v>
      </x:c>
    </x:row>
    <x:row r="99" ht="27">
      <x:c r="A99" s="2">
        <x:v>536</x:v>
      </x:c>
      <x:c r="B99" s="2">
        <x:v>2142114</x:v>
      </x:c>
      <x:c r="C99" s="2">
        <x:v>2267556</x:v>
      </x:c>
      <x:c r="D99" s="2">
        <x:v>166161</x:v>
      </x:c>
      <x:c r="E99" s="2" t="s">
        <x:v>10</x:v>
      </x:c>
      <x:c r="F99" s="2" t="s">
        <x:v>177</x:v>
      </x:c>
      <x:c r="G99" s="2" t="s">
        <x:v>178</x:v>
      </x:c>
      <x:c r="H99" s="2" t="s">
        <x:v>107</x:v>
      </x:c>
      <x:c r="I99" s="2" t="s">
        <x:v>108</x:v>
      </x:c>
      <x:c r="J99" s="2">
        <x:v>4</x:v>
      </x:c>
      <x:c r="K99" s="2" t="s">
        <x:v>109</x:v>
      </x:c>
      <x:c r="L99" s="2" t="s">
        <x:v>120</x:v>
      </x:c>
      <x:c r="M99" s="2"/>
      <x:c r="N99" s="2">
        <x:v>741.83</x:v>
      </x:c>
      <x:c r="O99" s="2">
        <x:v>612.70000000000005</x:v>
      </x:c>
      <x:c r="P99" s="2">
        <x:v>995.3</x:v>
      </x:c>
      <x:c r="Q99" s="2" t="s">
        <x:v>111</x:v>
      </x:c>
      <x:c r="R99" s="2">
        <x:v>741.83</x:v>
      </x:c>
      <x:c r="S99" s="2" t="s">
        <x:v>111</x:v>
      </x:c>
      <x:c r="T99" s="2"/>
      <x:c r="U99" s="2">
        <x:v>30</x:v>
      </x:c>
      <x:c r="V99" s="2"/>
      <x:c r="W99" s="2"/>
      <x:c r="X99" s="2" t="s">
        <x:v>180</x:v>
      </x:c>
      <x:c r="Y99" s="2" t="s">
        <x:v>138</x:v>
      </x:c>
      <x:c r="Z99" s="2" t="s">
        <x:v>181</x:v>
      </x:c>
    </x:row>
    <x:row r="100" ht="27">
      <x:c r="A100" s="2">
        <x:v>537</x:v>
      </x:c>
      <x:c r="B100" s="2">
        <x:v>1312983</x:v>
      </x:c>
      <x:c r="C100" s="2">
        <x:v>770479</x:v>
      </x:c>
      <x:c r="D100" s="2">
        <x:v>107036</x:v>
      </x:c>
      <x:c r="E100" s="2" t="s">
        <x:v>10</x:v>
      </x:c>
      <x:c r="F100" s="2" t="s">
        <x:v>177</x:v>
      </x:c>
      <x:c r="G100" s="2" t="s">
        <x:v>150</x:v>
      </x:c>
      <x:c r="H100" s="2" t="s">
        <x:v>135</x:v>
      </x:c>
      <x:c r="I100" s="2" t="s">
        <x:v>125</x:v>
      </x:c>
      <x:c r="J100" s="2">
        <x:v>4</x:v>
      </x:c>
      <x:c r="K100" s="2" t="s">
        <x:v>117</x:v>
      </x:c>
      <x:c r="L100" s="2" t="s">
        <x:v>120</x:v>
      </x:c>
      <x:c r="M100" s="2"/>
      <x:c r="N100" s="2">
        <x:v>108</x:v>
      </x:c>
      <x:c r="O100" s="2">
        <x:v>99.1</x:v>
      </x:c>
      <x:c r="P100" s="2">
        <x:v>118</x:v>
      </x:c>
      <x:c r="Q100" s="2" t="s">
        <x:v>111</x:v>
      </x:c>
      <x:c r="R100" s="2">
        <x:v>108</x:v>
      </x:c>
      <x:c r="S100" s="2" t="s">
        <x:v>111</x:v>
      </x:c>
      <x:c r="T100" s="2"/>
      <x:c r="U100" s="2">
        <x:v>10</x:v>
      </x:c>
      <x:c r="V100" s="2"/>
      <x:c r="W100" s="2"/>
      <x:c r="X100" s="2" t="s">
        <x:v>186</x:v>
      </x:c>
      <x:c r="Y100" s="2" t="s">
        <x:v>138</x:v>
      </x:c>
      <x:c r="Z100" s="2" t="s">
        <x:v>187</x:v>
      </x:c>
    </x:row>
    <x:row r="101" ht="40.5">
      <x:c r="A101" s="2">
        <x:v>538</x:v>
      </x:c>
      <x:c r="B101" s="2">
        <x:v>2140678</x:v>
      </x:c>
      <x:c r="C101" s="2">
        <x:v>2263526</x:v>
      </x:c>
      <x:c r="D101" s="2">
        <x:v>166133</x:v>
      </x:c>
      <x:c r="E101" s="2" t="s">
        <x:v>10</x:v>
      </x:c>
      <x:c r="F101" s="2" t="s">
        <x:v>177</x:v>
      </x:c>
      <x:c r="G101" s="2" t="s">
        <x:v>134</x:v>
      </x:c>
      <x:c r="H101" s="2" t="s">
        <x:v>135</x:v>
      </x:c>
      <x:c r="I101" s="2" t="s">
        <x:v>159</x:v>
      </x:c>
      <x:c r="J101" s="2">
        <x:v>2</x:v>
      </x:c>
      <x:c r="K101" s="2" t="s">
        <x:v>126</x:v>
      </x:c>
      <x:c r="L101" s="2" t="s">
        <x:v>120</x:v>
      </x:c>
      <x:c r="M101" s="2"/>
      <x:c r="N101" s="2"/>
      <x:c r="O101" s="2">
        <x:v>108.7</x:v>
      </x:c>
      <x:c r="P101" s="2">
        <x:v>200</x:v>
      </x:c>
      <x:c r="Q101" s="2" t="s">
        <x:v>111</x:v>
      </x:c>
      <x:c r="R101" s="2"/>
      <x:c r="S101" s="2" t="s">
        <x:v>111</x:v>
      </x:c>
      <x:c r="T101" s="2">
        <x:v>20</x:v>
      </x:c>
      <x:c r="U101" s="2">
        <x:v>30</x:v>
      </x:c>
      <x:c r="V101" s="2">
        <x:v>7.49</x:v>
      </x:c>
      <x:c r="W101" s="2">
        <x:v>4.3</x:v>
      </x:c>
      <x:c r="X101" s="2" t="s">
        <x:v>188</x:v>
      </x:c>
      <x:c r="Y101" s="2" t="s">
        <x:v>138</x:v>
      </x:c>
      <x:c r="Z101" s="2" t="s">
        <x:v>189</x:v>
      </x:c>
    </x:row>
    <x:row r="102" ht="40.5">
      <x:c r="A102" s="2">
        <x:v>540</x:v>
      </x:c>
      <x:c r="B102" s="2">
        <x:v>2140681</x:v>
      </x:c>
      <x:c r="C102" s="2">
        <x:v>2263528</x:v>
      </x:c>
      <x:c r="D102" s="2">
        <x:v>166133</x:v>
      </x:c>
      <x:c r="E102" s="2" t="s">
        <x:v>10</x:v>
      </x:c>
      <x:c r="F102" s="2" t="s">
        <x:v>177</x:v>
      </x:c>
      <x:c r="G102" s="2" t="s">
        <x:v>134</x:v>
      </x:c>
      <x:c r="H102" s="2" t="s">
        <x:v>135</x:v>
      </x:c>
      <x:c r="I102" s="2" t="s">
        <x:v>159</x:v>
      </x:c>
      <x:c r="J102" s="2">
        <x:v>2</x:v>
      </x:c>
      <x:c r="K102" s="2" t="s">
        <x:v>126</x:v>
      </x:c>
      <x:c r="L102" s="2" t="s">
        <x:v>120</x:v>
      </x:c>
      <x:c r="M102" s="2"/>
      <x:c r="N102" s="2"/>
      <x:c r="O102" s="2">
        <x:v>107.8</x:v>
      </x:c>
      <x:c r="P102" s="2">
        <x:v>200</x:v>
      </x:c>
      <x:c r="Q102" s="2" t="s">
        <x:v>111</x:v>
      </x:c>
      <x:c r="R102" s="2"/>
      <x:c r="S102" s="2" t="s">
        <x:v>111</x:v>
      </x:c>
      <x:c r="T102" s="2">
        <x:v>20</x:v>
      </x:c>
      <x:c r="U102" s="2">
        <x:v>5</x:v>
      </x:c>
      <x:c r="V102" s="2">
        <x:v>6.88</x:v>
      </x:c>
      <x:c r="W102" s="2">
        <x:v>5.4</x:v>
      </x:c>
      <x:c r="X102" s="2" t="s">
        <x:v>188</x:v>
      </x:c>
      <x:c r="Y102" s="2" t="s">
        <x:v>138</x:v>
      </x:c>
      <x:c r="Z102" s="2" t="s">
        <x:v>189</x:v>
      </x:c>
    </x:row>
    <x:row r="103" ht="40.5">
      <x:c r="A103" s="2">
        <x:v>541</x:v>
      </x:c>
      <x:c r="B103" s="2">
        <x:v>1202376</x:v>
      </x:c>
      <x:c r="C103" s="2">
        <x:v>128159</x:v>
      </x:c>
      <x:c r="D103" s="2">
        <x:v>18395</x:v>
      </x:c>
      <x:c r="E103" s="2" t="s">
        <x:v>10</x:v>
      </x:c>
      <x:c r="F103" s="2" t="s">
        <x:v>177</x:v>
      </x:c>
      <x:c r="G103" s="2" t="s">
        <x:v>150</x:v>
      </x:c>
      <x:c r="H103" s="2" t="s">
        <x:v>135</x:v>
      </x:c>
      <x:c r="I103" s="2" t="s">
        <x:v>125</x:v>
      </x:c>
      <x:c r="J103" s="2">
        <x:v>4</x:v>
      </x:c>
      <x:c r="K103" s="2" t="s">
        <x:v>126</x:v>
      </x:c>
      <x:c r="L103" s="2" t="s">
        <x:v>120</x:v>
      </x:c>
      <x:c r="M103" s="2"/>
      <x:c r="N103" s="2">
        <x:v>69.400000000000006</x:v>
      </x:c>
      <x:c r="O103" s="2">
        <x:v>60.7</x:v>
      </x:c>
      <x:c r="P103" s="2">
        <x:v>79.45</x:v>
      </x:c>
      <x:c r="Q103" s="2" t="s">
        <x:v>111</x:v>
      </x:c>
      <x:c r="R103" s="2">
        <x:v>69.400000000000006</x:v>
      </x:c>
      <x:c r="S103" s="2" t="s">
        <x:v>111</x:v>
      </x:c>
      <x:c r="T103" s="2"/>
      <x:c r="U103" s="2"/>
      <x:c r="V103" s="2"/>
      <x:c r="W103" s="2"/>
      <x:c r="X103" s="2" t="s">
        <x:v>190</x:v>
      </x:c>
      <x:c r="Y103" s="2" t="s">
        <x:v>113</x:v>
      </x:c>
      <x:c r="Z103" s="2" t="s">
        <x:v>114</x:v>
      </x:c>
    </x:row>
    <x:row r="104" ht="40.5">
      <x:c r="A104" s="2">
        <x:v>542</x:v>
      </x:c>
      <x:c r="B104" s="2">
        <x:v>2140684</x:v>
      </x:c>
      <x:c r="C104" s="2">
        <x:v>2263531</x:v>
      </x:c>
      <x:c r="D104" s="2">
        <x:v>166133</x:v>
      </x:c>
      <x:c r="E104" s="2" t="s">
        <x:v>10</x:v>
      </x:c>
      <x:c r="F104" s="2" t="s">
        <x:v>177</x:v>
      </x:c>
      <x:c r="G104" s="2" t="s">
        <x:v>134</x:v>
      </x:c>
      <x:c r="H104" s="2" t="s">
        <x:v>135</x:v>
      </x:c>
      <x:c r="I104" s="2" t="s">
        <x:v>159</x:v>
      </x:c>
      <x:c r="J104" s="2">
        <x:v>2</x:v>
      </x:c>
      <x:c r="K104" s="2" t="s">
        <x:v>126</x:v>
      </x:c>
      <x:c r="L104" s="2" t="s">
        <x:v>120</x:v>
      </x:c>
      <x:c r="M104" s="2"/>
      <x:c r="N104" s="2"/>
      <x:c r="O104" s="2">
        <x:v>108.7</x:v>
      </x:c>
      <x:c r="P104" s="2">
        <x:v>200</x:v>
      </x:c>
      <x:c r="Q104" s="2" t="s">
        <x:v>111</x:v>
      </x:c>
      <x:c r="R104" s="2"/>
      <x:c r="S104" s="2" t="s">
        <x:v>111</x:v>
      </x:c>
      <x:c r="T104" s="2">
        <x:v>20</x:v>
      </x:c>
      <x:c r="U104" s="2">
        <x:v>15</x:v>
      </x:c>
      <x:c r="V104" s="2">
        <x:v>7.21</x:v>
      </x:c>
      <x:c r="W104" s="2">
        <x:v>5.4</x:v>
      </x:c>
      <x:c r="X104" s="2" t="s">
        <x:v>188</x:v>
      </x:c>
      <x:c r="Y104" s="2" t="s">
        <x:v>138</x:v>
      </x:c>
      <x:c r="Z104" s="2" t="s">
        <x:v>189</x:v>
      </x:c>
    </x:row>
    <x:row r="105" ht="27">
      <x:c r="A105" s="2">
        <x:v>543</x:v>
      </x:c>
      <x:c r="B105" s="2">
        <x:v>1312982</x:v>
      </x:c>
      <x:c r="C105" s="2">
        <x:v>770478</x:v>
      </x:c>
      <x:c r="D105" s="2">
        <x:v>107036</x:v>
      </x:c>
      <x:c r="E105" s="2" t="s">
        <x:v>10</x:v>
      </x:c>
      <x:c r="F105" s="2" t="s">
        <x:v>177</x:v>
      </x:c>
      <x:c r="G105" s="2" t="s">
        <x:v>150</x:v>
      </x:c>
      <x:c r="H105" s="2" t="s">
        <x:v>135</x:v>
      </x:c>
      <x:c r="I105" s="2" t="s">
        <x:v>125</x:v>
      </x:c>
      <x:c r="J105" s="2">
        <x:v>4</x:v>
      </x:c>
      <x:c r="K105" s="2" t="s">
        <x:v>117</x:v>
      </x:c>
      <x:c r="L105" s="2" t="s">
        <x:v>120</x:v>
      </x:c>
      <x:c r="M105" s="2"/>
      <x:c r="N105" s="2">
        <x:v>76.2</x:v>
      </x:c>
      <x:c r="O105" s="2">
        <x:v>73.400000000000006</x:v>
      </x:c>
      <x:c r="P105" s="2">
        <x:v>78.7</x:v>
      </x:c>
      <x:c r="Q105" s="2" t="s">
        <x:v>111</x:v>
      </x:c>
      <x:c r="R105" s="2">
        <x:v>76.2</x:v>
      </x:c>
      <x:c r="S105" s="2" t="s">
        <x:v>111</x:v>
      </x:c>
      <x:c r="T105" s="2"/>
      <x:c r="U105" s="2">
        <x:v>10</x:v>
      </x:c>
      <x:c r="V105" s="2"/>
      <x:c r="W105" s="2"/>
      <x:c r="X105" s="2" t="s">
        <x:v>186</x:v>
      </x:c>
      <x:c r="Y105" s="2" t="s">
        <x:v>138</x:v>
      </x:c>
      <x:c r="Z105" s="2" t="s">
        <x:v>187</x:v>
      </x:c>
    </x:row>
    <x:row r="106" ht="40.5">
      <x:c r="A106" s="2">
        <x:v>544</x:v>
      </x:c>
      <x:c r="B106" s="2">
        <x:v>2140666</x:v>
      </x:c>
      <x:c r="C106" s="2">
        <x:v>2263499</x:v>
      </x:c>
      <x:c r="D106" s="2">
        <x:v>166133</x:v>
      </x:c>
      <x:c r="E106" s="2" t="s">
        <x:v>10</x:v>
      </x:c>
      <x:c r="F106" s="2" t="s">
        <x:v>177</x:v>
      </x:c>
      <x:c r="G106" s="2" t="s">
        <x:v>134</x:v>
      </x:c>
      <x:c r="H106" s="2" t="s">
        <x:v>135</x:v>
      </x:c>
      <x:c r="I106" s="2" t="s">
        <x:v>159</x:v>
      </x:c>
      <x:c r="J106" s="2">
        <x:v>2</x:v>
      </x:c>
      <x:c r="K106" s="2" t="s">
        <x:v>126</x:v>
      </x:c>
      <x:c r="L106" s="2" t="s">
        <x:v>120</x:v>
      </x:c>
      <x:c r="M106" s="2"/>
      <x:c r="N106" s="2"/>
      <x:c r="O106" s="2">
        <x:v>0</x:v>
      </x:c>
      <x:c r="P106" s="2">
        <x:v>41.8</x:v>
      </x:c>
      <x:c r="Q106" s="2" t="s">
        <x:v>111</x:v>
      </x:c>
      <x:c r="R106" s="2"/>
      <x:c r="S106" s="2" t="s">
        <x:v>111</x:v>
      </x:c>
      <x:c r="T106" s="2">
        <x:v>20</x:v>
      </x:c>
      <x:c r="U106" s="2">
        <x:v>5</x:v>
      </x:c>
      <x:c r="V106" s="2">
        <x:v>6.88</x:v>
      </x:c>
      <x:c r="W106" s="2">
        <x:v>0.6</x:v>
      </x:c>
      <x:c r="X106" s="2" t="s">
        <x:v>188</x:v>
      </x:c>
      <x:c r="Y106" s="2" t="s">
        <x:v>138</x:v>
      </x:c>
      <x:c r="Z106" s="2" t="s">
        <x:v>189</x:v>
      </x:c>
    </x:row>
    <x:row r="107" ht="27">
      <x:c r="A107" s="2">
        <x:v>545</x:v>
      </x:c>
      <x:c r="B107" s="2">
        <x:v>2145455</x:v>
      </x:c>
      <x:c r="C107" s="2">
        <x:v>2274198</x:v>
      </x:c>
      <x:c r="D107" s="2">
        <x:v>169337</x:v>
      </x:c>
      <x:c r="E107" s="2" t="s">
        <x:v>10</x:v>
      </x:c>
      <x:c r="F107" s="2" t="s">
        <x:v>177</x:v>
      </x:c>
      <x:c r="G107" s="2" t="s">
        <x:v>129</x:v>
      </x:c>
      <x:c r="H107" s="2" t="s">
        <x:v>107</x:v>
      </x:c>
      <x:c r="I107" s="2"/>
      <x:c r="J107" s="2">
        <x:v>4</x:v>
      </x:c>
      <x:c r="K107" s="2" t="s">
        <x:v>117</x:v>
      </x:c>
      <x:c r="L107" s="2" t="s">
        <x:v>110</x:v>
      </x:c>
      <x:c r="M107" s="2"/>
      <x:c r="N107" s="2">
        <x:v>2100</x:v>
      </x:c>
      <x:c r="O107" s="2">
        <x:v>1800</x:v>
      </x:c>
      <x:c r="P107" s="2">
        <x:v>2700</x:v>
      </x:c>
      <x:c r="Q107" s="2" t="s">
        <x:v>111</x:v>
      </x:c>
      <x:c r="R107" s="2">
        <x:v>2100</x:v>
      </x:c>
      <x:c r="S107" s="2" t="s">
        <x:v>111</x:v>
      </x:c>
      <x:c r="T107" s="2">
        <x:v>22</x:v>
      </x:c>
      <x:c r="U107" s="2">
        <x:v>7</x:v>
      </x:c>
      <x:c r="V107" s="2">
        <x:v>8.1999999999999993</x:v>
      </x:c>
      <x:c r="W107" s="2"/>
      <x:c r="X107" s="2" t="s">
        <x:v>191</x:v>
      </x:c>
      <x:c r="Y107" s="2" t="s">
        <x:v>113</x:v>
      </x:c>
      <x:c r="Z107" s="2" t="s">
        <x:v>114</x:v>
      </x:c>
    </x:row>
    <x:row r="108" ht="40.5">
      <x:c r="A108" s="2">
        <x:v>546</x:v>
      </x:c>
      <x:c r="B108" s="2">
        <x:v>2140696</x:v>
      </x:c>
      <x:c r="C108" s="2">
        <x:v>2263542</x:v>
      </x:c>
      <x:c r="D108" s="2">
        <x:v>166133</x:v>
      </x:c>
      <x:c r="E108" s="2" t="s">
        <x:v>10</x:v>
      </x:c>
      <x:c r="F108" s="2" t="s">
        <x:v>177</x:v>
      </x:c>
      <x:c r="G108" s="2" t="s">
        <x:v>134</x:v>
      </x:c>
      <x:c r="H108" s="2" t="s">
        <x:v>135</x:v>
      </x:c>
      <x:c r="I108" s="2" t="s">
        <x:v>159</x:v>
      </x:c>
      <x:c r="J108" s="2">
        <x:v>2</x:v>
      </x:c>
      <x:c r="K108" s="2" t="s">
        <x:v>126</x:v>
      </x:c>
      <x:c r="L108" s="2" t="s">
        <x:v>120</x:v>
      </x:c>
      <x:c r="M108" s="2"/>
      <x:c r="N108" s="2"/>
      <x:c r="O108" s="2">
        <x:v>67.400000000000006</x:v>
      </x:c>
      <x:c r="P108" s="2">
        <x:v>108.7</x:v>
      </x:c>
      <x:c r="Q108" s="2" t="s">
        <x:v>111</x:v>
      </x:c>
      <x:c r="R108" s="2"/>
      <x:c r="S108" s="2" t="s">
        <x:v>111</x:v>
      </x:c>
      <x:c r="T108" s="2">
        <x:v>20</x:v>
      </x:c>
      <x:c r="U108" s="2">
        <x:v>30</x:v>
      </x:c>
      <x:c r="V108" s="2">
        <x:v>7.49</x:v>
      </x:c>
      <x:c r="W108" s="2">
        <x:v>1.4</x:v>
      </x:c>
      <x:c r="X108" s="2" t="s">
        <x:v>188</x:v>
      </x:c>
      <x:c r="Y108" s="2" t="s">
        <x:v>138</x:v>
      </x:c>
      <x:c r="Z108" s="2" t="s">
        <x:v>189</x:v>
      </x:c>
    </x:row>
    <x:row r="109" ht="40.5">
      <x:c r="A109" s="2">
        <x:v>547</x:v>
      </x:c>
      <x:c r="B109" s="2">
        <x:v>2140671</x:v>
      </x:c>
      <x:c r="C109" s="2">
        <x:v>2263516</x:v>
      </x:c>
      <x:c r="D109" s="2">
        <x:v>166133</x:v>
      </x:c>
      <x:c r="E109" s="2" t="s">
        <x:v>10</x:v>
      </x:c>
      <x:c r="F109" s="2" t="s">
        <x:v>177</x:v>
      </x:c>
      <x:c r="G109" s="2" t="s">
        <x:v>134</x:v>
      </x:c>
      <x:c r="H109" s="2" t="s">
        <x:v>135</x:v>
      </x:c>
      <x:c r="I109" s="2" t="s">
        <x:v>159</x:v>
      </x:c>
      <x:c r="J109" s="2">
        <x:v>2</x:v>
      </x:c>
      <x:c r="K109" s="2" t="s">
        <x:v>126</x:v>
      </x:c>
      <x:c r="L109" s="2" t="s">
        <x:v>120</x:v>
      </x:c>
      <x:c r="M109" s="2"/>
      <x:c r="N109" s="2"/>
      <x:c r="O109" s="2">
        <x:v>67.400000000000006</x:v>
      </x:c>
      <x:c r="P109" s="2">
        <x:v>100</x:v>
      </x:c>
      <x:c r="Q109" s="2" t="s">
        <x:v>111</x:v>
      </x:c>
      <x:c r="R109" s="2"/>
      <x:c r="S109" s="2" t="s">
        <x:v>111</x:v>
      </x:c>
      <x:c r="T109" s="2">
        <x:v>20</x:v>
      </x:c>
      <x:c r="U109" s="2">
        <x:v>5</x:v>
      </x:c>
      <x:c r="V109" s="2">
        <x:v>6.88</x:v>
      </x:c>
      <x:c r="W109" s="2">
        <x:v>4.3</x:v>
      </x:c>
      <x:c r="X109" s="2" t="s">
        <x:v>188</x:v>
      </x:c>
      <x:c r="Y109" s="2" t="s">
        <x:v>138</x:v>
      </x:c>
      <x:c r="Z109" s="2" t="s">
        <x:v>189</x:v>
      </x:c>
    </x:row>
    <x:row r="110" ht="40.5">
      <x:c r="A110" s="2">
        <x:v>548</x:v>
      </x:c>
      <x:c r="B110" s="2">
        <x:v>2140664</x:v>
      </x:c>
      <x:c r="C110" s="2">
        <x:v>2263491</x:v>
      </x:c>
      <x:c r="D110" s="2">
        <x:v>166133</x:v>
      </x:c>
      <x:c r="E110" s="2" t="s">
        <x:v>10</x:v>
      </x:c>
      <x:c r="F110" s="2" t="s">
        <x:v>177</x:v>
      </x:c>
      <x:c r="G110" s="2" t="s">
        <x:v>134</x:v>
      </x:c>
      <x:c r="H110" s="2" t="s">
        <x:v>135</x:v>
      </x:c>
      <x:c r="I110" s="2" t="s">
        <x:v>159</x:v>
      </x:c>
      <x:c r="J110" s="2">
        <x:v>2</x:v>
      </x:c>
      <x:c r="K110" s="2" t="s">
        <x:v>126</x:v>
      </x:c>
      <x:c r="L110" s="2" t="s">
        <x:v>120</x:v>
      </x:c>
      <x:c r="M110" s="2"/>
      <x:c r="N110" s="2">
        <x:v>67.400000000000006</x:v>
      </x:c>
      <x:c r="O110" s="2">
        <x:v>43.2</x:v>
      </x:c>
      <x:c r="P110" s="2">
        <x:v>92.9</x:v>
      </x:c>
      <x:c r="Q110" s="2" t="s">
        <x:v>111</x:v>
      </x:c>
      <x:c r="R110" s="2">
        <x:v>67.400000000000006</x:v>
      </x:c>
      <x:c r="S110" s="2" t="s">
        <x:v>111</x:v>
      </x:c>
      <x:c r="T110" s="2">
        <x:v>20</x:v>
      </x:c>
      <x:c r="U110" s="2">
        <x:v>15</x:v>
      </x:c>
      <x:c r="V110" s="2">
        <x:v>7.21</x:v>
      </x:c>
      <x:c r="W110" s="2">
        <x:v>0.1</x:v>
      </x:c>
      <x:c r="X110" s="2" t="s">
        <x:v>188</x:v>
      </x:c>
      <x:c r="Y110" s="2" t="s">
        <x:v>113</x:v>
      </x:c>
      <x:c r="Z110" s="2" t="s">
        <x:v>114</x:v>
      </x:c>
    </x:row>
    <x:row r="111" ht="40.5">
      <x:c r="A111" s="2">
        <x:v>550</x:v>
      </x:c>
      <x:c r="B111" s="2">
        <x:v>2140708</x:v>
      </x:c>
      <x:c r="C111" s="2">
        <x:v>2263588</x:v>
      </x:c>
      <x:c r="D111" s="2">
        <x:v>166133</x:v>
      </x:c>
      <x:c r="E111" s="2" t="s">
        <x:v>10</x:v>
      </x:c>
      <x:c r="F111" s="2" t="s">
        <x:v>177</x:v>
      </x:c>
      <x:c r="G111" s="2" t="s">
        <x:v>134</x:v>
      </x:c>
      <x:c r="H111" s="2" t="s">
        <x:v>135</x:v>
      </x:c>
      <x:c r="I111" s="2" t="s">
        <x:v>159</x:v>
      </x:c>
      <x:c r="J111" s="2">
        <x:v>2</x:v>
      </x:c>
      <x:c r="K111" s="2" t="s">
        <x:v>126</x:v>
      </x:c>
      <x:c r="L111" s="2" t="s">
        <x:v>120</x:v>
      </x:c>
      <x:c r="M111" s="2"/>
      <x:c r="N111" s="2"/>
      <x:c r="O111" s="2">
        <x:v>67.400000000000006</x:v>
      </x:c>
      <x:c r="P111" s="2">
        <x:v>108.7</x:v>
      </x:c>
      <x:c r="Q111" s="2" t="s">
        <x:v>111</x:v>
      </x:c>
      <x:c r="R111" s="2"/>
      <x:c r="S111" s="2" t="s">
        <x:v>111</x:v>
      </x:c>
      <x:c r="T111" s="2">
        <x:v>20</x:v>
      </x:c>
      <x:c r="U111" s="2">
        <x:v>15</x:v>
      </x:c>
      <x:c r="V111" s="2">
        <x:v>7.21</x:v>
      </x:c>
      <x:c r="W111" s="2">
        <x:v>2.2000000000000002</x:v>
      </x:c>
      <x:c r="X111" s="2" t="s">
        <x:v>188</x:v>
      </x:c>
      <x:c r="Y111" s="2" t="s">
        <x:v>138</x:v>
      </x:c>
      <x:c r="Z111" s="2" t="s">
        <x:v>189</x:v>
      </x:c>
    </x:row>
    <x:row r="112" ht="40.5">
      <x:c r="A112" s="2">
        <x:v>551</x:v>
      </x:c>
      <x:c r="B112" s="2">
        <x:v>2140686</x:v>
      </x:c>
      <x:c r="C112" s="2">
        <x:v>2263533</x:v>
      </x:c>
      <x:c r="D112" s="2">
        <x:v>166133</x:v>
      </x:c>
      <x:c r="E112" s="2" t="s">
        <x:v>10</x:v>
      </x:c>
      <x:c r="F112" s="2" t="s">
        <x:v>177</x:v>
      </x:c>
      <x:c r="G112" s="2" t="s">
        <x:v>134</x:v>
      </x:c>
      <x:c r="H112" s="2" t="s">
        <x:v>135</x:v>
      </x:c>
      <x:c r="I112" s="2" t="s">
        <x:v>159</x:v>
      </x:c>
      <x:c r="J112" s="2">
        <x:v>2</x:v>
      </x:c>
      <x:c r="K112" s="2" t="s">
        <x:v>126</x:v>
      </x:c>
      <x:c r="L112" s="2" t="s">
        <x:v>120</x:v>
      </x:c>
      <x:c r="M112" s="2"/>
      <x:c r="N112" s="2"/>
      <x:c r="O112" s="2">
        <x:v>67.400000000000006</x:v>
      </x:c>
      <x:c r="P112" s="2">
        <x:v>108.7</x:v>
      </x:c>
      <x:c r="Q112" s="2" t="s">
        <x:v>111</x:v>
      </x:c>
      <x:c r="R112" s="2"/>
      <x:c r="S112" s="2" t="s">
        <x:v>111</x:v>
      </x:c>
      <x:c r="T112" s="2">
        <x:v>20</x:v>
      </x:c>
      <x:c r="U112" s="2">
        <x:v>30</x:v>
      </x:c>
      <x:c r="V112" s="2">
        <x:v>7.49</x:v>
      </x:c>
      <x:c r="W112" s="2">
        <x:v>2.5</x:v>
      </x:c>
      <x:c r="X112" s="2" t="s">
        <x:v>188</x:v>
      </x:c>
      <x:c r="Y112" s="2" t="s">
        <x:v>138</x:v>
      </x:c>
      <x:c r="Z112" s="2" t="s">
        <x:v>189</x:v>
      </x:c>
    </x:row>
    <x:row r="113" ht="27">
      <x:c r="A113" s="2">
        <x:v>552</x:v>
      </x:c>
      <x:c r="B113" s="2">
        <x:v>1312979</x:v>
      </x:c>
      <x:c r="C113" s="2">
        <x:v>770475</x:v>
      </x:c>
      <x:c r="D113" s="2">
        <x:v>107036</x:v>
      </x:c>
      <x:c r="E113" s="2" t="s">
        <x:v>10</x:v>
      </x:c>
      <x:c r="F113" s="2" t="s">
        <x:v>177</x:v>
      </x:c>
      <x:c r="G113" s="2" t="s">
        <x:v>150</x:v>
      </x:c>
      <x:c r="H113" s="2" t="s">
        <x:v>135</x:v>
      </x:c>
      <x:c r="I113" s="2" t="s">
        <x:v>125</x:v>
      </x:c>
      <x:c r="J113" s="2">
        <x:v>4</x:v>
      </x:c>
      <x:c r="K113" s="2" t="s">
        <x:v>117</x:v>
      </x:c>
      <x:c r="L113" s="2" t="s">
        <x:v>120</x:v>
      </x:c>
      <x:c r="M113" s="2"/>
      <x:c r="N113" s="2">
        <x:v>104</x:v>
      </x:c>
      <x:c r="O113" s="2">
        <x:v>94.2</x:v>
      </x:c>
      <x:c r="P113" s="2">
        <x:v>109</x:v>
      </x:c>
      <x:c r="Q113" s="2" t="s">
        <x:v>111</x:v>
      </x:c>
      <x:c r="R113" s="2">
        <x:v>104</x:v>
      </x:c>
      <x:c r="S113" s="2" t="s">
        <x:v>111</x:v>
      </x:c>
      <x:c r="T113" s="2"/>
      <x:c r="U113" s="2">
        <x:v>5</x:v>
      </x:c>
      <x:c r="V113" s="2"/>
      <x:c r="W113" s="2"/>
      <x:c r="X113" s="2" t="s">
        <x:v>186</x:v>
      </x:c>
      <x:c r="Y113" s="2" t="s">
        <x:v>113</x:v>
      </x:c>
      <x:c r="Z113" s="2" t="s">
        <x:v>114</x:v>
      </x:c>
    </x:row>
    <x:row r="114" ht="40.5">
      <x:c r="A114" s="2">
        <x:v>553</x:v>
      </x:c>
      <x:c r="B114" s="2">
        <x:v>2140676</x:v>
      </x:c>
      <x:c r="C114" s="2">
        <x:v>2263524</x:v>
      </x:c>
      <x:c r="D114" s="2">
        <x:v>166133</x:v>
      </x:c>
      <x:c r="E114" s="2" t="s">
        <x:v>10</x:v>
      </x:c>
      <x:c r="F114" s="2" t="s">
        <x:v>177</x:v>
      </x:c>
      <x:c r="G114" s="2" t="s">
        <x:v>134</x:v>
      </x:c>
      <x:c r="H114" s="2" t="s">
        <x:v>135</x:v>
      </x:c>
      <x:c r="I114" s="2" t="s">
        <x:v>159</x:v>
      </x:c>
      <x:c r="J114" s="2">
        <x:v>2</x:v>
      </x:c>
      <x:c r="K114" s="2" t="s">
        <x:v>126</x:v>
      </x:c>
      <x:c r="L114" s="2" t="s">
        <x:v>120</x:v>
      </x:c>
      <x:c r="M114" s="2"/>
      <x:c r="N114" s="2"/>
      <x:c r="O114" s="2">
        <x:v>41.8</x:v>
      </x:c>
      <x:c r="P114" s="2">
        <x:v>67.400000000000006</x:v>
      </x:c>
      <x:c r="Q114" s="2" t="s">
        <x:v>111</x:v>
      </x:c>
      <x:c r="R114" s="2"/>
      <x:c r="S114" s="2" t="s">
        <x:v>111</x:v>
      </x:c>
      <x:c r="T114" s="2">
        <x:v>20</x:v>
      </x:c>
      <x:c r="U114" s="2">
        <x:v>30</x:v>
      </x:c>
      <x:c r="V114" s="2">
        <x:v>7.49</x:v>
      </x:c>
      <x:c r="W114" s="2">
        <x:v>0.6</x:v>
      </x:c>
      <x:c r="X114" s="2" t="s">
        <x:v>188</x:v>
      </x:c>
      <x:c r="Y114" s="2" t="s">
        <x:v>138</x:v>
      </x:c>
      <x:c r="Z114" s="2" t="s">
        <x:v>189</x:v>
      </x:c>
    </x:row>
    <x:row r="115" ht="40.5">
      <x:c r="A115" s="2">
        <x:v>554</x:v>
      </x:c>
      <x:c r="B115" s="2">
        <x:v>2140707</x:v>
      </x:c>
      <x:c r="C115" s="2">
        <x:v>2263587</x:v>
      </x:c>
      <x:c r="D115" s="2">
        <x:v>166133</x:v>
      </x:c>
      <x:c r="E115" s="2" t="s">
        <x:v>10</x:v>
      </x:c>
      <x:c r="F115" s="2" t="s">
        <x:v>177</x:v>
      </x:c>
      <x:c r="G115" s="2" t="s">
        <x:v>134</x:v>
      </x:c>
      <x:c r="H115" s="2" t="s">
        <x:v>135</x:v>
      </x:c>
      <x:c r="I115" s="2" t="s">
        <x:v>159</x:v>
      </x:c>
      <x:c r="J115" s="2">
        <x:v>2</x:v>
      </x:c>
      <x:c r="K115" s="2" t="s">
        <x:v>126</x:v>
      </x:c>
      <x:c r="L115" s="2" t="s">
        <x:v>120</x:v>
      </x:c>
      <x:c r="M115" s="2"/>
      <x:c r="N115" s="2"/>
      <x:c r="O115" s="2">
        <x:v>108.7</x:v>
      </x:c>
      <x:c r="P115" s="2">
        <x:v>200</x:v>
      </x:c>
      <x:c r="Q115" s="2" t="s">
        <x:v>111</x:v>
      </x:c>
      <x:c r="R115" s="2"/>
      <x:c r="S115" s="2" t="s">
        <x:v>111</x:v>
      </x:c>
      <x:c r="T115" s="2">
        <x:v>20</x:v>
      </x:c>
      <x:c r="U115" s="2">
        <x:v>15</x:v>
      </x:c>
      <x:c r="V115" s="2">
        <x:v>7.21</x:v>
      </x:c>
      <x:c r="W115" s="2">
        <x:v>0.5</x:v>
      </x:c>
      <x:c r="X115" s="2" t="s">
        <x:v>188</x:v>
      </x:c>
      <x:c r="Y115" s="2" t="s">
        <x:v>138</x:v>
      </x:c>
      <x:c r="Z115" s="2" t="s">
        <x:v>189</x:v>
      </x:c>
    </x:row>
    <x:row r="116" ht="40.5">
      <x:c r="A116" s="2">
        <x:v>555</x:v>
      </x:c>
      <x:c r="B116" s="2">
        <x:v>2140683</x:v>
      </x:c>
      <x:c r="C116" s="2">
        <x:v>2263530</x:v>
      </x:c>
      <x:c r="D116" s="2">
        <x:v>166133</x:v>
      </x:c>
      <x:c r="E116" s="2" t="s">
        <x:v>10</x:v>
      </x:c>
      <x:c r="F116" s="2" t="s">
        <x:v>177</x:v>
      </x:c>
      <x:c r="G116" s="2" t="s">
        <x:v>134</x:v>
      </x:c>
      <x:c r="H116" s="2" t="s">
        <x:v>135</x:v>
      </x:c>
      <x:c r="I116" s="2" t="s">
        <x:v>159</x:v>
      </x:c>
      <x:c r="J116" s="2">
        <x:v>2</x:v>
      </x:c>
      <x:c r="K116" s="2" t="s">
        <x:v>126</x:v>
      </x:c>
      <x:c r="L116" s="2" t="s">
        <x:v>120</x:v>
      </x:c>
      <x:c r="M116" s="2" t="s">
        <x:v>184</x:v>
      </x:c>
      <x:c r="N116" s="2">
        <x:v>67.400000000000006</x:v>
      </x:c>
      <x:c r="O116" s="2"/>
      <x:c r="P116" s="2"/>
      <x:c r="Q116" s="2" t="s">
        <x:v>111</x:v>
      </x:c>
      <x:c r="R116" s="2">
        <x:v>67.400000000000006</x:v>
      </x:c>
      <x:c r="S116" s="2" t="s">
        <x:v>111</x:v>
      </x:c>
      <x:c r="T116" s="2">
        <x:v>20</x:v>
      </x:c>
      <x:c r="U116" s="2">
        <x:v>15</x:v>
      </x:c>
      <x:c r="V116" s="2">
        <x:v>7.21</x:v>
      </x:c>
      <x:c r="W116" s="2">
        <x:v>2.5</x:v>
      </x:c>
      <x:c r="X116" s="2" t="s">
        <x:v>188</x:v>
      </x:c>
      <x:c r="Y116" s="2" t="s">
        <x:v>138</x:v>
      </x:c>
      <x:c r="Z116" s="2" t="s">
        <x:v>189</x:v>
      </x:c>
    </x:row>
    <x:row r="117" ht="40.5">
      <x:c r="A117" s="2">
        <x:v>556</x:v>
      </x:c>
      <x:c r="B117" s="2">
        <x:v>2140710</x:v>
      </x:c>
      <x:c r="C117" s="2">
        <x:v>2263590</x:v>
      </x:c>
      <x:c r="D117" s="2">
        <x:v>166133</x:v>
      </x:c>
      <x:c r="E117" s="2" t="s">
        <x:v>10</x:v>
      </x:c>
      <x:c r="F117" s="2" t="s">
        <x:v>177</x:v>
      </x:c>
      <x:c r="G117" s="2" t="s">
        <x:v>134</x:v>
      </x:c>
      <x:c r="H117" s="2" t="s">
        <x:v>135</x:v>
      </x:c>
      <x:c r="I117" s="2" t="s">
        <x:v>159</x:v>
      </x:c>
      <x:c r="J117" s="2">
        <x:v>2</x:v>
      </x:c>
      <x:c r="K117" s="2" t="s">
        <x:v>126</x:v>
      </x:c>
      <x:c r="L117" s="2" t="s">
        <x:v>120</x:v>
      </x:c>
      <x:c r="M117" s="2"/>
      <x:c r="N117" s="2"/>
      <x:c r="O117" s="2">
        <x:v>108.7</x:v>
      </x:c>
      <x:c r="P117" s="2">
        <x:v>150</x:v>
      </x:c>
      <x:c r="Q117" s="2" t="s">
        <x:v>111</x:v>
      </x:c>
      <x:c r="R117" s="2"/>
      <x:c r="S117" s="2" t="s">
        <x:v>111</x:v>
      </x:c>
      <x:c r="T117" s="2">
        <x:v>20</x:v>
      </x:c>
      <x:c r="U117" s="2">
        <x:v>30</x:v>
      </x:c>
      <x:c r="V117" s="2">
        <x:v>7.49</x:v>
      </x:c>
      <x:c r="W117" s="2">
        <x:v>2.2000000000000002</x:v>
      </x:c>
      <x:c r="X117" s="2" t="s">
        <x:v>188</x:v>
      </x:c>
      <x:c r="Y117" s="2" t="s">
        <x:v>138</x:v>
      </x:c>
      <x:c r="Z117" s="2" t="s">
        <x:v>189</x:v>
      </x:c>
    </x:row>
    <x:row r="118" ht="40.5">
      <x:c r="A118" s="2">
        <x:v>557</x:v>
      </x:c>
      <x:c r="B118" s="2">
        <x:v>2140709</x:v>
      </x:c>
      <x:c r="C118" s="2">
        <x:v>2263589</x:v>
      </x:c>
      <x:c r="D118" s="2">
        <x:v>166133</x:v>
      </x:c>
      <x:c r="E118" s="2" t="s">
        <x:v>10</x:v>
      </x:c>
      <x:c r="F118" s="2" t="s">
        <x:v>177</x:v>
      </x:c>
      <x:c r="G118" s="2" t="s">
        <x:v>134</x:v>
      </x:c>
      <x:c r="H118" s="2" t="s">
        <x:v>135</x:v>
      </x:c>
      <x:c r="I118" s="2" t="s">
        <x:v>159</x:v>
      </x:c>
      <x:c r="J118" s="2">
        <x:v>2</x:v>
      </x:c>
      <x:c r="K118" s="2" t="s">
        <x:v>126</x:v>
      </x:c>
      <x:c r="L118" s="2" t="s">
        <x:v>120</x:v>
      </x:c>
      <x:c r="M118" s="2"/>
      <x:c r="N118" s="2"/>
      <x:c r="O118" s="2">
        <x:v>67.400000000000006</x:v>
      </x:c>
      <x:c r="P118" s="2">
        <x:v>108.7</x:v>
      </x:c>
      <x:c r="Q118" s="2" t="s">
        <x:v>111</x:v>
      </x:c>
      <x:c r="R118" s="2"/>
      <x:c r="S118" s="2" t="s">
        <x:v>111</x:v>
      </x:c>
      <x:c r="T118" s="2">
        <x:v>20</x:v>
      </x:c>
      <x:c r="U118" s="2">
        <x:v>30</x:v>
      </x:c>
      <x:c r="V118" s="2">
        <x:v>7.49</x:v>
      </x:c>
      <x:c r="W118" s="2">
        <x:v>0.5</x:v>
      </x:c>
      <x:c r="X118" s="2" t="s">
        <x:v>188</x:v>
      </x:c>
      <x:c r="Y118" s="2" t="s">
        <x:v>138</x:v>
      </x:c>
      <x:c r="Z118" s="2" t="s">
        <x:v>189</x:v>
      </x:c>
    </x:row>
    <x:row r="119" ht="40.5">
      <x:c r="A119" s="2">
        <x:v>558</x:v>
      </x:c>
      <x:c r="B119" s="2">
        <x:v>2140695</x:v>
      </x:c>
      <x:c r="C119" s="2">
        <x:v>2263541</x:v>
      </x:c>
      <x:c r="D119" s="2">
        <x:v>166133</x:v>
      </x:c>
      <x:c r="E119" s="2" t="s">
        <x:v>10</x:v>
      </x:c>
      <x:c r="F119" s="2" t="s">
        <x:v>177</x:v>
      </x:c>
      <x:c r="G119" s="2" t="s">
        <x:v>134</x:v>
      </x:c>
      <x:c r="H119" s="2" t="s">
        <x:v>135</x:v>
      </x:c>
      <x:c r="I119" s="2" t="s">
        <x:v>159</x:v>
      </x:c>
      <x:c r="J119" s="2">
        <x:v>2</x:v>
      </x:c>
      <x:c r="K119" s="2" t="s">
        <x:v>126</x:v>
      </x:c>
      <x:c r="L119" s="2" t="s">
        <x:v>120</x:v>
      </x:c>
      <x:c r="M119" s="2"/>
      <x:c r="N119" s="2"/>
      <x:c r="O119" s="2">
        <x:v>200</x:v>
      </x:c>
      <x:c r="P119" s="2">
        <x:v>300</x:v>
      </x:c>
      <x:c r="Q119" s="2" t="s">
        <x:v>111</x:v>
      </x:c>
      <x:c r="R119" s="2"/>
      <x:c r="S119" s="2" t="s">
        <x:v>111</x:v>
      </x:c>
      <x:c r="T119" s="2">
        <x:v>20</x:v>
      </x:c>
      <x:c r="U119" s="2">
        <x:v>15</x:v>
      </x:c>
      <x:c r="V119" s="2">
        <x:v>7.21</x:v>
      </x:c>
      <x:c r="W119" s="2">
        <x:v>6.7</x:v>
      </x:c>
      <x:c r="X119" s="2" t="s">
        <x:v>188</x:v>
      </x:c>
      <x:c r="Y119" s="2" t="s">
        <x:v>138</x:v>
      </x:c>
      <x:c r="Z119" s="2" t="s">
        <x:v>189</x:v>
      </x:c>
    </x:row>
    <x:row r="120" ht="40.5">
      <x:c r="A120" s="2">
        <x:v>559</x:v>
      </x:c>
      <x:c r="B120" s="2">
        <x:v>2140698</x:v>
      </x:c>
      <x:c r="C120" s="2">
        <x:v>2263544</x:v>
      </x:c>
      <x:c r="D120" s="2">
        <x:v>166133</x:v>
      </x:c>
      <x:c r="E120" s="2" t="s">
        <x:v>10</x:v>
      </x:c>
      <x:c r="F120" s="2" t="s">
        <x:v>177</x:v>
      </x:c>
      <x:c r="G120" s="2" t="s">
        <x:v>134</x:v>
      </x:c>
      <x:c r="H120" s="2" t="s">
        <x:v>135</x:v>
      </x:c>
      <x:c r="I120" s="2" t="s">
        <x:v>159</x:v>
      </x:c>
      <x:c r="J120" s="2">
        <x:v>2</x:v>
      </x:c>
      <x:c r="K120" s="2" t="s">
        <x:v>126</x:v>
      </x:c>
      <x:c r="L120" s="2" t="s">
        <x:v>120</x:v>
      </x:c>
      <x:c r="M120" s="2"/>
      <x:c r="N120" s="2"/>
      <x:c r="O120" s="2">
        <x:v>108.7</x:v>
      </x:c>
      <x:c r="P120" s="2">
        <x:v>200</x:v>
      </x:c>
      <x:c r="Q120" s="2" t="s">
        <x:v>111</x:v>
      </x:c>
      <x:c r="R120" s="2"/>
      <x:c r="S120" s="2" t="s">
        <x:v>111</x:v>
      </x:c>
      <x:c r="T120" s="2">
        <x:v>20</x:v>
      </x:c>
      <x:c r="U120" s="2">
        <x:v>30</x:v>
      </x:c>
      <x:c r="V120" s="2">
        <x:v>7.49</x:v>
      </x:c>
      <x:c r="W120" s="2">
        <x:v>6.7</x:v>
      </x:c>
      <x:c r="X120" s="2" t="s">
        <x:v>188</x:v>
      </x:c>
      <x:c r="Y120" s="2" t="s">
        <x:v>138</x:v>
      </x:c>
      <x:c r="Z120" s="2" t="s">
        <x:v>189</x:v>
      </x:c>
    </x:row>
    <x:row r="121" ht="40.5">
      <x:c r="A121" s="2">
        <x:v>560</x:v>
      </x:c>
      <x:c r="B121" s="2">
        <x:v>2140704</x:v>
      </x:c>
      <x:c r="C121" s="2">
        <x:v>2263580</x:v>
      </x:c>
      <x:c r="D121" s="2">
        <x:v>166133</x:v>
      </x:c>
      <x:c r="E121" s="2" t="s">
        <x:v>10</x:v>
      </x:c>
      <x:c r="F121" s="2" t="s">
        <x:v>177</x:v>
      </x:c>
      <x:c r="G121" s="2" t="s">
        <x:v>134</x:v>
      </x:c>
      <x:c r="H121" s="2" t="s">
        <x:v>135</x:v>
      </x:c>
      <x:c r="I121" s="2" t="s">
        <x:v>159</x:v>
      </x:c>
      <x:c r="J121" s="2">
        <x:v>2</x:v>
      </x:c>
      <x:c r="K121" s="2" t="s">
        <x:v>126</x:v>
      </x:c>
      <x:c r="L121" s="2" t="s">
        <x:v>120</x:v>
      </x:c>
      <x:c r="M121" s="2"/>
      <x:c r="N121" s="2"/>
      <x:c r="O121" s="2">
        <x:v>41.8</x:v>
      </x:c>
      <x:c r="P121" s="2">
        <x:v>67.400000000000006</x:v>
      </x:c>
      <x:c r="Q121" s="2" t="s">
        <x:v>111</x:v>
      </x:c>
      <x:c r="R121" s="2"/>
      <x:c r="S121" s="2" t="s">
        <x:v>111</x:v>
      </x:c>
      <x:c r="T121" s="2">
        <x:v>20</x:v>
      </x:c>
      <x:c r="U121" s="2">
        <x:v>5</x:v>
      </x:c>
      <x:c r="V121" s="2">
        <x:v>6.88</x:v>
      </x:c>
      <x:c r="W121" s="2">
        <x:v>2.2000000000000002</x:v>
      </x:c>
      <x:c r="X121" s="2" t="s">
        <x:v>188</x:v>
      </x:c>
      <x:c r="Y121" s="2" t="s">
        <x:v>138</x:v>
      </x:c>
      <x:c r="Z121" s="2" t="s">
        <x:v>189</x:v>
      </x:c>
    </x:row>
    <x:row r="122" ht="40.5">
      <x:c r="A122" s="2">
        <x:v>561</x:v>
      </x:c>
      <x:c r="B122" s="2">
        <x:v>2140690</x:v>
      </x:c>
      <x:c r="C122" s="2">
        <x:v>2263536</x:v>
      </x:c>
      <x:c r="D122" s="2">
        <x:v>166133</x:v>
      </x:c>
      <x:c r="E122" s="2" t="s">
        <x:v>10</x:v>
      </x:c>
      <x:c r="F122" s="2" t="s">
        <x:v>177</x:v>
      </x:c>
      <x:c r="G122" s="2" t="s">
        <x:v>134</x:v>
      </x:c>
      <x:c r="H122" s="2" t="s">
        <x:v>135</x:v>
      </x:c>
      <x:c r="I122" s="2" t="s">
        <x:v>159</x:v>
      </x:c>
      <x:c r="J122" s="2">
        <x:v>2</x:v>
      </x:c>
      <x:c r="K122" s="2" t="s">
        <x:v>126</x:v>
      </x:c>
      <x:c r="L122" s="2" t="s">
        <x:v>120</x:v>
      </x:c>
      <x:c r="M122" s="2"/>
      <x:c r="N122" s="2"/>
      <x:c r="O122" s="2">
        <x:v>41.8</x:v>
      </x:c>
      <x:c r="P122" s="2">
        <x:v>67.400000000000006</x:v>
      </x:c>
      <x:c r="Q122" s="2" t="s">
        <x:v>111</x:v>
      </x:c>
      <x:c r="R122" s="2"/>
      <x:c r="S122" s="2" t="s">
        <x:v>111</x:v>
      </x:c>
      <x:c r="T122" s="2">
        <x:v>20</x:v>
      </x:c>
      <x:c r="U122" s="2">
        <x:v>5</x:v>
      </x:c>
      <x:c r="V122" s="2">
        <x:v>6.88</x:v>
      </x:c>
      <x:c r="W122" s="2">
        <x:v>1.4</x:v>
      </x:c>
      <x:c r="X122" s="2" t="s">
        <x:v>188</x:v>
      </x:c>
      <x:c r="Y122" s="2" t="s">
        <x:v>138</x:v>
      </x:c>
      <x:c r="Z122" s="2" t="s">
        <x:v>189</x:v>
      </x:c>
    </x:row>
    <x:row r="123" ht="40.5">
      <x:c r="A123" s="2">
        <x:v>562</x:v>
      </x:c>
      <x:c r="B123" s="2">
        <x:v>1202375</x:v>
      </x:c>
      <x:c r="C123" s="2">
        <x:v>76832</x:v>
      </x:c>
      <x:c r="D123" s="2">
        <x:v>18395</x:v>
      </x:c>
      <x:c r="E123" s="2" t="s">
        <x:v>10</x:v>
      </x:c>
      <x:c r="F123" s="2" t="s">
        <x:v>177</x:v>
      </x:c>
      <x:c r="G123" s="2" t="s">
        <x:v>150</x:v>
      </x:c>
      <x:c r="H123" s="2" t="s">
        <x:v>135</x:v>
      </x:c>
      <x:c r="I123" s="2" t="s">
        <x:v>125</x:v>
      </x:c>
      <x:c r="J123" s="2">
        <x:v>2</x:v>
      </x:c>
      <x:c r="K123" s="2" t="s">
        <x:v>117</x:v>
      </x:c>
      <x:c r="L123" s="2" t="s">
        <x:v>120</x:v>
      </x:c>
      <x:c r="M123" s="2"/>
      <x:c r="N123" s="2">
        <x:v>83</x:v>
      </x:c>
      <x:c r="O123" s="2">
        <x:v>75.31</x:v>
      </x:c>
      <x:c r="P123" s="2">
        <x:v>91.68</x:v>
      </x:c>
      <x:c r="Q123" s="2" t="s">
        <x:v>111</x:v>
      </x:c>
      <x:c r="R123" s="2">
        <x:v>83</x:v>
      </x:c>
      <x:c r="S123" s="2" t="s">
        <x:v>111</x:v>
      </x:c>
      <x:c r="T123" s="2"/>
      <x:c r="U123" s="2">
        <x:v>14</x:v>
      </x:c>
      <x:c r="V123" s="2"/>
      <x:c r="W123" s="2"/>
      <x:c r="X123" s="2" t="s">
        <x:v>190</x:v>
      </x:c>
      <x:c r="Y123" s="2" t="s">
        <x:v>113</x:v>
      </x:c>
      <x:c r="Z123" s="2" t="s">
        <x:v>114</x:v>
      </x:c>
    </x:row>
    <x:row r="124" ht="40.5">
      <x:c r="A124" s="2">
        <x:v>564</x:v>
      </x:c>
      <x:c r="B124" s="2">
        <x:v>2140702</x:v>
      </x:c>
      <x:c r="C124" s="2">
        <x:v>2263575</x:v>
      </x:c>
      <x:c r="D124" s="2">
        <x:v>166133</x:v>
      </x:c>
      <x:c r="E124" s="2" t="s">
        <x:v>10</x:v>
      </x:c>
      <x:c r="F124" s="2" t="s">
        <x:v>177</x:v>
      </x:c>
      <x:c r="G124" s="2" t="s">
        <x:v>134</x:v>
      </x:c>
      <x:c r="H124" s="2" t="s">
        <x:v>135</x:v>
      </x:c>
      <x:c r="I124" s="2" t="s">
        <x:v>159</x:v>
      </x:c>
      <x:c r="J124" s="2">
        <x:v>2</x:v>
      </x:c>
      <x:c r="K124" s="2" t="s">
        <x:v>126</x:v>
      </x:c>
      <x:c r="L124" s="2" t="s">
        <x:v>120</x:v>
      </x:c>
      <x:c r="M124" s="2"/>
      <x:c r="N124" s="2"/>
      <x:c r="O124" s="2">
        <x:v>67.400000000000006</x:v>
      </x:c>
      <x:c r="P124" s="2">
        <x:v>108.7</x:v>
      </x:c>
      <x:c r="Q124" s="2" t="s">
        <x:v>111</x:v>
      </x:c>
      <x:c r="R124" s="2"/>
      <x:c r="S124" s="2" t="s">
        <x:v>111</x:v>
      </x:c>
      <x:c r="T124" s="2">
        <x:v>20</x:v>
      </x:c>
      <x:c r="U124" s="2">
        <x:v>5</x:v>
      </x:c>
      <x:c r="V124" s="2">
        <x:v>6.88</x:v>
      </x:c>
      <x:c r="W124" s="2">
        <x:v>0.5</x:v>
      </x:c>
      <x:c r="X124" s="2" t="s">
        <x:v>188</x:v>
      </x:c>
      <x:c r="Y124" s="2" t="s">
        <x:v>138</x:v>
      </x:c>
      <x:c r="Z124" s="2" t="s">
        <x:v>189</x:v>
      </x:c>
    </x:row>
    <x:row r="125" ht="27">
      <x:c r="A125" s="2">
        <x:v>565</x:v>
      </x:c>
      <x:c r="B125" s="2">
        <x:v>1312986</x:v>
      </x:c>
      <x:c r="C125" s="2">
        <x:v>770482</x:v>
      </x:c>
      <x:c r="D125" s="2">
        <x:v>107036</x:v>
      </x:c>
      <x:c r="E125" s="2" t="s">
        <x:v>10</x:v>
      </x:c>
      <x:c r="F125" s="2" t="s">
        <x:v>177</x:v>
      </x:c>
      <x:c r="G125" s="2" t="s">
        <x:v>150</x:v>
      </x:c>
      <x:c r="H125" s="2" t="s">
        <x:v>135</x:v>
      </x:c>
      <x:c r="I125" s="2" t="s">
        <x:v>125</x:v>
      </x:c>
      <x:c r="J125" s="2">
        <x:v>4</x:v>
      </x:c>
      <x:c r="K125" s="2" t="s">
        <x:v>117</x:v>
      </x:c>
      <x:c r="L125" s="2" t="s">
        <x:v>120</x:v>
      </x:c>
      <x:c r="M125" s="2"/>
      <x:c r="N125" s="2">
        <x:v>111</x:v>
      </x:c>
      <x:c r="O125" s="2">
        <x:v>93.4</x:v>
      </x:c>
      <x:c r="P125" s="2">
        <x:v>131</x:v>
      </x:c>
      <x:c r="Q125" s="2" t="s">
        <x:v>111</x:v>
      </x:c>
      <x:c r="R125" s="2">
        <x:v>111</x:v>
      </x:c>
      <x:c r="S125" s="2" t="s">
        <x:v>111</x:v>
      </x:c>
      <x:c r="T125" s="2"/>
      <x:c r="U125" s="2">
        <x:v>10</x:v>
      </x:c>
      <x:c r="V125" s="2"/>
      <x:c r="W125" s="2"/>
      <x:c r="X125" s="2" t="s">
        <x:v>186</x:v>
      </x:c>
      <x:c r="Y125" s="2" t="s">
        <x:v>138</x:v>
      </x:c>
      <x:c r="Z125" s="2" t="s">
        <x:v>187</x:v>
      </x:c>
    </x:row>
    <x:row r="126" ht="40.5">
      <x:c r="A126" s="2">
        <x:v>566</x:v>
      </x:c>
      <x:c r="B126" s="2">
        <x:v>2140693</x:v>
      </x:c>
      <x:c r="C126" s="2">
        <x:v>2263539</x:v>
      </x:c>
      <x:c r="D126" s="2">
        <x:v>166133</x:v>
      </x:c>
      <x:c r="E126" s="2" t="s">
        <x:v>10</x:v>
      </x:c>
      <x:c r="F126" s="2" t="s">
        <x:v>177</x:v>
      </x:c>
      <x:c r="G126" s="2" t="s">
        <x:v>134</x:v>
      </x:c>
      <x:c r="H126" s="2" t="s">
        <x:v>135</x:v>
      </x:c>
      <x:c r="I126" s="2" t="s">
        <x:v>159</x:v>
      </x:c>
      <x:c r="J126" s="2">
        <x:v>2</x:v>
      </x:c>
      <x:c r="K126" s="2" t="s">
        <x:v>126</x:v>
      </x:c>
      <x:c r="L126" s="2" t="s">
        <x:v>120</x:v>
      </x:c>
      <x:c r="M126" s="2"/>
      <x:c r="N126" s="2"/>
      <x:c r="O126" s="2">
        <x:v>108.7</x:v>
      </x:c>
      <x:c r="P126" s="2">
        <x:v>200</x:v>
      </x:c>
      <x:c r="Q126" s="2" t="s">
        <x:v>111</x:v>
      </x:c>
      <x:c r="R126" s="2"/>
      <x:c r="S126" s="2" t="s">
        <x:v>111</x:v>
      </x:c>
      <x:c r="T126" s="2">
        <x:v>20</x:v>
      </x:c>
      <x:c r="U126" s="2">
        <x:v>15</x:v>
      </x:c>
      <x:c r="V126" s="2">
        <x:v>7.21</x:v>
      </x:c>
      <x:c r="W126" s="2">
        <x:v>1.4</x:v>
      </x:c>
      <x:c r="X126" s="2" t="s">
        <x:v>188</x:v>
      </x:c>
      <x:c r="Y126" s="2" t="s">
        <x:v>138</x:v>
      </x:c>
      <x:c r="Z126" s="2" t="s">
        <x:v>189</x:v>
      </x:c>
    </x:row>
    <x:row r="127" ht="40.5">
      <x:c r="A127" s="2">
        <x:v>567</x:v>
      </x:c>
      <x:c r="B127" s="2">
        <x:v>1300832</x:v>
      </x:c>
      <x:c r="C127" s="2">
        <x:v>756507</x:v>
      </x:c>
      <x:c r="D127" s="2">
        <x:v>115854</x:v>
      </x:c>
      <x:c r="E127" s="2" t="s">
        <x:v>10</x:v>
      </x:c>
      <x:c r="F127" s="2" t="s">
        <x:v>177</x:v>
      </x:c>
      <x:c r="G127" s="2" t="s">
        <x:v>106</x:v>
      </x:c>
      <x:c r="H127" s="2" t="s">
        <x:v>107</x:v>
      </x:c>
      <x:c r="I127" s="2" t="s">
        <x:v>108</x:v>
      </x:c>
      <x:c r="J127" s="2">
        <x:v>4</x:v>
      </x:c>
      <x:c r="K127" s="2" t="s">
        <x:v>109</x:v>
      </x:c>
      <x:c r="L127" s="2" t="s">
        <x:v>110</x:v>
      </x:c>
      <x:c r="M127" s="2"/>
      <x:c r="N127" s="2">
        <x:v>813</x:v>
      </x:c>
      <x:c r="O127" s="2"/>
      <x:c r="P127" s="2"/>
      <x:c r="Q127" s="2" t="s">
        <x:v>111</x:v>
      </x:c>
      <x:c r="R127" s="2">
        <x:v>813</x:v>
      </x:c>
      <x:c r="S127" s="2" t="s">
        <x:v>111</x:v>
      </x:c>
      <x:c r="T127" s="2">
        <x:v>25</x:v>
      </x:c>
      <x:c r="U127" s="2">
        <x:v>33</x:v>
      </x:c>
      <x:c r="V127" s="2"/>
      <x:c r="W127" s="2"/>
      <x:c r="X127" s="2" t="s">
        <x:v>112</x:v>
      </x:c>
      <x:c r="Y127" s="2" t="s">
        <x:v>113</x:v>
      </x:c>
      <x:c r="Z127" s="2" t="s">
        <x:v>114</x:v>
      </x:c>
    </x:row>
    <x:row r="128" ht="40.5">
      <x:c r="A128" s="2">
        <x:v>568</x:v>
      </x:c>
      <x:c r="B128" s="2">
        <x:v>2140673</x:v>
      </x:c>
      <x:c r="C128" s="2">
        <x:v>2263518</x:v>
      </x:c>
      <x:c r="D128" s="2">
        <x:v>166133</x:v>
      </x:c>
      <x:c r="E128" s="2" t="s">
        <x:v>10</x:v>
      </x:c>
      <x:c r="F128" s="2" t="s">
        <x:v>177</x:v>
      </x:c>
      <x:c r="G128" s="2" t="s">
        <x:v>134</x:v>
      </x:c>
      <x:c r="H128" s="2" t="s">
        <x:v>135</x:v>
      </x:c>
      <x:c r="I128" s="2" t="s">
        <x:v>159</x:v>
      </x:c>
      <x:c r="J128" s="2">
        <x:v>2</x:v>
      </x:c>
      <x:c r="K128" s="2" t="s">
        <x:v>126</x:v>
      </x:c>
      <x:c r="L128" s="2" t="s">
        <x:v>120</x:v>
      </x:c>
      <x:c r="M128" s="2"/>
      <x:c r="N128" s="2"/>
      <x:c r="O128" s="2">
        <x:v>108.7</x:v>
      </x:c>
      <x:c r="P128" s="2">
        <x:v>200</x:v>
      </x:c>
      <x:c r="Q128" s="2" t="s">
        <x:v>111</x:v>
      </x:c>
      <x:c r="R128" s="2"/>
      <x:c r="S128" s="2" t="s">
        <x:v>111</x:v>
      </x:c>
      <x:c r="T128" s="2">
        <x:v>20</x:v>
      </x:c>
      <x:c r="U128" s="2">
        <x:v>15</x:v>
      </x:c>
      <x:c r="V128" s="2">
        <x:v>7.21</x:v>
      </x:c>
      <x:c r="W128" s="2">
        <x:v>0.6</x:v>
      </x:c>
      <x:c r="X128" s="2" t="s">
        <x:v>188</x:v>
      </x:c>
      <x:c r="Y128" s="2" t="s">
        <x:v>138</x:v>
      </x:c>
      <x:c r="Z128" s="2" t="s">
        <x:v>189</x:v>
      </x:c>
    </x:row>
    <x:row r="129" ht="40.5">
      <x:c r="A129" s="2">
        <x:v>569</x:v>
      </x:c>
      <x:c r="B129" s="2">
        <x:v>2140685</x:v>
      </x:c>
      <x:c r="C129" s="2">
        <x:v>2263532</x:v>
      </x:c>
      <x:c r="D129" s="2">
        <x:v>166133</x:v>
      </x:c>
      <x:c r="E129" s="2" t="s">
        <x:v>10</x:v>
      </x:c>
      <x:c r="F129" s="2" t="s">
        <x:v>177</x:v>
      </x:c>
      <x:c r="G129" s="2" t="s">
        <x:v>134</x:v>
      </x:c>
      <x:c r="H129" s="2" t="s">
        <x:v>135</x:v>
      </x:c>
      <x:c r="I129" s="2" t="s">
        <x:v>159</x:v>
      </x:c>
      <x:c r="J129" s="2">
        <x:v>2</x:v>
      </x:c>
      <x:c r="K129" s="2" t="s">
        <x:v>126</x:v>
      </x:c>
      <x:c r="L129" s="2" t="s">
        <x:v>120</x:v>
      </x:c>
      <x:c r="M129" s="2"/>
      <x:c r="N129" s="2"/>
      <x:c r="O129" s="2">
        <x:v>300</x:v>
      </x:c>
      <x:c r="P129" s="2">
        <x:v>400</x:v>
      </x:c>
      <x:c r="Q129" s="2" t="s">
        <x:v>111</x:v>
      </x:c>
      <x:c r="R129" s="2"/>
      <x:c r="S129" s="2" t="s">
        <x:v>111</x:v>
      </x:c>
      <x:c r="T129" s="2">
        <x:v>20</x:v>
      </x:c>
      <x:c r="U129" s="2">
        <x:v>15</x:v>
      </x:c>
      <x:c r="V129" s="2">
        <x:v>7.21</x:v>
      </x:c>
      <x:c r="W129" s="2">
        <x:v>10.5</x:v>
      </x:c>
      <x:c r="X129" s="2" t="s">
        <x:v>188</x:v>
      </x:c>
      <x:c r="Y129" s="2" t="s">
        <x:v>138</x:v>
      </x:c>
      <x:c r="Z129" s="2" t="s">
        <x:v>189</x:v>
      </x:c>
    </x:row>
    <x:row r="130" ht="40.5">
      <x:c r="A130" s="2">
        <x:v>570</x:v>
      </x:c>
      <x:c r="B130" s="2">
        <x:v>2140680</x:v>
      </x:c>
      <x:c r="C130" s="2">
        <x:v>2263527</x:v>
      </x:c>
      <x:c r="D130" s="2">
        <x:v>166133</x:v>
      </x:c>
      <x:c r="E130" s="2" t="s">
        <x:v>10</x:v>
      </x:c>
      <x:c r="F130" s="2" t="s">
        <x:v>177</x:v>
      </x:c>
      <x:c r="G130" s="2" t="s">
        <x:v>134</x:v>
      </x:c>
      <x:c r="H130" s="2" t="s">
        <x:v>135</x:v>
      </x:c>
      <x:c r="I130" s="2" t="s">
        <x:v>159</x:v>
      </x:c>
      <x:c r="J130" s="2">
        <x:v>2</x:v>
      </x:c>
      <x:c r="K130" s="2" t="s">
        <x:v>126</x:v>
      </x:c>
      <x:c r="L130" s="2" t="s">
        <x:v>120</x:v>
      </x:c>
      <x:c r="M130" s="2"/>
      <x:c r="N130" s="2"/>
      <x:c r="O130" s="2">
        <x:v>67.400000000000006</x:v>
      </x:c>
      <x:c r="P130" s="2">
        <x:v>108.7</x:v>
      </x:c>
      <x:c r="Q130" s="2" t="s">
        <x:v>111</x:v>
      </x:c>
      <x:c r="R130" s="2"/>
      <x:c r="S130" s="2" t="s">
        <x:v>111</x:v>
      </x:c>
      <x:c r="T130" s="2">
        <x:v>20</x:v>
      </x:c>
      <x:c r="U130" s="2">
        <x:v>5</x:v>
      </x:c>
      <x:c r="V130" s="2">
        <x:v>6.88</x:v>
      </x:c>
      <x:c r="W130" s="2">
        <x:v>2.5</x:v>
      </x:c>
      <x:c r="X130" s="2" t="s">
        <x:v>188</x:v>
      </x:c>
      <x:c r="Y130" s="2" t="s">
        <x:v>138</x:v>
      </x:c>
      <x:c r="Z130" s="2" t="s">
        <x:v>189</x:v>
      </x:c>
    </x:row>
    <x:row r="131" ht="40.5">
      <x:c r="A131" s="2">
        <x:v>571</x:v>
      </x:c>
      <x:c r="B131" s="2">
        <x:v>2140675</x:v>
      </x:c>
      <x:c r="C131" s="2">
        <x:v>2263520</x:v>
      </x:c>
      <x:c r="D131" s="2">
        <x:v>166133</x:v>
      </x:c>
      <x:c r="E131" s="2" t="s">
        <x:v>10</x:v>
      </x:c>
      <x:c r="F131" s="2" t="s">
        <x:v>177</x:v>
      </x:c>
      <x:c r="G131" s="2" t="s">
        <x:v>134</x:v>
      </x:c>
      <x:c r="H131" s="2" t="s">
        <x:v>135</x:v>
      </x:c>
      <x:c r="I131" s="2" t="s">
        <x:v>159</x:v>
      </x:c>
      <x:c r="J131" s="2">
        <x:v>2</x:v>
      </x:c>
      <x:c r="K131" s="2" t="s">
        <x:v>126</x:v>
      </x:c>
      <x:c r="L131" s="2" t="s">
        <x:v>120</x:v>
      </x:c>
      <x:c r="M131" s="2"/>
      <x:c r="N131" s="2"/>
      <x:c r="O131" s="2">
        <x:v>108.7</x:v>
      </x:c>
      <x:c r="P131" s="2">
        <x:v>200</x:v>
      </x:c>
      <x:c r="Q131" s="2" t="s">
        <x:v>111</x:v>
      </x:c>
      <x:c r="R131" s="2"/>
      <x:c r="S131" s="2" t="s">
        <x:v>111</x:v>
      </x:c>
      <x:c r="T131" s="2">
        <x:v>20</x:v>
      </x:c>
      <x:c r="U131" s="2">
        <x:v>15</x:v>
      </x:c>
      <x:c r="V131" s="2">
        <x:v>7.21</x:v>
      </x:c>
      <x:c r="W131" s="2">
        <x:v>4.3</x:v>
      </x:c>
      <x:c r="X131" s="2" t="s">
        <x:v>188</x:v>
      </x:c>
      <x:c r="Y131" s="2" t="s">
        <x:v>138</x:v>
      </x:c>
      <x:c r="Z131" s="2" t="s">
        <x:v>189</x:v>
      </x:c>
    </x:row>
    <x:row r="132" ht="40.5">
      <x:c r="A132" s="2">
        <x:v>573</x:v>
      </x:c>
      <x:c r="B132" s="2">
        <x:v>2140692</x:v>
      </x:c>
      <x:c r="C132" s="2">
        <x:v>2263538</x:v>
      </x:c>
      <x:c r="D132" s="2">
        <x:v>166133</x:v>
      </x:c>
      <x:c r="E132" s="2" t="s">
        <x:v>10</x:v>
      </x:c>
      <x:c r="F132" s="2" t="s">
        <x:v>177</x:v>
      </x:c>
      <x:c r="G132" s="2" t="s">
        <x:v>134</x:v>
      </x:c>
      <x:c r="H132" s="2" t="s">
        <x:v>135</x:v>
      </x:c>
      <x:c r="I132" s="2" t="s">
        <x:v>159</x:v>
      </x:c>
      <x:c r="J132" s="2">
        <x:v>2</x:v>
      </x:c>
      <x:c r="K132" s="2" t="s">
        <x:v>126</x:v>
      </x:c>
      <x:c r="L132" s="2" t="s">
        <x:v>120</x:v>
      </x:c>
      <x:c r="M132" s="2"/>
      <x:c r="N132" s="2"/>
      <x:c r="O132" s="2">
        <x:v>67.400000000000006</x:v>
      </x:c>
      <x:c r="P132" s="2">
        <x:v>100</x:v>
      </x:c>
      <x:c r="Q132" s="2" t="s">
        <x:v>111</x:v>
      </x:c>
      <x:c r="R132" s="2"/>
      <x:c r="S132" s="2" t="s">
        <x:v>111</x:v>
      </x:c>
      <x:c r="T132" s="2">
        <x:v>20</x:v>
      </x:c>
      <x:c r="U132" s="2">
        <x:v>5</x:v>
      </x:c>
      <x:c r="V132" s="2">
        <x:v>6.88</x:v>
      </x:c>
      <x:c r="W132" s="2">
        <x:v>6.7</x:v>
      </x:c>
      <x:c r="X132" s="2" t="s">
        <x:v>188</x:v>
      </x:c>
      <x:c r="Y132" s="2" t="s">
        <x:v>138</x:v>
      </x:c>
      <x:c r="Z132" s="2" t="s">
        <x:v>189</x:v>
      </x:c>
    </x:row>
    <x:row r="133" ht="40.5">
      <x:c r="A133" s="2">
        <x:v>574</x:v>
      </x:c>
      <x:c r="B133" s="2">
        <x:v>2140677</x:v>
      </x:c>
      <x:c r="C133" s="2">
        <x:v>2263525</x:v>
      </x:c>
      <x:c r="D133" s="2">
        <x:v>166133</x:v>
      </x:c>
      <x:c r="E133" s="2" t="s">
        <x:v>10</x:v>
      </x:c>
      <x:c r="F133" s="2" t="s">
        <x:v>177</x:v>
      </x:c>
      <x:c r="G133" s="2" t="s">
        <x:v>134</x:v>
      </x:c>
      <x:c r="H133" s="2" t="s">
        <x:v>135</x:v>
      </x:c>
      <x:c r="I133" s="2" t="s">
        <x:v>159</x:v>
      </x:c>
      <x:c r="J133" s="2">
        <x:v>2</x:v>
      </x:c>
      <x:c r="K133" s="2" t="s">
        <x:v>126</x:v>
      </x:c>
      <x:c r="L133" s="2" t="s">
        <x:v>120</x:v>
      </x:c>
      <x:c r="M133" s="2"/>
      <x:c r="N133" s="2"/>
      <x:c r="O133" s="2">
        <x:v>41.8</x:v>
      </x:c>
      <x:c r="P133" s="2">
        <x:v>67.400000000000006</x:v>
      </x:c>
      <x:c r="Q133" s="2" t="s">
        <x:v>111</x:v>
      </x:c>
      <x:c r="R133" s="2"/>
      <x:c r="S133" s="2" t="s">
        <x:v>111</x:v>
      </x:c>
      <x:c r="T133" s="2">
        <x:v>20</x:v>
      </x:c>
      <x:c r="U133" s="2">
        <x:v>30</x:v>
      </x:c>
      <x:c r="V133" s="2">
        <x:v>7.49</x:v>
      </x:c>
      <x:c r="W133" s="2">
        <x:v>1.6</x:v>
      </x:c>
      <x:c r="X133" s="2" t="s">
        <x:v>188</x:v>
      </x:c>
      <x:c r="Y133" s="2" t="s">
        <x:v>138</x:v>
      </x:c>
      <x:c r="Z133" s="2" t="s">
        <x:v>189</x:v>
      </x:c>
    </x:row>
    <x:row r="134" ht="27">
      <x:c r="A134" s="2">
        <x:v>576</x:v>
      </x:c>
      <x:c r="B134" s="2">
        <x:v>1312981</x:v>
      </x:c>
      <x:c r="C134" s="2">
        <x:v>770477</x:v>
      </x:c>
      <x:c r="D134" s="2">
        <x:v>107036</x:v>
      </x:c>
      <x:c r="E134" s="2" t="s">
        <x:v>10</x:v>
      </x:c>
      <x:c r="F134" s="2" t="s">
        <x:v>177</x:v>
      </x:c>
      <x:c r="G134" s="2" t="s">
        <x:v>150</x:v>
      </x:c>
      <x:c r="H134" s="2" t="s">
        <x:v>135</x:v>
      </x:c>
      <x:c r="I134" s="2" t="s">
        <x:v>125</x:v>
      </x:c>
      <x:c r="J134" s="2">
        <x:v>4</x:v>
      </x:c>
      <x:c r="K134" s="2" t="s">
        <x:v>117</x:v>
      </x:c>
      <x:c r="L134" s="2" t="s">
        <x:v>120</x:v>
      </x:c>
      <x:c r="M134" s="2"/>
      <x:c r="N134" s="2">
        <x:v>58.1</x:v>
      </x:c>
      <x:c r="O134" s="2">
        <x:v>52</x:v>
      </x:c>
      <x:c r="P134" s="2">
        <x:v>64.900000000000006</x:v>
      </x:c>
      <x:c r="Q134" s="2" t="s">
        <x:v>111</x:v>
      </x:c>
      <x:c r="R134" s="2">
        <x:v>58.1</x:v>
      </x:c>
      <x:c r="S134" s="2" t="s">
        <x:v>111</x:v>
      </x:c>
      <x:c r="T134" s="2">
        <x:v>25</x:v>
      </x:c>
      <x:c r="U134" s="2">
        <x:v>25</x:v>
      </x:c>
      <x:c r="V134" s="2"/>
      <x:c r="W134" s="2"/>
      <x:c r="X134" s="2" t="s">
        <x:v>186</x:v>
      </x:c>
      <x:c r="Y134" s="2" t="s">
        <x:v>113</x:v>
      </x:c>
      <x:c r="Z134" s="2" t="s">
        <x:v>114</x:v>
      </x:c>
    </x:row>
    <x:row r="135" ht="40.5">
      <x:c r="A135" s="2">
        <x:v>577</x:v>
      </x:c>
      <x:c r="B135" s="2">
        <x:v>2140665</x:v>
      </x:c>
      <x:c r="C135" s="2">
        <x:v>2263492</x:v>
      </x:c>
      <x:c r="D135" s="2">
        <x:v>166133</x:v>
      </x:c>
      <x:c r="E135" s="2" t="s">
        <x:v>10</x:v>
      </x:c>
      <x:c r="F135" s="2" t="s">
        <x:v>177</x:v>
      </x:c>
      <x:c r="G135" s="2" t="s">
        <x:v>134</x:v>
      </x:c>
      <x:c r="H135" s="2" t="s">
        <x:v>135</x:v>
      </x:c>
      <x:c r="I135" s="2" t="s">
        <x:v>159</x:v>
      </x:c>
      <x:c r="J135" s="2">
        <x:v>2</x:v>
      </x:c>
      <x:c r="K135" s="2" t="s">
        <x:v>126</x:v>
      </x:c>
      <x:c r="L135" s="2" t="s">
        <x:v>120</x:v>
      </x:c>
      <x:c r="M135" s="2"/>
      <x:c r="N135" s="2">
        <x:v>108.7</x:v>
      </x:c>
      <x:c r="O135" s="2">
        <x:v>79.3</x:v>
      </x:c>
      <x:c r="P135" s="2">
        <x:v>128.19999999999999</x:v>
      </x:c>
      <x:c r="Q135" s="2" t="s">
        <x:v>111</x:v>
      </x:c>
      <x:c r="R135" s="2">
        <x:v>108.7</x:v>
      </x:c>
      <x:c r="S135" s="2" t="s">
        <x:v>111</x:v>
      </x:c>
      <x:c r="T135" s="2">
        <x:v>20</x:v>
      </x:c>
      <x:c r="U135" s="2">
        <x:v>30</x:v>
      </x:c>
      <x:c r="V135" s="2">
        <x:v>7.49</x:v>
      </x:c>
      <x:c r="W135" s="2">
        <x:v>0.1</x:v>
      </x:c>
      <x:c r="X135" s="2" t="s">
        <x:v>188</x:v>
      </x:c>
      <x:c r="Y135" s="2" t="s">
        <x:v>113</x:v>
      </x:c>
      <x:c r="Z135" s="2" t="s">
        <x:v>114</x:v>
      </x:c>
    </x:row>
    <x:row r="136" ht="40.5">
      <x:c r="A136" s="2">
        <x:v>578</x:v>
      </x:c>
      <x:c r="B136" s="2">
        <x:v>2140694</x:v>
      </x:c>
      <x:c r="C136" s="2">
        <x:v>2263540</x:v>
      </x:c>
      <x:c r="D136" s="2">
        <x:v>166133</x:v>
      </x:c>
      <x:c r="E136" s="2" t="s">
        <x:v>10</x:v>
      </x:c>
      <x:c r="F136" s="2" t="s">
        <x:v>177</x:v>
      </x:c>
      <x:c r="G136" s="2" t="s">
        <x:v>134</x:v>
      </x:c>
      <x:c r="H136" s="2" t="s">
        <x:v>135</x:v>
      </x:c>
      <x:c r="I136" s="2" t="s">
        <x:v>159</x:v>
      </x:c>
      <x:c r="J136" s="2">
        <x:v>2</x:v>
      </x:c>
      <x:c r="K136" s="2" t="s">
        <x:v>126</x:v>
      </x:c>
      <x:c r="L136" s="2" t="s">
        <x:v>120</x:v>
      </x:c>
      <x:c r="M136" s="2"/>
      <x:c r="N136" s="2"/>
      <x:c r="O136" s="2">
        <x:v>108.7</x:v>
      </x:c>
      <x:c r="P136" s="2">
        <x:v>200</x:v>
      </x:c>
      <x:c r="Q136" s="2" t="s">
        <x:v>111</x:v>
      </x:c>
      <x:c r="R136" s="2"/>
      <x:c r="S136" s="2" t="s">
        <x:v>111</x:v>
      </x:c>
      <x:c r="T136" s="2">
        <x:v>20</x:v>
      </x:c>
      <x:c r="U136" s="2">
        <x:v>15</x:v>
      </x:c>
      <x:c r="V136" s="2">
        <x:v>7.21</x:v>
      </x:c>
      <x:c r="W136" s="2">
        <x:v>3.2</x:v>
      </x:c>
      <x:c r="X136" s="2" t="s">
        <x:v>188</x:v>
      </x:c>
      <x:c r="Y136" s="2" t="s">
        <x:v>138</x:v>
      </x:c>
      <x:c r="Z136" s="2" t="s">
        <x:v>189</x:v>
      </x:c>
    </x:row>
    <x:row r="137" ht="40.5">
      <x:c r="A137" s="2">
        <x:v>579</x:v>
      </x:c>
      <x:c r="B137" s="2">
        <x:v>2140682</x:v>
      </x:c>
      <x:c r="C137" s="2">
        <x:v>2263529</x:v>
      </x:c>
      <x:c r="D137" s="2">
        <x:v>166133</x:v>
      </x:c>
      <x:c r="E137" s="2" t="s">
        <x:v>10</x:v>
      </x:c>
      <x:c r="F137" s="2" t="s">
        <x:v>177</x:v>
      </x:c>
      <x:c r="G137" s="2" t="s">
        <x:v>134</x:v>
      </x:c>
      <x:c r="H137" s="2" t="s">
        <x:v>135</x:v>
      </x:c>
      <x:c r="I137" s="2" t="s">
        <x:v>159</x:v>
      </x:c>
      <x:c r="J137" s="2">
        <x:v>2</x:v>
      </x:c>
      <x:c r="K137" s="2" t="s">
        <x:v>126</x:v>
      </x:c>
      <x:c r="L137" s="2" t="s">
        <x:v>120</x:v>
      </x:c>
      <x:c r="M137" s="2"/>
      <x:c r="N137" s="2"/>
      <x:c r="O137" s="2">
        <x:v>200</x:v>
      </x:c>
      <x:c r="P137" s="2">
        <x:v>300</x:v>
      </x:c>
      <x:c r="Q137" s="2" t="s">
        <x:v>111</x:v>
      </x:c>
      <x:c r="R137" s="2"/>
      <x:c r="S137" s="2" t="s">
        <x:v>111</x:v>
      </x:c>
      <x:c r="T137" s="2">
        <x:v>20</x:v>
      </x:c>
      <x:c r="U137" s="2">
        <x:v>5</x:v>
      </x:c>
      <x:c r="V137" s="2">
        <x:v>6.88</x:v>
      </x:c>
      <x:c r="W137" s="2">
        <x:v>10.5</x:v>
      </x:c>
      <x:c r="X137" s="2" t="s">
        <x:v>188</x:v>
      </x:c>
      <x:c r="Y137" s="2" t="s">
        <x:v>138</x:v>
      </x:c>
      <x:c r="Z137" s="2" t="s">
        <x:v>189</x:v>
      </x:c>
    </x:row>
    <x:row r="138" ht="40.5">
      <x:c r="A138" s="2">
        <x:v>580</x:v>
      </x:c>
      <x:c r="B138" s="2">
        <x:v>2140674</x:v>
      </x:c>
      <x:c r="C138" s="2">
        <x:v>2263519</x:v>
      </x:c>
      <x:c r="D138" s="2">
        <x:v>166133</x:v>
      </x:c>
      <x:c r="E138" s="2" t="s">
        <x:v>10</x:v>
      </x:c>
      <x:c r="F138" s="2" t="s">
        <x:v>177</x:v>
      </x:c>
      <x:c r="G138" s="2" t="s">
        <x:v>134</x:v>
      </x:c>
      <x:c r="H138" s="2" t="s">
        <x:v>135</x:v>
      </x:c>
      <x:c r="I138" s="2" t="s">
        <x:v>159</x:v>
      </x:c>
      <x:c r="J138" s="2">
        <x:v>2</x:v>
      </x:c>
      <x:c r="K138" s="2" t="s">
        <x:v>126</x:v>
      </x:c>
      <x:c r="L138" s="2" t="s">
        <x:v>120</x:v>
      </x:c>
      <x:c r="M138" s="2"/>
      <x:c r="N138" s="2"/>
      <x:c r="O138" s="2">
        <x:v>108.7</x:v>
      </x:c>
      <x:c r="P138" s="2">
        <x:v>200</x:v>
      </x:c>
      <x:c r="Q138" s="2" t="s">
        <x:v>111</x:v>
      </x:c>
      <x:c r="R138" s="2"/>
      <x:c r="S138" s="2" t="s">
        <x:v>111</x:v>
      </x:c>
      <x:c r="T138" s="2">
        <x:v>20</x:v>
      </x:c>
      <x:c r="U138" s="2">
        <x:v>15</x:v>
      </x:c>
      <x:c r="V138" s="2">
        <x:v>7.21</x:v>
      </x:c>
      <x:c r="W138" s="2">
        <x:v>1.6</x:v>
      </x:c>
      <x:c r="X138" s="2" t="s">
        <x:v>188</x:v>
      </x:c>
      <x:c r="Y138" s="2" t="s">
        <x:v>138</x:v>
      </x:c>
      <x:c r="Z138" s="2" t="s">
        <x:v>189</x:v>
      </x:c>
    </x:row>
    <x:row r="139" ht="40.5">
      <x:c r="A139" s="2">
        <x:v>581</x:v>
      </x:c>
      <x:c r="B139" s="2">
        <x:v>2140689</x:v>
      </x:c>
      <x:c r="C139" s="2">
        <x:v>2263535</x:v>
      </x:c>
      <x:c r="D139" s="2">
        <x:v>166133</x:v>
      </x:c>
      <x:c r="E139" s="2" t="s">
        <x:v>10</x:v>
      </x:c>
      <x:c r="F139" s="2" t="s">
        <x:v>177</x:v>
      </x:c>
      <x:c r="G139" s="2" t="s">
        <x:v>134</x:v>
      </x:c>
      <x:c r="H139" s="2" t="s">
        <x:v>135</x:v>
      </x:c>
      <x:c r="I139" s="2" t="s">
        <x:v>159</x:v>
      </x:c>
      <x:c r="J139" s="2">
        <x:v>2</x:v>
      </x:c>
      <x:c r="K139" s="2" t="s">
        <x:v>126</x:v>
      </x:c>
      <x:c r="L139" s="2" t="s">
        <x:v>120</x:v>
      </x:c>
      <x:c r="M139" s="2"/>
      <x:c r="N139" s="2"/>
      <x:c r="O139" s="2">
        <x:v>300</x:v>
      </x:c>
      <x:c r="P139" s="2">
        <x:v>400</x:v>
      </x:c>
      <x:c r="Q139" s="2" t="s">
        <x:v>111</x:v>
      </x:c>
      <x:c r="R139" s="2"/>
      <x:c r="S139" s="2" t="s">
        <x:v>111</x:v>
      </x:c>
      <x:c r="T139" s="2">
        <x:v>20</x:v>
      </x:c>
      <x:c r="U139" s="2">
        <x:v>30</x:v>
      </x:c>
      <x:c r="V139" s="2">
        <x:v>7.49</x:v>
      </x:c>
      <x:c r="W139" s="2">
        <x:v>10.5</x:v>
      </x:c>
      <x:c r="X139" s="2" t="s">
        <x:v>188</x:v>
      </x:c>
      <x:c r="Y139" s="2" t="s">
        <x:v>138</x:v>
      </x:c>
      <x:c r="Z139" s="2" t="s">
        <x:v>189</x:v>
      </x:c>
    </x:row>
    <x:row r="140" ht="40.5">
      <x:c r="A140" s="2">
        <x:v>582</x:v>
      </x:c>
      <x:c r="B140" s="2">
        <x:v>2140687</x:v>
      </x:c>
      <x:c r="C140" s="2">
        <x:v>2263534</x:v>
      </x:c>
      <x:c r="D140" s="2">
        <x:v>166133</x:v>
      </x:c>
      <x:c r="E140" s="2" t="s">
        <x:v>10</x:v>
      </x:c>
      <x:c r="F140" s="2" t="s">
        <x:v>177</x:v>
      </x:c>
      <x:c r="G140" s="2" t="s">
        <x:v>134</x:v>
      </x:c>
      <x:c r="H140" s="2" t="s">
        <x:v>135</x:v>
      </x:c>
      <x:c r="I140" s="2" t="s">
        <x:v>159</x:v>
      </x:c>
      <x:c r="J140" s="2">
        <x:v>2</x:v>
      </x:c>
      <x:c r="K140" s="2" t="s">
        <x:v>126</x:v>
      </x:c>
      <x:c r="L140" s="2" t="s">
        <x:v>120</x:v>
      </x:c>
      <x:c r="M140" s="2"/>
      <x:c r="N140" s="2"/>
      <x:c r="O140" s="2">
        <x:v>67.400000000000006</x:v>
      </x:c>
      <x:c r="P140" s="2">
        <x:v>108.7</x:v>
      </x:c>
      <x:c r="Q140" s="2" t="s">
        <x:v>111</x:v>
      </x:c>
      <x:c r="R140" s="2"/>
      <x:c r="S140" s="2" t="s">
        <x:v>111</x:v>
      </x:c>
      <x:c r="T140" s="2">
        <x:v>20</x:v>
      </x:c>
      <x:c r="U140" s="2">
        <x:v>30</x:v>
      </x:c>
      <x:c r="V140" s="2">
        <x:v>7.49</x:v>
      </x:c>
      <x:c r="W140" s="2">
        <x:v>5.4</x:v>
      </x:c>
      <x:c r="X140" s="2" t="s">
        <x:v>188</x:v>
      </x:c>
      <x:c r="Y140" s="2" t="s">
        <x:v>138</x:v>
      </x:c>
      <x:c r="Z140" s="2" t="s">
        <x:v>189</x:v>
      </x:c>
    </x:row>
    <x:row r="141" ht="40.5">
      <x:c r="A141" s="2">
        <x:v>583</x:v>
      </x:c>
      <x:c r="B141" s="2">
        <x:v>2140697</x:v>
      </x:c>
      <x:c r="C141" s="2">
        <x:v>2263543</x:v>
      </x:c>
      <x:c r="D141" s="2">
        <x:v>166133</x:v>
      </x:c>
      <x:c r="E141" s="2" t="s">
        <x:v>10</x:v>
      </x:c>
      <x:c r="F141" s="2" t="s">
        <x:v>177</x:v>
      </x:c>
      <x:c r="G141" s="2" t="s">
        <x:v>134</x:v>
      </x:c>
      <x:c r="H141" s="2" t="s">
        <x:v>135</x:v>
      </x:c>
      <x:c r="I141" s="2" t="s">
        <x:v>159</x:v>
      </x:c>
      <x:c r="J141" s="2">
        <x:v>2</x:v>
      </x:c>
      <x:c r="K141" s="2" t="s">
        <x:v>126</x:v>
      </x:c>
      <x:c r="L141" s="2" t="s">
        <x:v>120</x:v>
      </x:c>
      <x:c r="M141" s="2"/>
      <x:c r="N141" s="2"/>
      <x:c r="O141" s="2">
        <x:v>108.7</x:v>
      </x:c>
      <x:c r="P141" s="2">
        <x:v>200</x:v>
      </x:c>
      <x:c r="Q141" s="2" t="s">
        <x:v>111</x:v>
      </x:c>
      <x:c r="R141" s="2"/>
      <x:c r="S141" s="2" t="s">
        <x:v>111</x:v>
      </x:c>
      <x:c r="T141" s="2">
        <x:v>20</x:v>
      </x:c>
      <x:c r="U141" s="2">
        <x:v>30</x:v>
      </x:c>
      <x:c r="V141" s="2">
        <x:v>7.49</x:v>
      </x:c>
      <x:c r="W141" s="2">
        <x:v>3.2</x:v>
      </x:c>
      <x:c r="X141" s="2" t="s">
        <x:v>188</x:v>
      </x:c>
      <x:c r="Y141" s="2" t="s">
        <x:v>138</x:v>
      </x:c>
      <x:c r="Z141" s="2" t="s">
        <x:v>189</x:v>
      </x:c>
    </x:row>
    <x:row r="142" ht="40.5">
      <x:c r="A142" s="2">
        <x:v>584</x:v>
      </x:c>
      <x:c r="B142" s="2">
        <x:v>2140661</x:v>
      </x:c>
      <x:c r="C142" s="2">
        <x:v>2263489</x:v>
      </x:c>
      <x:c r="D142" s="2">
        <x:v>166133</x:v>
      </x:c>
      <x:c r="E142" s="2" t="s">
        <x:v>10</x:v>
      </x:c>
      <x:c r="F142" s="2" t="s">
        <x:v>177</x:v>
      </x:c>
      <x:c r="G142" s="2" t="s">
        <x:v>134</x:v>
      </x:c>
      <x:c r="H142" s="2" t="s">
        <x:v>135</x:v>
      </x:c>
      <x:c r="I142" s="2" t="s">
        <x:v>159</x:v>
      </x:c>
      <x:c r="J142" s="2">
        <x:v>2</x:v>
      </x:c>
      <x:c r="K142" s="2" t="s">
        <x:v>126</x:v>
      </x:c>
      <x:c r="L142" s="2" t="s">
        <x:v>120</x:v>
      </x:c>
      <x:c r="M142" s="2"/>
      <x:c r="N142" s="2">
        <x:v>41.8</x:v>
      </x:c>
      <x:c r="O142" s="2">
        <x:v>33.200000000000003</x:v>
      </x:c>
      <x:c r="P142" s="2">
        <x:v>52.2</x:v>
      </x:c>
      <x:c r="Q142" s="2" t="s">
        <x:v>111</x:v>
      </x:c>
      <x:c r="R142" s="2">
        <x:v>41.8</x:v>
      </x:c>
      <x:c r="S142" s="2" t="s">
        <x:v>111</x:v>
      </x:c>
      <x:c r="T142" s="2">
        <x:v>20</x:v>
      </x:c>
      <x:c r="U142" s="2">
        <x:v>5</x:v>
      </x:c>
      <x:c r="V142" s="2">
        <x:v>6.88</x:v>
      </x:c>
      <x:c r="W142" s="2">
        <x:v>0.1</x:v>
      </x:c>
      <x:c r="X142" s="2" t="s">
        <x:v>188</x:v>
      </x:c>
      <x:c r="Y142" s="2" t="s">
        <x:v>113</x:v>
      </x:c>
      <x:c r="Z142" s="2" t="s">
        <x:v>114</x:v>
      </x:c>
    </x:row>
    <x:row r="143" ht="40.5">
      <x:c r="A143" s="2">
        <x:v>585</x:v>
      </x:c>
      <x:c r="B143" s="2">
        <x:v>2140691</x:v>
      </x:c>
      <x:c r="C143" s="2">
        <x:v>2263537</x:v>
      </x:c>
      <x:c r="D143" s="2">
        <x:v>166133</x:v>
      </x:c>
      <x:c r="E143" s="2" t="s">
        <x:v>10</x:v>
      </x:c>
      <x:c r="F143" s="2" t="s">
        <x:v>177</x:v>
      </x:c>
      <x:c r="G143" s="2" t="s">
        <x:v>134</x:v>
      </x:c>
      <x:c r="H143" s="2" t="s">
        <x:v>135</x:v>
      </x:c>
      <x:c r="I143" s="2" t="s">
        <x:v>159</x:v>
      </x:c>
      <x:c r="J143" s="2">
        <x:v>2</x:v>
      </x:c>
      <x:c r="K143" s="2" t="s">
        <x:v>126</x:v>
      </x:c>
      <x:c r="L143" s="2" t="s">
        <x:v>120</x:v>
      </x:c>
      <x:c r="M143" s="2"/>
      <x:c r="N143" s="2"/>
      <x:c r="O143" s="2">
        <x:v>67.400000000000006</x:v>
      </x:c>
      <x:c r="P143" s="2">
        <x:v>108.7</x:v>
      </x:c>
      <x:c r="Q143" s="2" t="s">
        <x:v>111</x:v>
      </x:c>
      <x:c r="R143" s="2"/>
      <x:c r="S143" s="2" t="s">
        <x:v>111</x:v>
      </x:c>
      <x:c r="T143" s="2">
        <x:v>20</x:v>
      </x:c>
      <x:c r="U143" s="2">
        <x:v>5</x:v>
      </x:c>
      <x:c r="V143" s="2">
        <x:v>6.88</x:v>
      </x:c>
      <x:c r="W143" s="2">
        <x:v>3.2</x:v>
      </x:c>
      <x:c r="X143" s="2" t="s">
        <x:v>188</x:v>
      </x:c>
      <x:c r="Y143" s="2" t="s">
        <x:v>138</x:v>
      </x:c>
      <x:c r="Z143" s="2" t="s">
        <x:v>189</x:v>
      </x:c>
    </x:row>
    <x:row r="144" ht="40.5">
      <x:c r="A144" s="2">
        <x:v>586</x:v>
      </x:c>
      <x:c r="B144" s="2">
        <x:v>2140670</x:v>
      </x:c>
      <x:c r="C144" s="2">
        <x:v>2263515</x:v>
      </x:c>
      <x:c r="D144" s="2">
        <x:v>166133</x:v>
      </x:c>
      <x:c r="E144" s="2" t="s">
        <x:v>10</x:v>
      </x:c>
      <x:c r="F144" s="2" t="s">
        <x:v>177</x:v>
      </x:c>
      <x:c r="G144" s="2" t="s">
        <x:v>134</x:v>
      </x:c>
      <x:c r="H144" s="2" t="s">
        <x:v>135</x:v>
      </x:c>
      <x:c r="I144" s="2" t="s">
        <x:v>159</x:v>
      </x:c>
      <x:c r="J144" s="2">
        <x:v>2</x:v>
      </x:c>
      <x:c r="K144" s="2" t="s">
        <x:v>126</x:v>
      </x:c>
      <x:c r="L144" s="2" t="s">
        <x:v>120</x:v>
      </x:c>
      <x:c r="M144" s="2"/>
      <x:c r="N144" s="2"/>
      <x:c r="O144" s="2">
        <x:v>41.8</x:v>
      </x:c>
      <x:c r="P144" s="2">
        <x:v>67.400000000000006</x:v>
      </x:c>
      <x:c r="Q144" s="2" t="s">
        <x:v>111</x:v>
      </x:c>
      <x:c r="R144" s="2"/>
      <x:c r="S144" s="2" t="s">
        <x:v>111</x:v>
      </x:c>
      <x:c r="T144" s="2">
        <x:v>20</x:v>
      </x:c>
      <x:c r="U144" s="2">
        <x:v>5</x:v>
      </x:c>
      <x:c r="V144" s="2">
        <x:v>6.88</x:v>
      </x:c>
      <x:c r="W144" s="2">
        <x:v>1.6</x:v>
      </x:c>
      <x:c r="X144" s="2" t="s">
        <x:v>188</x:v>
      </x:c>
      <x:c r="Y144" s="2" t="s">
        <x:v>138</x:v>
      </x:c>
      <x:c r="Z144" s="2" t="s">
        <x:v>189</x:v>
      </x:c>
    </x:row>
    <x:row r="145" ht="27">
      <x:c r="A145" s="2">
        <x:v>587</x:v>
      </x:c>
      <x:c r="B145" s="2">
        <x:v>1312987</x:v>
      </x:c>
      <x:c r="C145" s="2">
        <x:v>770483</x:v>
      </x:c>
      <x:c r="D145" s="2">
        <x:v>107036</x:v>
      </x:c>
      <x:c r="E145" s="2" t="s">
        <x:v>10</x:v>
      </x:c>
      <x:c r="F145" s="2" t="s">
        <x:v>177</x:v>
      </x:c>
      <x:c r="G145" s="2" t="s">
        <x:v>150</x:v>
      </x:c>
      <x:c r="H145" s="2" t="s">
        <x:v>135</x:v>
      </x:c>
      <x:c r="I145" s="2" t="s">
        <x:v>125</x:v>
      </x:c>
      <x:c r="J145" s="2">
        <x:v>4</x:v>
      </x:c>
      <x:c r="K145" s="2" t="s">
        <x:v>117</x:v>
      </x:c>
      <x:c r="L145" s="2" t="s">
        <x:v>120</x:v>
      </x:c>
      <x:c r="M145" s="2"/>
      <x:c r="N145" s="2">
        <x:v>166</x:v>
      </x:c>
      <x:c r="O145" s="2">
        <x:v>154</x:v>
      </x:c>
      <x:c r="P145" s="2">
        <x:v>179</x:v>
      </x:c>
      <x:c r="Q145" s="2" t="s">
        <x:v>111</x:v>
      </x:c>
      <x:c r="R145" s="2">
        <x:v>166</x:v>
      </x:c>
      <x:c r="S145" s="2" t="s">
        <x:v>111</x:v>
      </x:c>
      <x:c r="T145" s="2"/>
      <x:c r="U145" s="2">
        <x:v>10</x:v>
      </x:c>
      <x:c r="V145" s="2"/>
      <x:c r="W145" s="2"/>
      <x:c r="X145" s="2" t="s">
        <x:v>186</x:v>
      </x:c>
      <x:c r="Y145" s="2" t="s">
        <x:v>138</x:v>
      </x:c>
      <x:c r="Z145" s="2" t="s">
        <x:v>187</x:v>
      </x:c>
    </x:row>
    <x:row r="146">
      <x:c r="A146" s="2">
        <x:v>588</x:v>
      </x:c>
      <x:c r="B146" s="2">
        <x:v>1193934</x:v>
      </x:c>
      <x:c r="C146" s="2">
        <x:v>181507</x:v>
      </x:c>
      <x:c r="D146" s="2">
        <x:v>17398</x:v>
      </x:c>
      <x:c r="E146" s="2" t="s">
        <x:v>10</x:v>
      </x:c>
      <x:c r="F146" s="2" t="s">
        <x:v>177</x:v>
      </x:c>
      <x:c r="G146" s="2" t="s">
        <x:v>134</x:v>
      </x:c>
      <x:c r="H146" s="2" t="s">
        <x:v>135</x:v>
      </x:c>
      <x:c r="I146" s="2"/>
      <x:c r="J146" s="2">
        <x:v>4</x:v>
      </x:c>
      <x:c r="K146" s="2" t="s">
        <x:v>117</x:v>
      </x:c>
      <x:c r="L146" s="2" t="s">
        <x:v>110</x:v>
      </x:c>
      <x:c r="M146" s="2"/>
      <x:c r="N146" s="2">
        <x:v>10</x:v>
      </x:c>
      <x:c r="O146" s="2"/>
      <x:c r="P146" s="2"/>
      <x:c r="Q146" s="2" t="s">
        <x:v>111</x:v>
      </x:c>
      <x:c r="R146" s="2">
        <x:v>10</x:v>
      </x:c>
      <x:c r="S146" s="2" t="s">
        <x:v>111</x:v>
      </x:c>
      <x:c r="T146" s="2"/>
      <x:c r="U146" s="2"/>
      <x:c r="V146" s="2"/>
      <x:c r="W146" s="2"/>
      <x:c r="X146" s="2" t="s">
        <x:v>192</x:v>
      </x:c>
      <x:c r="Y146" s="2" t="s">
        <x:v>113</x:v>
      </x:c>
      <x:c r="Z146" s="2" t="s">
        <x:v>114</x:v>
      </x:c>
    </x:row>
    <x:row r="147" ht="27">
      <x:c r="A147" s="2">
        <x:v>590</x:v>
      </x:c>
      <x:c r="B147" s="2">
        <x:v>1312980</x:v>
      </x:c>
      <x:c r="C147" s="2">
        <x:v>770476</x:v>
      </x:c>
      <x:c r="D147" s="2">
        <x:v>107036</x:v>
      </x:c>
      <x:c r="E147" s="2" t="s">
        <x:v>10</x:v>
      </x:c>
      <x:c r="F147" s="2" t="s">
        <x:v>177</x:v>
      </x:c>
      <x:c r="G147" s="2" t="s">
        <x:v>150</x:v>
      </x:c>
      <x:c r="H147" s="2" t="s">
        <x:v>135</x:v>
      </x:c>
      <x:c r="I147" s="2" t="s">
        <x:v>125</x:v>
      </x:c>
      <x:c r="J147" s="2">
        <x:v>4</x:v>
      </x:c>
      <x:c r="K147" s="2" t="s">
        <x:v>117</x:v>
      </x:c>
      <x:c r="L147" s="2" t="s">
        <x:v>120</x:v>
      </x:c>
      <x:c r="M147" s="2"/>
      <x:c r="N147" s="2">
        <x:v>67.599999999999994</x:v>
      </x:c>
      <x:c r="O147" s="2">
        <x:v>55.1</x:v>
      </x:c>
      <x:c r="P147" s="2">
        <x:v>82.9</x:v>
      </x:c>
      <x:c r="Q147" s="2" t="s">
        <x:v>111</x:v>
      </x:c>
      <x:c r="R147" s="2">
        <x:v>67.599999999999994</x:v>
      </x:c>
      <x:c r="S147" s="2" t="s">
        <x:v>111</x:v>
      </x:c>
      <x:c r="T147" s="2"/>
      <x:c r="U147" s="2">
        <x:v>15</x:v>
      </x:c>
      <x:c r="V147" s="2"/>
      <x:c r="W147" s="2"/>
      <x:c r="X147" s="2" t="s">
        <x:v>186</x:v>
      </x:c>
      <x:c r="Y147" s="2" t="s">
        <x:v>113</x:v>
      </x:c>
      <x:c r="Z147" s="2" t="s">
        <x:v>114</x:v>
      </x:c>
    </x:row>
    <x:row r="148" ht="40.5">
      <x:c r="A148" s="2">
        <x:v>600</x:v>
      </x:c>
      <x:c r="B148" s="2">
        <x:v>1078445</x:v>
      </x:c>
      <x:c r="C148" s="2">
        <x:v>130922</x:v>
      </x:c>
      <x:c r="D148" s="2">
        <x:v>6045</x:v>
      </x:c>
      <x:c r="E148" s="2" t="s">
        <x:v>39</x:v>
      </x:c>
      <x:c r="F148" s="2" t="s">
        <x:v>193</x:v>
      </x:c>
      <x:c r="G148" s="2" t="s">
        <x:v>194</x:v>
      </x:c>
      <x:c r="H148" s="2" t="s">
        <x:v>135</x:v>
      </x:c>
      <x:c r="I148" s="2"/>
      <x:c r="J148" s="2">
        <x:v>1</x:v>
      </x:c>
      <x:c r="K148" s="2" t="s">
        <x:v>117</x:v>
      </x:c>
      <x:c r="L148" s="2" t="s">
        <x:v>110</x:v>
      </x:c>
      <x:c r="M148" s="2"/>
      <x:c r="N148" s="2">
        <x:v>50</x:v>
      </x:c>
      <x:c r="O148" s="2"/>
      <x:c r="P148" s="2"/>
      <x:c r="Q148" s="2" t="s">
        <x:v>195</x:v>
      </x:c>
      <x:c r="R148" s="2">
        <x:v>50</x:v>
      </x:c>
      <x:c r="S148" s="2" t="s">
        <x:v>195</x:v>
      </x:c>
      <x:c r="T148" s="2"/>
      <x:c r="U148" s="2"/>
      <x:c r="V148" s="2"/>
      <x:c r="W148" s="2"/>
      <x:c r="X148" s="2" t="s">
        <x:v>196</x:v>
      </x:c>
      <x:c r="Y148" s="2" t="s">
        <x:v>113</x:v>
      </x:c>
      <x:c r="Z148" s="2" t="s">
        <x:v>114</x:v>
      </x:c>
    </x:row>
    <x:row r="149" ht="40.5">
      <x:c r="A149" s="2">
        <x:v>745</x:v>
      </x:c>
      <x:c r="B149" s="2">
        <x:v>1078444</x:v>
      </x:c>
      <x:c r="C149" s="2">
        <x:v>130921</x:v>
      </x:c>
      <x:c r="D149" s="2">
        <x:v>6045</x:v>
      </x:c>
      <x:c r="E149" s="2" t="s">
        <x:v>39</x:v>
      </x:c>
      <x:c r="F149" s="2" t="s">
        <x:v>193</x:v>
      </x:c>
      <x:c r="G149" s="2" t="s">
        <x:v>197</x:v>
      </x:c>
      <x:c r="H149" s="2" t="s">
        <x:v>135</x:v>
      </x:c>
      <x:c r="I149" s="2"/>
      <x:c r="J149" s="2">
        <x:v>1</x:v>
      </x:c>
      <x:c r="K149" s="2" t="s">
        <x:v>117</x:v>
      </x:c>
      <x:c r="L149" s="2" t="s">
        <x:v>110</x:v>
      </x:c>
      <x:c r="M149" s="2"/>
      <x:c r="N149" s="2">
        <x:v>31</x:v>
      </x:c>
      <x:c r="O149" s="2"/>
      <x:c r="P149" s="2"/>
      <x:c r="Q149" s="2" t="s">
        <x:v>195</x:v>
      </x:c>
      <x:c r="R149" s="2">
        <x:v>31</x:v>
      </x:c>
      <x:c r="S149" s="2" t="s">
        <x:v>195</x:v>
      </x:c>
      <x:c r="T149" s="2"/>
      <x:c r="U149" s="2"/>
      <x:c r="V149" s="2"/>
      <x:c r="W149" s="2"/>
      <x:c r="X149" s="2" t="s">
        <x:v>196</x:v>
      </x:c>
      <x:c r="Y149" s="2" t="s">
        <x:v>113</x:v>
      </x:c>
      <x:c r="Z149" s="2" t="s">
        <x:v>114</x:v>
      </x:c>
    </x:row>
    <x:row r="150">
      <x:c r="A150" s="2">
        <x:v>785</x:v>
      </x:c>
      <x:c r="B150" s="2">
        <x:v>1035611</x:v>
      </x:c>
      <x:c r="C150" s="2">
        <x:v>29495</x:v>
      </x:c>
      <x:c r="D150" s="2">
        <x:v>2183</x:v>
      </x:c>
      <x:c r="E150" s="2" t="s">
        <x:v>39</x:v>
      </x:c>
      <x:c r="F150" s="2" t="s">
        <x:v>193</x:v>
      </x:c>
      <x:c r="G150" s="2" t="s">
        <x:v>129</x:v>
      </x:c>
      <x:c r="H150" s="2" t="s">
        <x:v>107</x:v>
      </x:c>
      <x:c r="I150" s="2" t="s">
        <x:v>108</x:v>
      </x:c>
      <x:c r="J150" s="2">
        <x:v>4</x:v>
      </x:c>
      <x:c r="K150" s="2" t="s">
        <x:v>117</x:v>
      </x:c>
      <x:c r="L150" s="2" t="s">
        <x:v>110</x:v>
      </x:c>
      <x:c r="M150" s="2"/>
      <x:c r="N150" s="2">
        <x:v>230</x:v>
      </x:c>
      <x:c r="O150" s="2">
        <x:v>180</x:v>
      </x:c>
      <x:c r="P150" s="2">
        <x:v>290</x:v>
      </x:c>
      <x:c r="Q150" s="2" t="s">
        <x:v>111</x:v>
      </x:c>
      <x:c r="R150" s="2">
        <x:v>230</x:v>
      </x:c>
      <x:c r="S150" s="2" t="s">
        <x:v>111</x:v>
      </x:c>
      <x:c r="T150" s="2">
        <x:v>20</x:v>
      </x:c>
      <x:c r="U150" s="2">
        <x:v>7</x:v>
      </x:c>
      <x:c r="V150" s="2">
        <x:v>8</x:v>
      </x:c>
      <x:c r="W150" s="2"/>
      <x:c r="X150" s="2" t="s">
        <x:v>130</x:v>
      </x:c>
      <x:c r="Y150" s="2" t="s">
        <x:v>113</x:v>
      </x:c>
      <x:c r="Z150" s="2" t="s">
        <x:v>114</x:v>
      </x:c>
    </x:row>
    <x:row r="151" ht="40.5">
      <x:c r="A151" s="2">
        <x:v>788</x:v>
      </x:c>
      <x:c r="B151" s="2">
        <x:v>1078429</x:v>
      </x:c>
      <x:c r="C151" s="2">
        <x:v>100481</x:v>
      </x:c>
      <x:c r="D151" s="2">
        <x:v>6045</x:v>
      </x:c>
      <x:c r="E151" s="2" t="s">
        <x:v>39</x:v>
      </x:c>
      <x:c r="F151" s="2" t="s">
        <x:v>193</x:v>
      </x:c>
      <x:c r="G151" s="2" t="s">
        <x:v>134</x:v>
      </x:c>
      <x:c r="H151" s="2" t="s">
        <x:v>135</x:v>
      </x:c>
      <x:c r="I151" s="2" t="s">
        <x:v>125</x:v>
      </x:c>
      <x:c r="J151" s="2">
        <x:v>1</x:v>
      </x:c>
      <x:c r="K151" s="2" t="s">
        <x:v>117</x:v>
      </x:c>
      <x:c r="L151" s="2" t="s">
        <x:v>110</x:v>
      </x:c>
      <x:c r="M151" s="2"/>
      <x:c r="N151" s="2">
        <x:v>3</x:v>
      </x:c>
      <x:c r="O151" s="2"/>
      <x:c r="P151" s="2"/>
      <x:c r="Q151" s="2" t="s">
        <x:v>195</x:v>
      </x:c>
      <x:c r="R151" s="2">
        <x:v>3</x:v>
      </x:c>
      <x:c r="S151" s="2" t="s">
        <x:v>195</x:v>
      </x:c>
      <x:c r="T151" s="2"/>
      <x:c r="U151" s="2"/>
      <x:c r="V151" s="2"/>
      <x:c r="W151" s="2"/>
      <x:c r="X151" s="2" t="s">
        <x:v>196</x:v>
      </x:c>
      <x:c r="Y151" s="2" t="s">
        <x:v>113</x:v>
      </x:c>
      <x:c r="Z151" s="2" t="s">
        <x:v>114</x:v>
      </x:c>
    </x:row>
    <x:row r="152" ht="40.5">
      <x:c r="A152" s="2">
        <x:v>789</x:v>
      </x:c>
      <x:c r="B152" s="2">
        <x:v>1078428</x:v>
      </x:c>
      <x:c r="C152" s="2">
        <x:v>94768</x:v>
      </x:c>
      <x:c r="D152" s="2">
        <x:v>6045</x:v>
      </x:c>
      <x:c r="E152" s="2" t="s">
        <x:v>39</x:v>
      </x:c>
      <x:c r="F152" s="2" t="s">
        <x:v>193</x:v>
      </x:c>
      <x:c r="G152" s="2" t="s">
        <x:v>134</x:v>
      </x:c>
      <x:c r="H152" s="2" t="s">
        <x:v>135</x:v>
      </x:c>
      <x:c r="I152" s="2" t="s">
        <x:v>108</x:v>
      </x:c>
      <x:c r="J152" s="2">
        <x:v>1</x:v>
      </x:c>
      <x:c r="K152" s="2" t="s">
        <x:v>117</x:v>
      </x:c>
      <x:c r="L152" s="2" t="s">
        <x:v>110</x:v>
      </x:c>
      <x:c r="M152" s="2"/>
      <x:c r="N152" s="2">
        <x:v>34</x:v>
      </x:c>
      <x:c r="O152" s="2"/>
      <x:c r="P152" s="2"/>
      <x:c r="Q152" s="2" t="s">
        <x:v>195</x:v>
      </x:c>
      <x:c r="R152" s="2">
        <x:v>34</x:v>
      </x:c>
      <x:c r="S152" s="2" t="s">
        <x:v>195</x:v>
      </x:c>
      <x:c r="T152" s="2"/>
      <x:c r="U152" s="2"/>
      <x:c r="V152" s="2"/>
      <x:c r="W152" s="2"/>
      <x:c r="X152" s="2" t="s">
        <x:v>196</x:v>
      </x:c>
      <x:c r="Y152" s="2" t="s">
        <x:v>113</x:v>
      </x:c>
      <x:c r="Z152" s="2" t="s">
        <x:v>114</x:v>
      </x:c>
    </x:row>
    <x:row r="153" ht="27">
      <x:c r="A153" s="2">
        <x:v>807</x:v>
      </x:c>
      <x:c r="B153" s="2">
        <x:v>1070631</x:v>
      </x:c>
      <x:c r="C153" s="2">
        <x:v>12736</x:v>
      </x:c>
      <x:c r="D153" s="2">
        <x:v>5563</x:v>
      </x:c>
      <x:c r="E153" s="2" t="s">
        <x:v>21</x:v>
      </x:c>
      <x:c r="F153" s="2" t="s">
        <x:v>198</x:v>
      </x:c>
      <x:c r="G153" s="2" t="s">
        <x:v>199</x:v>
      </x:c>
      <x:c r="H153" s="2" t="s">
        <x:v>107</x:v>
      </x:c>
      <x:c r="I153" s="2" t="s">
        <x:v>159</x:v>
      </x:c>
      <x:c r="J153" s="2">
        <x:v>1</x:v>
      </x:c>
      <x:c r="K153" s="2" t="s">
        <x:v>117</x:v>
      </x:c>
      <x:c r="L153" s="2" t="s">
        <x:v>110</x:v>
      </x:c>
      <x:c r="M153" s="2"/>
      <x:c r="N153" s="2">
        <x:v>1090</x:v>
      </x:c>
      <x:c r="O153" s="2">
        <x:v>900</x:v>
      </x:c>
      <x:c r="P153" s="2">
        <x:v>1290</x:v>
      </x:c>
      <x:c r="Q153" s="2" t="s">
        <x:v>111</x:v>
      </x:c>
      <x:c r="R153" s="2">
        <x:v>1090</x:v>
      </x:c>
      <x:c r="S153" s="2" t="s">
        <x:v>111</x:v>
      </x:c>
      <x:c r="T153" s="2">
        <x:v>17</x:v>
      </x:c>
      <x:c r="U153" s="2"/>
      <x:c r="V153" s="2"/>
      <x:c r="W153" s="2"/>
      <x:c r="X153" s="2" t="s">
        <x:v>200</x:v>
      </x:c>
      <x:c r="Y153" s="2" t="s">
        <x:v>113</x:v>
      </x:c>
      <x:c r="Z153" s="2" t="s">
        <x:v>114</x:v>
      </x:c>
    </x:row>
    <x:row r="154" ht="27">
      <x:c r="A154" s="2">
        <x:v>818</x:v>
      </x:c>
      <x:c r="B154" s="2">
        <x:v>1053651</x:v>
      </x:c>
      <x:c r="C154" s="2">
        <x:v>133692</x:v>
      </x:c>
      <x:c r="D154" s="2">
        <x:v>3744</x:v>
      </x:c>
      <x:c r="E154" s="2" t="s">
        <x:v>21</x:v>
      </x:c>
      <x:c r="F154" s="2" t="s">
        <x:v>198</x:v>
      </x:c>
      <x:c r="G154" s="2" t="s">
        <x:v>146</x:v>
      </x:c>
      <x:c r="H154" s="2" t="s">
        <x:v>135</x:v>
      </x:c>
      <x:c r="I154" s="2" t="s">
        <x:v>108</x:v>
      </x:c>
      <x:c r="J154" s="2">
        <x:v>3</x:v>
      </x:c>
      <x:c r="K154" s="2" t="s">
        <x:v>117</x:v>
      </x:c>
      <x:c r="L154" s="2" t="s">
        <x:v>110</x:v>
      </x:c>
      <x:c r="M154" s="2"/>
      <x:c r="N154" s="2">
        <x:v>3150</x:v>
      </x:c>
      <x:c r="O154" s="2">
        <x:v>2475</x:v>
      </x:c>
      <x:c r="P154" s="2">
        <x:v>4142</x:v>
      </x:c>
      <x:c r="Q154" s="2" t="s">
        <x:v>111</x:v>
      </x:c>
      <x:c r="R154" s="2">
        <x:v>3150</x:v>
      </x:c>
      <x:c r="S154" s="2" t="s">
        <x:v>111</x:v>
      </x:c>
      <x:c r="T154" s="2">
        <x:v>15</x:v>
      </x:c>
      <x:c r="U154" s="2">
        <x:v>30</x:v>
      </x:c>
      <x:c r="V154" s="2"/>
      <x:c r="W154" s="2"/>
      <x:c r="X154" s="2" t="s">
        <x:v>201</x:v>
      </x:c>
      <x:c r="Y154" s="2" t="s">
        <x:v>113</x:v>
      </x:c>
      <x:c r="Z154" s="2" t="s">
        <x:v>114</x:v>
      </x:c>
    </x:row>
    <x:row r="155" ht="27">
      <x:c r="A155" s="2">
        <x:v>822</x:v>
      </x:c>
      <x:c r="B155" s="2">
        <x:v>1053652</x:v>
      </x:c>
      <x:c r="C155" s="2">
        <x:v>133693</x:v>
      </x:c>
      <x:c r="D155" s="2">
        <x:v>3744</x:v>
      </x:c>
      <x:c r="E155" s="2" t="s">
        <x:v>21</x:v>
      </x:c>
      <x:c r="F155" s="2" t="s">
        <x:v>198</x:v>
      </x:c>
      <x:c r="G155" s="2" t="s">
        <x:v>146</x:v>
      </x:c>
      <x:c r="H155" s="2" t="s">
        <x:v>135</x:v>
      </x:c>
      <x:c r="I155" s="2" t="s">
        <x:v>108</x:v>
      </x:c>
      <x:c r="J155" s="2">
        <x:v>4</x:v>
      </x:c>
      <x:c r="K155" s="2" t="s">
        <x:v>117</x:v>
      </x:c>
      <x:c r="L155" s="2" t="s">
        <x:v>110</x:v>
      </x:c>
      <x:c r="M155" s="2"/>
      <x:c r="N155" s="2">
        <x:v>1783</x:v>
      </x:c>
      <x:c r="O155" s="2"/>
      <x:c r="P155" s="2"/>
      <x:c r="Q155" s="2" t="s">
        <x:v>111</x:v>
      </x:c>
      <x:c r="R155" s="2">
        <x:v>1783</x:v>
      </x:c>
      <x:c r="S155" s="2" t="s">
        <x:v>111</x:v>
      </x:c>
      <x:c r="T155" s="2">
        <x:v>15</x:v>
      </x:c>
      <x:c r="U155" s="2">
        <x:v>30</x:v>
      </x:c>
      <x:c r="V155" s="2"/>
      <x:c r="W155" s="2"/>
      <x:c r="X155" s="2" t="s">
        <x:v>201</x:v>
      </x:c>
      <x:c r="Y155" s="2" t="s">
        <x:v>113</x:v>
      </x:c>
      <x:c r="Z155" s="2" t="s">
        <x:v>114</x:v>
      </x:c>
    </x:row>
    <x:row r="156" ht="27">
      <x:c r="A156" s="2">
        <x:v>827</x:v>
      </x:c>
      <x:c r="B156" s="2">
        <x:v>1070630</x:v>
      </x:c>
      <x:c r="C156" s="2">
        <x:v>12735</x:v>
      </x:c>
      <x:c r="D156" s="2">
        <x:v>5563</x:v>
      </x:c>
      <x:c r="E156" s="2" t="s">
        <x:v>21</x:v>
      </x:c>
      <x:c r="F156" s="2" t="s">
        <x:v>198</x:v>
      </x:c>
      <x:c r="G156" s="2" t="s">
        <x:v>202</x:v>
      </x:c>
      <x:c r="H156" s="2" t="s">
        <x:v>135</x:v>
      </x:c>
      <x:c r="I156" s="2" t="s">
        <x:v>159</x:v>
      </x:c>
      <x:c r="J156" s="2">
        <x:v>1</x:v>
      </x:c>
      <x:c r="K156" s="2" t="s">
        <x:v>117</x:v>
      </x:c>
      <x:c r="L156" s="2" t="s">
        <x:v>110</x:v>
      </x:c>
      <x:c r="M156" s="2"/>
      <x:c r="N156" s="2">
        <x:v>1380</x:v>
      </x:c>
      <x:c r="O156" s="2">
        <x:v>1060</x:v>
      </x:c>
      <x:c r="P156" s="2">
        <x:v>1750</x:v>
      </x:c>
      <x:c r="Q156" s="2" t="s">
        <x:v>111</x:v>
      </x:c>
      <x:c r="R156" s="2">
        <x:v>1380</x:v>
      </x:c>
      <x:c r="S156" s="2" t="s">
        <x:v>111</x:v>
      </x:c>
      <x:c r="T156" s="2">
        <x:v>17</x:v>
      </x:c>
      <x:c r="U156" s="2"/>
      <x:c r="V156" s="2"/>
      <x:c r="W156" s="2"/>
      <x:c r="X156" s="2" t="s">
        <x:v>200</x:v>
      </x:c>
      <x:c r="Y156" s="2" t="s">
        <x:v>113</x:v>
      </x:c>
      <x:c r="Z156" s="2" t="s">
        <x:v>114</x:v>
      </x:c>
    </x:row>
    <x:row r="157" ht="27">
      <x:c r="A157" s="2">
        <x:v>832</x:v>
      </x:c>
      <x:c r="B157" s="2">
        <x:v>1070629</x:v>
      </x:c>
      <x:c r="C157" s="2">
        <x:v>12734</x:v>
      </x:c>
      <x:c r="D157" s="2">
        <x:v>5563</x:v>
      </x:c>
      <x:c r="E157" s="2" t="s">
        <x:v>21</x:v>
      </x:c>
      <x:c r="F157" s="2" t="s">
        <x:v>198</x:v>
      </x:c>
      <x:c r="G157" s="2" t="s">
        <x:v>203</x:v>
      </x:c>
      <x:c r="H157" s="2" t="s">
        <x:v>135</x:v>
      </x:c>
      <x:c r="I157" s="2" t="s">
        <x:v>159</x:v>
      </x:c>
      <x:c r="J157" s="2">
        <x:v>1</x:v>
      </x:c>
      <x:c r="K157" s="2" t="s">
        <x:v>117</x:v>
      </x:c>
      <x:c r="L157" s="2" t="s">
        <x:v>110</x:v>
      </x:c>
      <x:c r="M157" s="2"/>
      <x:c r="N157" s="2">
        <x:v>1860</x:v>
      </x:c>
      <x:c r="O157" s="2">
        <x:v>1470</x:v>
      </x:c>
      <x:c r="P157" s="2">
        <x:v>3880</x:v>
      </x:c>
      <x:c r="Q157" s="2" t="s">
        <x:v>111</x:v>
      </x:c>
      <x:c r="R157" s="2">
        <x:v>1860</x:v>
      </x:c>
      <x:c r="S157" s="2" t="s">
        <x:v>111</x:v>
      </x:c>
      <x:c r="T157" s="2">
        <x:v>17</x:v>
      </x:c>
      <x:c r="U157" s="2"/>
      <x:c r="V157" s="2"/>
      <x:c r="W157" s="2"/>
      <x:c r="X157" s="2" t="s">
        <x:v>200</x:v>
      </x:c>
      <x:c r="Y157" s="2" t="s">
        <x:v>113</x:v>
      </x:c>
      <x:c r="Z157" s="2" t="s">
        <x:v>114</x:v>
      </x:c>
    </x:row>
    <x:row r="158" ht="27">
      <x:c r="A158" s="2">
        <x:v>863</x:v>
      </x:c>
      <x:c r="B158" s="2">
        <x:v>2145457</x:v>
      </x:c>
      <x:c r="C158" s="2">
        <x:v>2274200</x:v>
      </x:c>
      <x:c r="D158" s="2">
        <x:v>169337</x:v>
      </x:c>
      <x:c r="E158" s="2" t="s">
        <x:v>21</x:v>
      </x:c>
      <x:c r="F158" s="2" t="s">
        <x:v>198</x:v>
      </x:c>
      <x:c r="G158" s="2" t="s">
        <x:v>129</x:v>
      </x:c>
      <x:c r="H158" s="2" t="s">
        <x:v>107</x:v>
      </x:c>
      <x:c r="I158" s="2"/>
      <x:c r="J158" s="2">
        <x:v>4</x:v>
      </x:c>
      <x:c r="K158" s="2" t="s">
        <x:v>117</x:v>
      </x:c>
      <x:c r="L158" s="2" t="s">
        <x:v>110</x:v>
      </x:c>
      <x:c r="M158" s="2"/>
      <x:c r="N158" s="2">
        <x:v>890</x:v>
      </x:c>
      <x:c r="O158" s="2">
        <x:v>750</x:v>
      </x:c>
      <x:c r="P158" s="2">
        <x:v>1100</x:v>
      </x:c>
      <x:c r="Q158" s="2" t="s">
        <x:v>111</x:v>
      </x:c>
      <x:c r="R158" s="2">
        <x:v>890</x:v>
      </x:c>
      <x:c r="S158" s="2" t="s">
        <x:v>111</x:v>
      </x:c>
      <x:c r="T158" s="2">
        <x:v>22</x:v>
      </x:c>
      <x:c r="U158" s="2">
        <x:v>7</x:v>
      </x:c>
      <x:c r="V158" s="2">
        <x:v>8.1999999999999993</x:v>
      </x:c>
      <x:c r="W158" s="2"/>
      <x:c r="X158" s="2" t="s">
        <x:v>191</x:v>
      </x:c>
      <x:c r="Y158" s="2" t="s">
        <x:v>113</x:v>
      </x:c>
      <x:c r="Z158" s="2" t="s">
        <x:v>114</x:v>
      </x:c>
    </x:row>
    <x:row r="159" ht="27">
      <x:c r="A159" s="2">
        <x:v>871</x:v>
      </x:c>
      <x:c r="B159" s="2">
        <x:v>1053649</x:v>
      </x:c>
      <x:c r="C159" s="2">
        <x:v>133690</x:v>
      </x:c>
      <x:c r="D159" s="2">
        <x:v>3744</x:v>
      </x:c>
      <x:c r="E159" s="2" t="s">
        <x:v>21</x:v>
      </x:c>
      <x:c r="F159" s="2" t="s">
        <x:v>198</x:v>
      </x:c>
      <x:c r="G159" s="2" t="s">
        <x:v>141</x:v>
      </x:c>
      <x:c r="H159" s="2" t="s">
        <x:v>135</x:v>
      </x:c>
      <x:c r="I159" s="2" t="s">
        <x:v>108</x:v>
      </x:c>
      <x:c r="J159" s="2">
        <x:v>4</x:v>
      </x:c>
      <x:c r="K159" s="2" t="s">
        <x:v>117</x:v>
      </x:c>
      <x:c r="L159" s="2" t="s">
        <x:v>110</x:v>
      </x:c>
      <x:c r="M159" s="2"/>
      <x:c r="N159" s="2">
        <x:v>950</x:v>
      </x:c>
      <x:c r="O159" s="2"/>
      <x:c r="P159" s="2"/>
      <x:c r="Q159" s="2" t="s">
        <x:v>111</x:v>
      </x:c>
      <x:c r="R159" s="2">
        <x:v>950</x:v>
      </x:c>
      <x:c r="S159" s="2" t="s">
        <x:v>111</x:v>
      </x:c>
      <x:c r="T159" s="2">
        <x:v>10</x:v>
      </x:c>
      <x:c r="U159" s="2">
        <x:v>30</x:v>
      </x:c>
      <x:c r="V159" s="2"/>
      <x:c r="W159" s="2"/>
      <x:c r="X159" s="2" t="s">
        <x:v>201</x:v>
      </x:c>
      <x:c r="Y159" s="2" t="s">
        <x:v>113</x:v>
      </x:c>
      <x:c r="Z159" s="2" t="s">
        <x:v>114</x:v>
      </x:c>
    </x:row>
    <x:row r="160" ht="54">
      <x:c r="A160" s="2">
        <x:v>875</x:v>
      </x:c>
      <x:c r="B160" s="2">
        <x:v>1295983</x:v>
      </x:c>
      <x:c r="C160" s="2">
        <x:v>751247</x:v>
      </x:c>
      <x:c r="D160" s="2">
        <x:v>111315</x:v>
      </x:c>
      <x:c r="E160" s="2" t="s">
        <x:v>21</x:v>
      </x:c>
      <x:c r="F160" s="2" t="s">
        <x:v>198</x:v>
      </x:c>
      <x:c r="G160" s="2" t="s">
        <x:v>106</x:v>
      </x:c>
      <x:c r="H160" s="2" t="s">
        <x:v>107</x:v>
      </x:c>
      <x:c r="I160" s="2" t="s">
        <x:v>108</x:v>
      </x:c>
      <x:c r="J160" s="2">
        <x:v>4</x:v>
      </x:c>
      <x:c r="K160" s="2" t="s">
        <x:v>126</x:v>
      </x:c>
      <x:c r="L160" s="2" t="s">
        <x:v>110</x:v>
      </x:c>
      <x:c r="M160" s="2"/>
      <x:c r="N160" s="2">
        <x:v>7.8</x:v>
      </x:c>
      <x:c r="O160" s="2">
        <x:v>5.42</x:v>
      </x:c>
      <x:c r="P160" s="2">
        <x:v>11.34</x:v>
      </x:c>
      <x:c r="Q160" s="2" t="s">
        <x:v>121</x:v>
      </x:c>
      <x:c r="R160" s="2">
        <x:v>7.8</x:v>
      </x:c>
      <x:c r="S160" s="2" t="s">
        <x:v>121</x:v>
      </x:c>
      <x:c r="T160" s="2">
        <x:v>20</x:v>
      </x:c>
      <x:c r="U160" s="2">
        <x:v>32</x:v>
      </x:c>
      <x:c r="V160" s="2">
        <x:v>7.9</x:v>
      </x:c>
      <x:c r="W160" s="2"/>
      <x:c r="X160" s="2" t="s">
        <x:v>204</x:v>
      </x:c>
      <x:c r="Y160" s="2" t="s">
        <x:v>113</x:v>
      </x:c>
      <x:c r="Z160" s="2" t="s">
        <x:v>114</x:v>
      </x:c>
    </x:row>
    <x:row r="161">
      <x:c r="A161" s="2">
        <x:v>876</x:v>
      </x:c>
      <x:c r="B161" s="2">
        <x:v>1035615</x:v>
      </x:c>
      <x:c r="C161" s="2">
        <x:v>41944</x:v>
      </x:c>
      <x:c r="D161" s="2">
        <x:v>2183</x:v>
      </x:c>
      <x:c r="E161" s="2" t="s">
        <x:v>21</x:v>
      </x:c>
      <x:c r="F161" s="2" t="s">
        <x:v>198</x:v>
      </x:c>
      <x:c r="G161" s="2" t="s">
        <x:v>129</x:v>
      </x:c>
      <x:c r="H161" s="2" t="s">
        <x:v>107</x:v>
      </x:c>
      <x:c r="I161" s="2" t="s">
        <x:v>108</x:v>
      </x:c>
      <x:c r="J161" s="2">
        <x:v>4</x:v>
      </x:c>
      <x:c r="K161" s="2" t="s">
        <x:v>117</x:v>
      </x:c>
      <x:c r="L161" s="2" t="s">
        <x:v>110</x:v>
      </x:c>
      <x:c r="M161" s="2"/>
      <x:c r="N161" s="2">
        <x:v>1450</x:v>
      </x:c>
      <x:c r="O161" s="2">
        <x:v>930</x:v>
      </x:c>
      <x:c r="P161" s="2">
        <x:v>2260</x:v>
      </x:c>
      <x:c r="Q161" s="2" t="s">
        <x:v>111</x:v>
      </x:c>
      <x:c r="R161" s="2">
        <x:v>1450</x:v>
      </x:c>
      <x:c r="S161" s="2" t="s">
        <x:v>111</x:v>
      </x:c>
      <x:c r="T161" s="2">
        <x:v>20</x:v>
      </x:c>
      <x:c r="U161" s="2">
        <x:v>7</x:v>
      </x:c>
      <x:c r="V161" s="2"/>
      <x:c r="W161" s="2"/>
      <x:c r="X161" s="2" t="s">
        <x:v>130</x:v>
      </x:c>
      <x:c r="Y161" s="2" t="s">
        <x:v>113</x:v>
      </x:c>
      <x:c r="Z161" s="2" t="s">
        <x:v>114</x:v>
      </x:c>
    </x:row>
    <x:row r="162" ht="27">
      <x:c r="A162" s="2">
        <x:v>878</x:v>
      </x:c>
      <x:c r="B162" s="2">
        <x:v>1053653</x:v>
      </x:c>
      <x:c r="C162" s="2">
        <x:v>133694</x:v>
      </x:c>
      <x:c r="D162" s="2">
        <x:v>3744</x:v>
      </x:c>
      <x:c r="E162" s="2" t="s">
        <x:v>21</x:v>
      </x:c>
      <x:c r="F162" s="2" t="s">
        <x:v>198</x:v>
      </x:c>
      <x:c r="G162" s="2" t="s">
        <x:v>150</x:v>
      </x:c>
      <x:c r="H162" s="2" t="s">
        <x:v>135</x:v>
      </x:c>
      <x:c r="I162" s="2" t="s">
        <x:v>108</x:v>
      </x:c>
      <x:c r="J162" s="2">
        <x:v>4</x:v>
      </x:c>
      <x:c r="K162" s="2" t="s">
        <x:v>117</x:v>
      </x:c>
      <x:c r="L162" s="2" t="s">
        <x:v>110</x:v>
      </x:c>
      <x:c r="M162" s="2"/>
      <x:c r="N162" s="2">
        <x:v>4090</x:v>
      </x:c>
      <x:c r="O162" s="2"/>
      <x:c r="P162" s="2"/>
      <x:c r="Q162" s="2" t="s">
        <x:v>111</x:v>
      </x:c>
      <x:c r="R162" s="2">
        <x:v>4090</x:v>
      </x:c>
      <x:c r="S162" s="2" t="s">
        <x:v>111</x:v>
      </x:c>
      <x:c r="T162" s="2">
        <x:v>15</x:v>
      </x:c>
      <x:c r="U162" s="2">
        <x:v>30</x:v>
      </x:c>
      <x:c r="V162" s="2"/>
      <x:c r="W162" s="2"/>
      <x:c r="X162" s="2" t="s">
        <x:v>201</x:v>
      </x:c>
      <x:c r="Y162" s="2" t="s">
        <x:v>113</x:v>
      </x:c>
      <x:c r="Z162" s="2" t="s">
        <x:v>114</x:v>
      </x:c>
    </x:row>
    <x:row r="163" ht="27">
      <x:c r="A163" s="2">
        <x:v>881</x:v>
      </x:c>
      <x:c r="B163" s="2">
        <x:v>1037878</x:v>
      </x:c>
      <x:c r="C163" s="2">
        <x:v>104483</x:v>
      </x:c>
      <x:c r="D163" s="2">
        <x:v>2332</x:v>
      </x:c>
      <x:c r="E163" s="2" t="s">
        <x:v>21</x:v>
      </x:c>
      <x:c r="F163" s="2" t="s">
        <x:v>198</x:v>
      </x:c>
      <x:c r="G163" s="2" t="s">
        <x:v>129</x:v>
      </x:c>
      <x:c r="H163" s="2" t="s">
        <x:v>107</x:v>
      </x:c>
      <x:c r="I163" s="2"/>
      <x:c r="J163" s="2">
        <x:v>4</x:v>
      </x:c>
      <x:c r="K163" s="2" t="s">
        <x:v>136</x:v>
      </x:c>
      <x:c r="L163" s="2" t="s">
        <x:v>110</x:v>
      </x:c>
      <x:c r="M163" s="2"/>
      <x:c r="N163" s="2">
        <x:v>1300</x:v>
      </x:c>
      <x:c r="O163" s="2">
        <x:v>980</x:v>
      </x:c>
      <x:c r="P163" s="2">
        <x:v>1730</x:v>
      </x:c>
      <x:c r="Q163" s="2" t="s">
        <x:v>111</x:v>
      </x:c>
      <x:c r="R163" s="2">
        <x:v>1300</x:v>
      </x:c>
      <x:c r="S163" s="2" t="s">
        <x:v>111</x:v>
      </x:c>
      <x:c r="T163" s="2"/>
      <x:c r="U163" s="2">
        <x:v>7</x:v>
      </x:c>
      <x:c r="V163" s="2"/>
      <x:c r="W163" s="2"/>
      <x:c r="X163" s="2" t="s">
        <x:v>205</x:v>
      </x:c>
      <x:c r="Y163" s="2" t="s">
        <x:v>113</x:v>
      </x:c>
      <x:c r="Z163" s="2" t="s">
        <x:v>114</x:v>
      </x:c>
    </x:row>
    <x:row r="164" ht="27">
      <x:c r="A164" s="2">
        <x:v>884</x:v>
      </x:c>
      <x:c r="B164" s="2">
        <x:v>1053650</x:v>
      </x:c>
      <x:c r="C164" s="2">
        <x:v>133691</x:v>
      </x:c>
      <x:c r="D164" s="2">
        <x:v>3744</x:v>
      </x:c>
      <x:c r="E164" s="2" t="s">
        <x:v>21</x:v>
      </x:c>
      <x:c r="F164" s="2" t="s">
        <x:v>198</x:v>
      </x:c>
      <x:c r="G164" s="2" t="s">
        <x:v>141</x:v>
      </x:c>
      <x:c r="H164" s="2" t="s">
        <x:v>135</x:v>
      </x:c>
      <x:c r="I164" s="2" t="s">
        <x:v>108</x:v>
      </x:c>
      <x:c r="J164" s="2">
        <x:v>3</x:v>
      </x:c>
      <x:c r="K164" s="2" t="s">
        <x:v>117</x:v>
      </x:c>
      <x:c r="L164" s="2" t="s">
        <x:v>110</x:v>
      </x:c>
      <x:c r="M164" s="2"/>
      <x:c r="N164" s="2">
        <x:v>707.1</x:v>
      </x:c>
      <x:c r="O164" s="2">
        <x:v>591.5</x:v>
      </x:c>
      <x:c r="P164" s="2">
        <x:v>845.3</x:v>
      </x:c>
      <x:c r="Q164" s="2" t="s">
        <x:v>111</x:v>
      </x:c>
      <x:c r="R164" s="2">
        <x:v>707.1</x:v>
      </x:c>
      <x:c r="S164" s="2" t="s">
        <x:v>111</x:v>
      </x:c>
      <x:c r="T164" s="2">
        <x:v>15</x:v>
      </x:c>
      <x:c r="U164" s="2">
        <x:v>30</x:v>
      </x:c>
      <x:c r="V164" s="2"/>
      <x:c r="W164" s="2"/>
      <x:c r="X164" s="2" t="s">
        <x:v>201</x:v>
      </x:c>
      <x:c r="Y164" s="2" t="s">
        <x:v>113</x:v>
      </x:c>
      <x:c r="Z164" s="2" t="s">
        <x:v>114</x:v>
      </x:c>
    </x:row>
    <x:row r="165" ht="27">
      <x:c r="A165" s="2">
        <x:v>887</x:v>
      </x:c>
      <x:c r="B165" s="2">
        <x:v>1053654</x:v>
      </x:c>
      <x:c r="C165" s="2">
        <x:v>133695</x:v>
      </x:c>
      <x:c r="D165" s="2">
        <x:v>3744</x:v>
      </x:c>
      <x:c r="E165" s="2" t="s">
        <x:v>21</x:v>
      </x:c>
      <x:c r="F165" s="2" t="s">
        <x:v>198</x:v>
      </x:c>
      <x:c r="G165" s="2" t="s">
        <x:v>134</x:v>
      </x:c>
      <x:c r="H165" s="2" t="s">
        <x:v>135</x:v>
      </x:c>
      <x:c r="I165" s="2" t="s">
        <x:v>108</x:v>
      </x:c>
      <x:c r="J165" s="2">
        <x:v>4</x:v>
      </x:c>
      <x:c r="K165" s="2" t="s">
        <x:v>117</x:v>
      </x:c>
      <x:c r="L165" s="2" t="s">
        <x:v>110</x:v>
      </x:c>
      <x:c r="M165" s="2"/>
      <x:c r="N165" s="2">
        <x:v>294.2</x:v>
      </x:c>
      <x:c r="O165" s="2">
        <x:v>196.1</x:v>
      </x:c>
      <x:c r="P165" s="2">
        <x:v>428</x:v>
      </x:c>
      <x:c r="Q165" s="2" t="s">
        <x:v>111</x:v>
      </x:c>
      <x:c r="R165" s="2">
        <x:v>294.2</x:v>
      </x:c>
      <x:c r="S165" s="2" t="s">
        <x:v>111</x:v>
      </x:c>
      <x:c r="T165" s="2">
        <x:v>20</x:v>
      </x:c>
      <x:c r="U165" s="2">
        <x:v>30</x:v>
      </x:c>
      <x:c r="V165" s="2"/>
      <x:c r="W165" s="2"/>
      <x:c r="X165" s="2" t="s">
        <x:v>201</x:v>
      </x:c>
      <x:c r="Y165" s="2" t="s">
        <x:v>113</x:v>
      </x:c>
      <x:c r="Z165" s="2" t="s">
        <x:v>114</x:v>
      </x:c>
    </x:row>
    <x:row r="166" ht="27">
      <x:c r="A166" s="2">
        <x:v>899</x:v>
      </x:c>
      <x:c r="B166" s="2">
        <x:v>1054979</x:v>
      </x:c>
      <x:c r="C166" s="2">
        <x:v>131353</x:v>
      </x:c>
      <x:c r="D166" s="2">
        <x:v>3826</x:v>
      </x:c>
      <x:c r="E166" s="2" t="s">
        <x:v>45</x:v>
      </x:c>
      <x:c r="F166" s="2" t="s">
        <x:v>206</x:v>
      </x:c>
      <x:c r="G166" s="2" t="s">
        <x:v>146</x:v>
      </x:c>
      <x:c r="H166" s="2" t="s">
        <x:v>135</x:v>
      </x:c>
      <x:c r="I166" s="2" t="s">
        <x:v>108</x:v>
      </x:c>
      <x:c r="J166" s="2">
        <x:v>3</x:v>
      </x:c>
      <x:c r="K166" s="2" t="s">
        <x:v>117</x:v>
      </x:c>
      <x:c r="L166" s="2" t="s">
        <x:v>110</x:v>
      </x:c>
      <x:c r="M166" s="2"/>
      <x:c r="N166" s="2">
        <x:v>14.573</x:v>
      </x:c>
      <x:c r="O166" s="2">
        <x:v>10.85</x:v>
      </x:c>
      <x:c r="P166" s="2">
        <x:v>19.163</x:v>
      </x:c>
      <x:c r="Q166" s="2" t="s">
        <x:v>207</x:v>
      </x:c>
      <x:c r="R166" s="2">
        <x:v>14.573</x:v>
      </x:c>
      <x:c r="S166" s="2" t="s">
        <x:v>207</x:v>
      </x:c>
      <x:c r="T166" s="2">
        <x:v>15</x:v>
      </x:c>
      <x:c r="U166" s="2">
        <x:v>30</x:v>
      </x:c>
      <x:c r="V166" s="2"/>
      <x:c r="W166" s="2"/>
      <x:c r="X166" s="2" t="s">
        <x:v>208</x:v>
      </x:c>
      <x:c r="Y166" s="2" t="s">
        <x:v>113</x:v>
      </x:c>
      <x:c r="Z166" s="2" t="s">
        <x:v>114</x:v>
      </x:c>
    </x:row>
    <x:row r="167" ht="27">
      <x:c r="A167" s="2">
        <x:v>913</x:v>
      </x:c>
      <x:c r="B167" s="2">
        <x:v>1054981</x:v>
      </x:c>
      <x:c r="C167" s="2">
        <x:v>131355</x:v>
      </x:c>
      <x:c r="D167" s="2">
        <x:v>3826</x:v>
      </x:c>
      <x:c r="E167" s="2" t="s">
        <x:v>45</x:v>
      </x:c>
      <x:c r="F167" s="2" t="s">
        <x:v>206</x:v>
      </x:c>
      <x:c r="G167" s="2" t="s">
        <x:v>150</x:v>
      </x:c>
      <x:c r="H167" s="2" t="s">
        <x:v>135</x:v>
      </x:c>
      <x:c r="I167" s="2" t="s">
        <x:v>108</x:v>
      </x:c>
      <x:c r="J167" s="2">
        <x:v>4</x:v>
      </x:c>
      <x:c r="K167" s="2" t="s">
        <x:v>117</x:v>
      </x:c>
      <x:c r="L167" s="2" t="s">
        <x:v>110</x:v>
      </x:c>
      <x:c r="M167" s="2"/>
      <x:c r="N167" s="2">
        <x:v>13.182</x:v>
      </x:c>
      <x:c r="O167" s="2">
        <x:v>11.566000000000001</x:v>
      </x:c>
      <x:c r="P167" s="2">
        <x:v>14.981</x:v>
      </x:c>
      <x:c r="Q167" s="2" t="s">
        <x:v>207</x:v>
      </x:c>
      <x:c r="R167" s="2">
        <x:v>13.182</x:v>
      </x:c>
      <x:c r="S167" s="2" t="s">
        <x:v>207</x:v>
      </x:c>
      <x:c r="T167" s="2">
        <x:v>15</x:v>
      </x:c>
      <x:c r="U167" s="2">
        <x:v>30</x:v>
      </x:c>
      <x:c r="V167" s="2"/>
      <x:c r="W167" s="2"/>
      <x:c r="X167" s="2" t="s">
        <x:v>208</x:v>
      </x:c>
      <x:c r="Y167" s="2" t="s">
        <x:v>113</x:v>
      </x:c>
      <x:c r="Z167" s="2" t="s">
        <x:v>114</x:v>
      </x:c>
    </x:row>
    <x:row r="168" ht="27">
      <x:c r="A168" s="2">
        <x:v>915</x:v>
      </x:c>
      <x:c r="B168" s="2">
        <x:v>2030265</x:v>
      </x:c>
      <x:c r="C168" s="2">
        <x:v>2047702</x:v>
      </x:c>
      <x:c r="D168" s="2">
        <x:v>3826</x:v>
      </x:c>
      <x:c r="E168" s="2" t="s">
        <x:v>45</x:v>
      </x:c>
      <x:c r="F168" s="2" t="s">
        <x:v>206</x:v>
      </x:c>
      <x:c r="G168" s="2" t="s">
        <x:v>134</x:v>
      </x:c>
      <x:c r="H168" s="2" t="s">
        <x:v>135</x:v>
      </x:c>
      <x:c r="I168" s="2" t="s">
        <x:v>108</x:v>
      </x:c>
      <x:c r="J168" s="2">
        <x:v>3</x:v>
      </x:c>
      <x:c r="K168" s="2" t="s">
        <x:v>117</x:v>
      </x:c>
      <x:c r="L168" s="2" t="s">
        <x:v>110</x:v>
      </x:c>
      <x:c r="M168" s="2"/>
      <x:c r="N168" s="2">
        <x:v>0.747</x:v>
      </x:c>
      <x:c r="O168" s="2">
        <x:v>0.5</x:v>
      </x:c>
      <x:c r="P168" s="2">
        <x:v>1.04</x:v>
      </x:c>
      <x:c r="Q168" s="2" t="s">
        <x:v>207</x:v>
      </x:c>
      <x:c r="R168" s="2">
        <x:v>0.747</x:v>
      </x:c>
      <x:c r="S168" s="2" t="s">
        <x:v>207</x:v>
      </x:c>
      <x:c r="T168" s="2">
        <x:v>20</x:v>
      </x:c>
      <x:c r="U168" s="2">
        <x:v>30</x:v>
      </x:c>
      <x:c r="V168" s="2"/>
      <x:c r="W168" s="2"/>
      <x:c r="X168" s="2" t="s">
        <x:v>208</x:v>
      </x:c>
      <x:c r="Y168" s="2" t="s">
        <x:v>113</x:v>
      </x:c>
      <x:c r="Z168" s="2" t="s">
        <x:v>114</x:v>
      </x:c>
    </x:row>
    <x:row r="169" ht="27">
      <x:c r="A169" s="2">
        <x:v>918</x:v>
      </x:c>
      <x:c r="B169" s="2">
        <x:v>2319264</x:v>
      </x:c>
      <x:c r="C169" s="2">
        <x:v>2802768</x:v>
      </x:c>
      <x:c r="D169" s="2">
        <x:v>193873</x:v>
      </x:c>
      <x:c r="E169" s="2" t="s">
        <x:v>45</x:v>
      </x:c>
      <x:c r="F169" s="2" t="s">
        <x:v>206</x:v>
      </x:c>
      <x:c r="G169" s="2" t="s">
        <x:v>106</x:v>
      </x:c>
      <x:c r="H169" s="2" t="s">
        <x:v>107</x:v>
      </x:c>
      <x:c r="I169" s="2" t="s">
        <x:v>209</x:v>
      </x:c>
      <x:c r="J169" s="2">
        <x:v>4</x:v>
      </x:c>
      <x:c r="K169" s="2" t="s">
        <x:v>126</x:v>
      </x:c>
      <x:c r="L169" s="2" t="s">
        <x:v>120</x:v>
      </x:c>
      <x:c r="M169" s="2"/>
      <x:c r="N169" s="2">
        <x:v>4300</x:v>
      </x:c>
      <x:c r="O169" s="2">
        <x:v>3610</x:v>
      </x:c>
      <x:c r="P169" s="2">
        <x:v>5090</x:v>
      </x:c>
      <x:c r="Q169" s="2" t="s">
        <x:v>111</x:v>
      </x:c>
      <x:c r="R169" s="2">
        <x:v>4300</x:v>
      </x:c>
      <x:c r="S169" s="2" t="s">
        <x:v>111</x:v>
      </x:c>
      <x:c r="T169" s="2">
        <x:v>27</x:v>
      </x:c>
      <x:c r="U169" s="2"/>
      <x:c r="V169" s="2"/>
      <x:c r="W169" s="2"/>
      <x:c r="X169" s="2" t="s">
        <x:v>210</x:v>
      </x:c>
      <x:c r="Y169" s="2" t="s">
        <x:v>113</x:v>
      </x:c>
      <x:c r="Z169" s="2" t="s">
        <x:v>114</x:v>
      </x:c>
    </x:row>
    <x:row r="170" ht="27">
      <x:c r="A170" s="2">
        <x:v>933</x:v>
      </x:c>
      <x:c r="B170" s="2">
        <x:v>1054980</x:v>
      </x:c>
      <x:c r="C170" s="2">
        <x:v>131354</x:v>
      </x:c>
      <x:c r="D170" s="2">
        <x:v>3826</x:v>
      </x:c>
      <x:c r="E170" s="2" t="s">
        <x:v>45</x:v>
      </x:c>
      <x:c r="F170" s="2" t="s">
        <x:v>206</x:v>
      </x:c>
      <x:c r="G170" s="2" t="s">
        <x:v>150</x:v>
      </x:c>
      <x:c r="H170" s="2" t="s">
        <x:v>135</x:v>
      </x:c>
      <x:c r="I170" s="2" t="s">
        <x:v>108</x:v>
      </x:c>
      <x:c r="J170" s="2">
        <x:v>4</x:v>
      </x:c>
      <x:c r="K170" s="2" t="s">
        <x:v>117</x:v>
      </x:c>
      <x:c r="L170" s="2" t="s">
        <x:v>110</x:v>
      </x:c>
      <x:c r="M170" s="2"/>
      <x:c r="N170" s="2">
        <x:v>9.593</x:v>
      </x:c>
      <x:c r="O170" s="2">
        <x:v>7.0979999999999999</x:v>
      </x:c>
      <x:c r="P170" s="2">
        <x:v>13.252000000000001</x:v>
      </x:c>
      <x:c r="Q170" s="2" t="s">
        <x:v>207</x:v>
      </x:c>
      <x:c r="R170" s="2">
        <x:v>9.593</x:v>
      </x:c>
      <x:c r="S170" s="2" t="s">
        <x:v>207</x:v>
      </x:c>
      <x:c r="T170" s="2">
        <x:v>15</x:v>
      </x:c>
      <x:c r="U170" s="2">
        <x:v>30</x:v>
      </x:c>
      <x:c r="V170" s="2"/>
      <x:c r="W170" s="2"/>
      <x:c r="X170" s="2" t="s">
        <x:v>208</x:v>
      </x:c>
      <x:c r="Y170" s="2" t="s">
        <x:v>113</x:v>
      </x:c>
      <x:c r="Z170" s="2" t="s">
        <x:v>114</x:v>
      </x:c>
    </x:row>
    <x:row r="171" ht="27">
      <x:c r="A171" s="2">
        <x:v>935</x:v>
      </x:c>
      <x:c r="B171" s="2">
        <x:v>1054977</x:v>
      </x:c>
      <x:c r="C171" s="2">
        <x:v>131351</x:v>
      </x:c>
      <x:c r="D171" s="2">
        <x:v>3826</x:v>
      </x:c>
      <x:c r="E171" s="2" t="s">
        <x:v>45</x:v>
      </x:c>
      <x:c r="F171" s="2" t="s">
        <x:v>206</x:v>
      </x:c>
      <x:c r="G171" s="2" t="s">
        <x:v>141</x:v>
      </x:c>
      <x:c r="H171" s="2" t="s">
        <x:v>135</x:v>
      </x:c>
      <x:c r="I171" s="2" t="s">
        <x:v>108</x:v>
      </x:c>
      <x:c r="J171" s="2">
        <x:v>4</x:v>
      </x:c>
      <x:c r="K171" s="2" t="s">
        <x:v>117</x:v>
      </x:c>
      <x:c r="L171" s="2" t="s">
        <x:v>110</x:v>
      </x:c>
      <x:c r="M171" s="2"/>
      <x:c r="N171" s="2">
        <x:v>3.4660000000000002</x:v>
      </x:c>
      <x:c r="O171" s="2">
        <x:v>2.8210000000000002</x:v>
      </x:c>
      <x:c r="P171" s="2">
        <x:v>4.3170000000000002</x:v>
      </x:c>
      <x:c r="Q171" s="2" t="s">
        <x:v>207</x:v>
      </x:c>
      <x:c r="R171" s="2">
        <x:v>3.4660000000000002</x:v>
      </x:c>
      <x:c r="S171" s="2" t="s">
        <x:v>207</x:v>
      </x:c>
      <x:c r="T171" s="2">
        <x:v>20</x:v>
      </x:c>
      <x:c r="U171" s="2">
        <x:v>30</x:v>
      </x:c>
      <x:c r="V171" s="2"/>
      <x:c r="W171" s="2"/>
      <x:c r="X171" s="2" t="s">
        <x:v>208</x:v>
      </x:c>
      <x:c r="Y171" s="2" t="s">
        <x:v>113</x:v>
      </x:c>
      <x:c r="Z171" s="2" t="s">
        <x:v>114</x:v>
      </x:c>
    </x:row>
    <x:row r="172">
      <x:c r="A172" s="2">
        <x:v>952</x:v>
      </x:c>
      <x:c r="B172" s="2">
        <x:v>1035629</x:v>
      </x:c>
      <x:c r="C172" s="2">
        <x:v>54870</x:v>
      </x:c>
      <x:c r="D172" s="2">
        <x:v>2183</x:v>
      </x:c>
      <x:c r="E172" s="2" t="s">
        <x:v>45</x:v>
      </x:c>
      <x:c r="F172" s="2" t="s">
        <x:v>206</x:v>
      </x:c>
      <x:c r="G172" s="2" t="s">
        <x:v>129</x:v>
      </x:c>
      <x:c r="H172" s="2" t="s">
        <x:v>107</x:v>
      </x:c>
      <x:c r="I172" s="2" t="s">
        <x:v>108</x:v>
      </x:c>
      <x:c r="J172" s="2">
        <x:v>4</x:v>
      </x:c>
      <x:c r="K172" s="2" t="s">
        <x:v>117</x:v>
      </x:c>
      <x:c r="L172" s="2" t="s">
        <x:v>110</x:v>
      </x:c>
      <x:c r="M172" s="2"/>
      <x:c r="N172" s="2">
        <x:v>6000</x:v>
      </x:c>
      <x:c r="O172" s="2">
        <x:v>3900</x:v>
      </x:c>
      <x:c r="P172" s="2">
        <x:v>9100</x:v>
      </x:c>
      <x:c r="Q172" s="2" t="s">
        <x:v>111</x:v>
      </x:c>
      <x:c r="R172" s="2">
        <x:v>6000</x:v>
      </x:c>
      <x:c r="S172" s="2" t="s">
        <x:v>111</x:v>
      </x:c>
      <x:c r="T172" s="2">
        <x:v>20</x:v>
      </x:c>
      <x:c r="U172" s="2">
        <x:v>7</x:v>
      </x:c>
      <x:c r="V172" s="2">
        <x:v>8</x:v>
      </x:c>
      <x:c r="W172" s="2"/>
      <x:c r="X172" s="2" t="s">
        <x:v>130</x:v>
      </x:c>
      <x:c r="Y172" s="2" t="s">
        <x:v>113</x:v>
      </x:c>
      <x:c r="Z172" s="2" t="s">
        <x:v>114</x:v>
      </x:c>
    </x:row>
    <x:row r="173" ht="27">
      <x:c r="A173" s="2">
        <x:v>963</x:v>
      </x:c>
      <x:c r="B173" s="2">
        <x:v>1054978</x:v>
      </x:c>
      <x:c r="C173" s="2">
        <x:v>131352</x:v>
      </x:c>
      <x:c r="D173" s="2">
        <x:v>3826</x:v>
      </x:c>
      <x:c r="E173" s="2" t="s">
        <x:v>45</x:v>
      </x:c>
      <x:c r="F173" s="2" t="s">
        <x:v>206</x:v>
      </x:c>
      <x:c r="G173" s="2" t="s">
        <x:v>141</x:v>
      </x:c>
      <x:c r="H173" s="2" t="s">
        <x:v>135</x:v>
      </x:c>
      <x:c r="I173" s="2" t="s">
        <x:v>108</x:v>
      </x:c>
      <x:c r="J173" s="2">
        <x:v>3</x:v>
      </x:c>
      <x:c r="K173" s="2" t="s">
        <x:v>117</x:v>
      </x:c>
      <x:c r="L173" s="2" t="s">
        <x:v>110</x:v>
      </x:c>
      <x:c r="M173" s="2"/>
      <x:c r="N173" s="2">
        <x:v>6.0060000000000002</x:v>
      </x:c>
      <x:c r="O173" s="2">
        <x:v>4.0949999999999998</x:v>
      </x:c>
      <x:c r="P173" s="2">
        <x:v>8.6959999999999997</x:v>
      </x:c>
      <x:c r="Q173" s="2" t="s">
        <x:v>207</x:v>
      </x:c>
      <x:c r="R173" s="2">
        <x:v>6.0060000000000002</x:v>
      </x:c>
      <x:c r="S173" s="2" t="s">
        <x:v>207</x:v>
      </x:c>
      <x:c r="T173" s="2">
        <x:v>15</x:v>
      </x:c>
      <x:c r="U173" s="2">
        <x:v>30</x:v>
      </x:c>
      <x:c r="V173" s="2"/>
      <x:c r="W173" s="2"/>
      <x:c r="X173" s="2" t="s">
        <x:v>208</x:v>
      </x:c>
      <x:c r="Y173" s="2" t="s">
        <x:v>113</x:v>
      </x:c>
      <x:c r="Z173" s="2" t="s">
        <x:v>114</x:v>
      </x:c>
    </x:row>
    <x:row r="174" ht="27">
      <x:c r="A174" s="2">
        <x:v>972</x:v>
      </x:c>
      <x:c r="B174" s="2">
        <x:v>1096430</x:v>
      </x:c>
      <x:c r="C174" s="2">
        <x:v>121126</x:v>
      </x:c>
      <x:c r="D174" s="2">
        <x:v>6825</x:v>
      </x:c>
      <x:c r="E174" s="2" t="s">
        <x:v>21</x:v>
      </x:c>
      <x:c r="F174" s="2" t="s">
        <x:v>211</x:v>
      </x:c>
      <x:c r="G174" s="2" t="s">
        <x:v>212</x:v>
      </x:c>
      <x:c r="H174" s="2" t="s">
        <x:v>135</x:v>
      </x:c>
      <x:c r="I174" s="2" t="s">
        <x:v>108</x:v>
      </x:c>
      <x:c r="J174" s="2">
        <x:v>2</x:v>
      </x:c>
      <x:c r="K174" s="2" t="s">
        <x:v>117</x:v>
      </x:c>
      <x:c r="L174" s="2" t="s">
        <x:v>110</x:v>
      </x:c>
      <x:c r="M174" s="2"/>
      <x:c r="N174" s="2">
        <x:v>30</x:v>
      </x:c>
      <x:c r="O174" s="2">
        <x:v>23</x:v>
      </x:c>
      <x:c r="P174" s="2">
        <x:v>35</x:v>
      </x:c>
      <x:c r="Q174" s="2" t="s">
        <x:v>111</x:v>
      </x:c>
      <x:c r="R174" s="2">
        <x:v>30</x:v>
      </x:c>
      <x:c r="S174" s="2" t="s">
        <x:v>111</x:v>
      </x:c>
      <x:c r="T174" s="2">
        <x:v>25</x:v>
      </x:c>
      <x:c r="U174" s="2">
        <x:v>25</x:v>
      </x:c>
      <x:c r="V174" s="2"/>
      <x:c r="W174" s="2"/>
      <x:c r="X174" s="2" t="s">
        <x:v>213</x:v>
      </x:c>
      <x:c r="Y174" s="2" t="s">
        <x:v>113</x:v>
      </x:c>
      <x:c r="Z174" s="2" t="s">
        <x:v>114</x:v>
      </x:c>
    </x:row>
    <x:row r="175" ht="27">
      <x:c r="A175" s="2">
        <x:v>981</x:v>
      </x:c>
      <x:c r="B175" s="2">
        <x:v>1096447</x:v>
      </x:c>
      <x:c r="C175" s="2">
        <x:v>130167</x:v>
      </x:c>
      <x:c r="D175" s="2">
        <x:v>6825</x:v>
      </x:c>
      <x:c r="E175" s="2" t="s">
        <x:v>21</x:v>
      </x:c>
      <x:c r="F175" s="2" t="s">
        <x:v>211</x:v>
      </x:c>
      <x:c r="G175" s="2" t="s">
        <x:v>214</x:v>
      </x:c>
      <x:c r="H175" s="2" t="s">
        <x:v>135</x:v>
      </x:c>
      <x:c r="I175" s="2" t="s">
        <x:v>108</x:v>
      </x:c>
      <x:c r="J175" s="2">
        <x:v>2</x:v>
      </x:c>
      <x:c r="K175" s="2" t="s">
        <x:v>117</x:v>
      </x:c>
      <x:c r="L175" s="2" t="s">
        <x:v>215</x:v>
      </x:c>
      <x:c r="M175" s="2"/>
      <x:c r="N175" s="2">
        <x:v>800</x:v>
      </x:c>
      <x:c r="O175" s="2">
        <x:v>310</x:v>
      </x:c>
      <x:c r="P175" s="2">
        <x:v>960</x:v>
      </x:c>
      <x:c r="Q175" s="2" t="s">
        <x:v>111</x:v>
      </x:c>
      <x:c r="R175" s="2">
        <x:v>800</x:v>
      </x:c>
      <x:c r="S175" s="2" t="s">
        <x:v>111</x:v>
      </x:c>
      <x:c r="T175" s="2">
        <x:v>25</x:v>
      </x:c>
      <x:c r="U175" s="2">
        <x:v>23</x:v>
      </x:c>
      <x:c r="V175" s="2"/>
      <x:c r="W175" s="2"/>
      <x:c r="X175" s="2" t="s">
        <x:v>213</x:v>
      </x:c>
      <x:c r="Y175" s="2" t="s">
        <x:v>123</x:v>
      </x:c>
      <x:c r="Z175" s="2" t="s">
        <x:v>216</x:v>
      </x:c>
    </x:row>
    <x:row r="176" ht="27">
      <x:c r="A176" s="2">
        <x:v>983</x:v>
      </x:c>
      <x:c r="B176" s="2">
        <x:v>1096428</x:v>
      </x:c>
      <x:c r="C176" s="2">
        <x:v>121124</x:v>
      </x:c>
      <x:c r="D176" s="2">
        <x:v>6825</x:v>
      </x:c>
      <x:c r="E176" s="2" t="s">
        <x:v>21</x:v>
      </x:c>
      <x:c r="F176" s="2" t="s">
        <x:v>211</x:v>
      </x:c>
      <x:c r="G176" s="2" t="s">
        <x:v>212</x:v>
      </x:c>
      <x:c r="H176" s="2" t="s">
        <x:v>135</x:v>
      </x:c>
      <x:c r="I176" s="2" t="s">
        <x:v>108</x:v>
      </x:c>
      <x:c r="J176" s="2">
        <x:v>2</x:v>
      </x:c>
      <x:c r="K176" s="2" t="s">
        <x:v>117</x:v>
      </x:c>
      <x:c r="L176" s="2" t="s">
        <x:v>110</x:v>
      </x:c>
      <x:c r="M176" s="2"/>
      <x:c r="N176" s="2">
        <x:v>90</x:v>
      </x:c>
      <x:c r="O176" s="2">
        <x:v>60</x:v>
      </x:c>
      <x:c r="P176" s="2">
        <x:v>120</x:v>
      </x:c>
      <x:c r="Q176" s="2" t="s">
        <x:v>111</x:v>
      </x:c>
      <x:c r="R176" s="2">
        <x:v>90</x:v>
      </x:c>
      <x:c r="S176" s="2" t="s">
        <x:v>111</x:v>
      </x:c>
      <x:c r="T176" s="2">
        <x:v>25</x:v>
      </x:c>
      <x:c r="U176" s="2">
        <x:v>33.5</x:v>
      </x:c>
      <x:c r="V176" s="2"/>
      <x:c r="W176" s="2"/>
      <x:c r="X176" s="2" t="s">
        <x:v>213</x:v>
      </x:c>
      <x:c r="Y176" s="2" t="s">
        <x:v>113</x:v>
      </x:c>
      <x:c r="Z176" s="2" t="s">
        <x:v>114</x:v>
      </x:c>
    </x:row>
    <x:row r="177" ht="27">
      <x:c r="A177" s="2">
        <x:v>995</x:v>
      </x:c>
      <x:c r="B177" s="2">
        <x:v>1033122</x:v>
      </x:c>
      <x:c r="C177" s="2">
        <x:v>107272</x:v>
      </x:c>
      <x:c r="D177" s="2">
        <x:v>2084</x:v>
      </x:c>
      <x:c r="E177" s="2" t="s">
        <x:v>21</x:v>
      </x:c>
      <x:c r="F177" s="2" t="s">
        <x:v>211</x:v>
      </x:c>
      <x:c r="G177" s="2" t="s">
        <x:v>116</x:v>
      </x:c>
      <x:c r="H177" s="2" t="s">
        <x:v>107</x:v>
      </x:c>
      <x:c r="I177" s="2"/>
      <x:c r="J177" s="2">
        <x:v>2</x:v>
      </x:c>
      <x:c r="K177" s="2" t="s">
        <x:v>117</x:v>
      </x:c>
      <x:c r="L177" s="2" t="s">
        <x:v>110</x:v>
      </x:c>
      <x:c r="M177" s="2"/>
      <x:c r="N177" s="2">
        <x:v>1076</x:v>
      </x:c>
      <x:c r="O177" s="2"/>
      <x:c r="P177" s="2"/>
      <x:c r="Q177" s="2" t="s">
        <x:v>111</x:v>
      </x:c>
      <x:c r="R177" s="2">
        <x:v>1076</x:v>
      </x:c>
      <x:c r="S177" s="2" t="s">
        <x:v>111</x:v>
      </x:c>
      <x:c r="T177" s="2">
        <x:v>18</x:v>
      </x:c>
      <x:c r="U177" s="2"/>
      <x:c r="V177" s="2"/>
      <x:c r="W177" s="2"/>
      <x:c r="X177" s="2" t="s">
        <x:v>217</x:v>
      </x:c>
      <x:c r="Y177" s="2" t="s">
        <x:v>138</x:v>
      </x:c>
      <x:c r="Z177" s="2" t="s">
        <x:v>139</x:v>
      </x:c>
    </x:row>
    <x:row r="178" ht="27">
      <x:c r="A178" s="2">
        <x:v>997</x:v>
      </x:c>
      <x:c r="B178" s="2">
        <x:v>1096431</x:v>
      </x:c>
      <x:c r="C178" s="2">
        <x:v>121127</x:v>
      </x:c>
      <x:c r="D178" s="2">
        <x:v>6825</x:v>
      </x:c>
      <x:c r="E178" s="2" t="s">
        <x:v>21</x:v>
      </x:c>
      <x:c r="F178" s="2" t="s">
        <x:v>211</x:v>
      </x:c>
      <x:c r="G178" s="2" t="s">
        <x:v>212</x:v>
      </x:c>
      <x:c r="H178" s="2" t="s">
        <x:v>135</x:v>
      </x:c>
      <x:c r="I178" s="2" t="s">
        <x:v>108</x:v>
      </x:c>
      <x:c r="J178" s="2">
        <x:v>2</x:v>
      </x:c>
      <x:c r="K178" s="2" t="s">
        <x:v>117</x:v>
      </x:c>
      <x:c r="L178" s="2" t="s">
        <x:v>110</x:v>
      </x:c>
      <x:c r="M178" s="2"/>
      <x:c r="N178" s="2">
        <x:v>23</x:v>
      </x:c>
      <x:c r="O178" s="2">
        <x:v>4</x:v>
      </x:c>
      <x:c r="P178" s="2">
        <x:v>36</x:v>
      </x:c>
      <x:c r="Q178" s="2" t="s">
        <x:v>111</x:v>
      </x:c>
      <x:c r="R178" s="2">
        <x:v>23</x:v>
      </x:c>
      <x:c r="S178" s="2" t="s">
        <x:v>111</x:v>
      </x:c>
      <x:c r="T178" s="2">
        <x:v>25</x:v>
      </x:c>
      <x:c r="U178" s="2">
        <x:v>28</x:v>
      </x:c>
      <x:c r="V178" s="2"/>
      <x:c r="W178" s="2"/>
      <x:c r="X178" s="2" t="s">
        <x:v>213</x:v>
      </x:c>
      <x:c r="Y178" s="2" t="s">
        <x:v>113</x:v>
      </x:c>
      <x:c r="Z178" s="2" t="s">
        <x:v>114</x:v>
      </x:c>
    </x:row>
    <x:row r="179" ht="27">
      <x:c r="A179" s="2">
        <x:v>1006</x:v>
      </x:c>
      <x:c r="B179" s="2">
        <x:v>1340234</x:v>
      </x:c>
      <x:c r="C179" s="2">
        <x:v>801239</x:v>
      </x:c>
      <x:c r="D179" s="2">
        <x:v>111830</x:v>
      </x:c>
      <x:c r="E179" s="2" t="s">
        <x:v>21</x:v>
      </x:c>
      <x:c r="F179" s="2" t="s">
        <x:v>211</x:v>
      </x:c>
      <x:c r="G179" s="2" t="s">
        <x:v>218</x:v>
      </x:c>
      <x:c r="H179" s="2" t="s">
        <x:v>107</x:v>
      </x:c>
      <x:c r="I179" s="2" t="s">
        <x:v>125</x:v>
      </x:c>
      <x:c r="J179" s="2">
        <x:v>4</x:v>
      </x:c>
      <x:c r="K179" s="2" t="s">
        <x:v>117</x:v>
      </x:c>
      <x:c r="L179" s="2" t="s">
        <x:v>110</x:v>
      </x:c>
      <x:c r="M179" s="2"/>
      <x:c r="N179" s="2">
        <x:v>1.7</x:v>
      </x:c>
      <x:c r="O179" s="2">
        <x:v>1.1000000000000001</x:v>
      </x:c>
      <x:c r="P179" s="2">
        <x:v>2.5</x:v>
      </x:c>
      <x:c r="Q179" s="2" t="s">
        <x:v>121</x:v>
      </x:c>
      <x:c r="R179" s="2">
        <x:v>1.7</x:v>
      </x:c>
      <x:c r="S179" s="2" t="s">
        <x:v>121</x:v>
      </x:c>
      <x:c r="T179" s="2">
        <x:v>21</x:v>
      </x:c>
      <x:c r="U179" s="2">
        <x:v>32</x:v>
      </x:c>
      <x:c r="V179" s="2">
        <x:v>8.1999999999999993</x:v>
      </x:c>
      <x:c r="W179" s="2"/>
      <x:c r="X179" s="2" t="s">
        <x:v>219</x:v>
      </x:c>
      <x:c r="Y179" s="2" t="s">
        <x:v>113</x:v>
      </x:c>
      <x:c r="Z179" s="2" t="s">
        <x:v>114</x:v>
      </x:c>
    </x:row>
    <x:row r="180" ht="27">
      <x:c r="A180" s="2">
        <x:v>1007</x:v>
      </x:c>
      <x:c r="B180" s="2">
        <x:v>1096427</x:v>
      </x:c>
      <x:c r="C180" s="2">
        <x:v>121123</x:v>
      </x:c>
      <x:c r="D180" s="2">
        <x:v>6825</x:v>
      </x:c>
      <x:c r="E180" s="2" t="s">
        <x:v>21</x:v>
      </x:c>
      <x:c r="F180" s="2" t="s">
        <x:v>211</x:v>
      </x:c>
      <x:c r="G180" s="2" t="s">
        <x:v>212</x:v>
      </x:c>
      <x:c r="H180" s="2" t="s">
        <x:v>135</x:v>
      </x:c>
      <x:c r="I180" s="2" t="s">
        <x:v>108</x:v>
      </x:c>
      <x:c r="J180" s="2">
        <x:v>2</x:v>
      </x:c>
      <x:c r="K180" s="2" t="s">
        <x:v>117</x:v>
      </x:c>
      <x:c r="L180" s="2" t="s">
        <x:v>110</x:v>
      </x:c>
      <x:c r="M180" s="2"/>
      <x:c r="N180" s="2">
        <x:v>14</x:v>
      </x:c>
      <x:c r="O180" s="2">
        <x:v>5</x:v>
      </x:c>
      <x:c r="P180" s="2">
        <x:v>40</x:v>
      </x:c>
      <x:c r="Q180" s="2" t="s">
        <x:v>111</x:v>
      </x:c>
      <x:c r="R180" s="2">
        <x:v>14</x:v>
      </x:c>
      <x:c r="S180" s="2" t="s">
        <x:v>111</x:v>
      </x:c>
      <x:c r="T180" s="2">
        <x:v>25</x:v>
      </x:c>
      <x:c r="U180" s="2">
        <x:v>33.5</x:v>
      </x:c>
      <x:c r="V180" s="2"/>
      <x:c r="W180" s="2"/>
      <x:c r="X180" s="2" t="s">
        <x:v>213</x:v>
      </x:c>
      <x:c r="Y180" s="2" t="s">
        <x:v>113</x:v>
      </x:c>
      <x:c r="Z180" s="2" t="s">
        <x:v>114</x:v>
      </x:c>
    </x:row>
    <x:row r="181" ht="27">
      <x:c r="A181" s="2">
        <x:v>1010</x:v>
      </x:c>
      <x:c r="B181" s="2">
        <x:v>1096445</x:v>
      </x:c>
      <x:c r="C181" s="2">
        <x:v>130165</x:v>
      </x:c>
      <x:c r="D181" s="2">
        <x:v>6825</x:v>
      </x:c>
      <x:c r="E181" s="2" t="s">
        <x:v>21</x:v>
      </x:c>
      <x:c r="F181" s="2" t="s">
        <x:v>211</x:v>
      </x:c>
      <x:c r="G181" s="2" t="s">
        <x:v>214</x:v>
      </x:c>
      <x:c r="H181" s="2" t="s">
        <x:v>135</x:v>
      </x:c>
      <x:c r="I181" s="2" t="s">
        <x:v>108</x:v>
      </x:c>
      <x:c r="J181" s="2">
        <x:v>2</x:v>
      </x:c>
      <x:c r="K181" s="2" t="s">
        <x:v>117</x:v>
      </x:c>
      <x:c r="L181" s="2" t="s">
        <x:v>110</x:v>
      </x:c>
      <x:c r="M181" s="2"/>
      <x:c r="N181" s="2">
        <x:v>320</x:v>
      </x:c>
      <x:c r="O181" s="2">
        <x:v>110</x:v>
      </x:c>
      <x:c r="P181" s="2">
        <x:v>940</x:v>
      </x:c>
      <x:c r="Q181" s="2" t="s">
        <x:v>111</x:v>
      </x:c>
      <x:c r="R181" s="2">
        <x:v>320</x:v>
      </x:c>
      <x:c r="S181" s="2" t="s">
        <x:v>111</x:v>
      </x:c>
      <x:c r="T181" s="2">
        <x:v>25</x:v>
      </x:c>
      <x:c r="U181" s="2">
        <x:v>33.5</x:v>
      </x:c>
      <x:c r="V181" s="2"/>
      <x:c r="W181" s="2"/>
      <x:c r="X181" s="2" t="s">
        <x:v>213</x:v>
      </x:c>
      <x:c r="Y181" s="2" t="s">
        <x:v>113</x:v>
      </x:c>
      <x:c r="Z181" s="2" t="s">
        <x:v>114</x:v>
      </x:c>
    </x:row>
    <x:row r="182" ht="27">
      <x:c r="A182" s="2">
        <x:v>1014</x:v>
      </x:c>
      <x:c r="B182" s="2">
        <x:v>1096429</x:v>
      </x:c>
      <x:c r="C182" s="2">
        <x:v>121125</x:v>
      </x:c>
      <x:c r="D182" s="2">
        <x:v>6825</x:v>
      </x:c>
      <x:c r="E182" s="2" t="s">
        <x:v>21</x:v>
      </x:c>
      <x:c r="F182" s="2" t="s">
        <x:v>211</x:v>
      </x:c>
      <x:c r="G182" s="2" t="s">
        <x:v>212</x:v>
      </x:c>
      <x:c r="H182" s="2" t="s">
        <x:v>135</x:v>
      </x:c>
      <x:c r="I182" s="2" t="s">
        <x:v>108</x:v>
      </x:c>
      <x:c r="J182" s="2">
        <x:v>2</x:v>
      </x:c>
      <x:c r="K182" s="2" t="s">
        <x:v>117</x:v>
      </x:c>
      <x:c r="L182" s="2" t="s">
        <x:v>110</x:v>
      </x:c>
      <x:c r="M182" s="2"/>
      <x:c r="N182" s="2">
        <x:v>4</x:v>
      </x:c>
      <x:c r="O182" s="2">
        <x:v>0</x:v>
      </x:c>
      <x:c r="P182" s="2">
        <x:v>18</x:v>
      </x:c>
      <x:c r="Q182" s="2" t="s">
        <x:v>111</x:v>
      </x:c>
      <x:c r="R182" s="2">
        <x:v>4</x:v>
      </x:c>
      <x:c r="S182" s="2" t="s">
        <x:v>111</x:v>
      </x:c>
      <x:c r="T182" s="2">
        <x:v>25</x:v>
      </x:c>
      <x:c r="U182" s="2">
        <x:v>23</x:v>
      </x:c>
      <x:c r="V182" s="2"/>
      <x:c r="W182" s="2"/>
      <x:c r="X182" s="2" t="s">
        <x:v>213</x:v>
      </x:c>
      <x:c r="Y182" s="2" t="s">
        <x:v>123</x:v>
      </x:c>
      <x:c r="Z182" s="2" t="s">
        <x:v>216</x:v>
      </x:c>
    </x:row>
    <x:row r="183" ht="27">
      <x:c r="A183" s="2">
        <x:v>1019</x:v>
      </x:c>
      <x:c r="B183" s="2">
        <x:v>1340235</x:v>
      </x:c>
      <x:c r="C183" s="2">
        <x:v>801240</x:v>
      </x:c>
      <x:c r="D183" s="2">
        <x:v>111830</x:v>
      </x:c>
      <x:c r="E183" s="2" t="s">
        <x:v>21</x:v>
      </x:c>
      <x:c r="F183" s="2" t="s">
        <x:v>211</x:v>
      </x:c>
      <x:c r="G183" s="2" t="s">
        <x:v>218</x:v>
      </x:c>
      <x:c r="H183" s="2" t="s">
        <x:v>107</x:v>
      </x:c>
      <x:c r="I183" s="2" t="s">
        <x:v>108</x:v>
      </x:c>
      <x:c r="J183" s="2">
        <x:v>4</x:v>
      </x:c>
      <x:c r="K183" s="2" t="s">
        <x:v>117</x:v>
      </x:c>
      <x:c r="L183" s="2" t="s">
        <x:v>110</x:v>
      </x:c>
      <x:c r="M183" s="2"/>
      <x:c r="N183" s="2">
        <x:v>2.7</x:v>
      </x:c>
      <x:c r="O183" s="2">
        <x:v>1.7</x:v>
      </x:c>
      <x:c r="P183" s="2">
        <x:v>4.2</x:v>
      </x:c>
      <x:c r="Q183" s="2" t="s">
        <x:v>121</x:v>
      </x:c>
      <x:c r="R183" s="2">
        <x:v>2.7</x:v>
      </x:c>
      <x:c r="S183" s="2" t="s">
        <x:v>121</x:v>
      </x:c>
      <x:c r="T183" s="2">
        <x:v>21</x:v>
      </x:c>
      <x:c r="U183" s="2">
        <x:v>32</x:v>
      </x:c>
      <x:c r="V183" s="2">
        <x:v>8.1999999999999993</x:v>
      </x:c>
      <x:c r="W183" s="2"/>
      <x:c r="X183" s="2" t="s">
        <x:v>219</x:v>
      </x:c>
      <x:c r="Y183" s="2" t="s">
        <x:v>113</x:v>
      </x:c>
      <x:c r="Z183" s="2" t="s">
        <x:v>114</x:v>
      </x:c>
    </x:row>
    <x:row r="184" ht="27">
      <x:c r="A184" s="2">
        <x:v>1022</x:v>
      </x:c>
      <x:c r="B184" s="2">
        <x:v>1096448</x:v>
      </x:c>
      <x:c r="C184" s="2">
        <x:v>130168</x:v>
      </x:c>
      <x:c r="D184" s="2">
        <x:v>6825</x:v>
      </x:c>
      <x:c r="E184" s="2" t="s">
        <x:v>21</x:v>
      </x:c>
      <x:c r="F184" s="2" t="s">
        <x:v>211</x:v>
      </x:c>
      <x:c r="G184" s="2" t="s">
        <x:v>214</x:v>
      </x:c>
      <x:c r="H184" s="2" t="s">
        <x:v>135</x:v>
      </x:c>
      <x:c r="I184" s="2" t="s">
        <x:v>108</x:v>
      </x:c>
      <x:c r="J184" s="2">
        <x:v>2</x:v>
      </x:c>
      <x:c r="K184" s="2" t="s">
        <x:v>117</x:v>
      </x:c>
      <x:c r="L184" s="2" t="s">
        <x:v>215</x:v>
      </x:c>
      <x:c r="M184" s="2"/>
      <x:c r="N184" s="2">
        <x:v>700</x:v>
      </x:c>
      <x:c r="O184" s="2">
        <x:v>10</x:v>
      </x:c>
      <x:c r="P184" s="2">
        <x:v>940</x:v>
      </x:c>
      <x:c r="Q184" s="2" t="s">
        <x:v>111</x:v>
      </x:c>
      <x:c r="R184" s="2">
        <x:v>700</x:v>
      </x:c>
      <x:c r="S184" s="2" t="s">
        <x:v>111</x:v>
      </x:c>
      <x:c r="T184" s="2">
        <x:v>25</x:v>
      </x:c>
      <x:c r="U184" s="2">
        <x:v>25</x:v>
      </x:c>
      <x:c r="V184" s="2"/>
      <x:c r="W184" s="2"/>
      <x:c r="X184" s="2" t="s">
        <x:v>213</x:v>
      </x:c>
      <x:c r="Y184" s="2" t="s">
        <x:v>220</x:v>
      </x:c>
      <x:c r="Z184" s="2" t="s">
        <x:v>221</x:v>
      </x:c>
    </x:row>
    <x:row r="185" ht="40.5">
      <x:c r="A185" s="2">
        <x:v>1027</x:v>
      </x:c>
      <x:c r="B185" s="2">
        <x:v>2095611</x:v>
      </x:c>
      <x:c r="C185" s="2">
        <x:v>2175506</x:v>
      </x:c>
      <x:c r="D185" s="2">
        <x:v>161986</x:v>
      </x:c>
      <x:c r="E185" s="2" t="s">
        <x:v>21</x:v>
      </x:c>
      <x:c r="F185" s="2" t="s">
        <x:v>211</x:v>
      </x:c>
      <x:c r="G185" s="2" t="s">
        <x:v>222</x:v>
      </x:c>
      <x:c r="H185" s="2" t="s">
        <x:v>107</x:v>
      </x:c>
      <x:c r="I185" s="2" t="s">
        <x:v>108</x:v>
      </x:c>
      <x:c r="J185" s="2">
        <x:v>4</x:v>
      </x:c>
      <x:c r="K185" s="2" t="s">
        <x:v>117</x:v>
      </x:c>
      <x:c r="L185" s="2" t="s">
        <x:v>110</x:v>
      </x:c>
      <x:c r="M185" s="2"/>
      <x:c r="N185" s="2">
        <x:v>0.38</x:v>
      </x:c>
      <x:c r="O185" s="2">
        <x:v>0.32</x:v>
      </x:c>
      <x:c r="P185" s="2">
        <x:v>0.46</x:v>
      </x:c>
      <x:c r="Q185" s="2" t="s">
        <x:v>121</x:v>
      </x:c>
      <x:c r="R185" s="2">
        <x:v>0.38</x:v>
      </x:c>
      <x:c r="S185" s="2" t="s">
        <x:v>121</x:v>
      </x:c>
      <x:c r="T185" s="2">
        <x:v>20</x:v>
      </x:c>
      <x:c r="U185" s="2">
        <x:v>30</x:v>
      </x:c>
      <x:c r="V185" s="2"/>
      <x:c r="W185" s="2"/>
      <x:c r="X185" s="2" t="s">
        <x:v>223</x:v>
      </x:c>
      <x:c r="Y185" s="2" t="s">
        <x:v>113</x:v>
      </x:c>
      <x:c r="Z185" s="2" t="s">
        <x:v>114</x:v>
      </x:c>
    </x:row>
    <x:row r="186" ht="40.5">
      <x:c r="A186" s="2">
        <x:v>1028</x:v>
      </x:c>
      <x:c r="B186" s="2">
        <x:v>2095611</x:v>
      </x:c>
      <x:c r="C186" s="2">
        <x:v>2175507</x:v>
      </x:c>
      <x:c r="D186" s="2">
        <x:v>161986</x:v>
      </x:c>
      <x:c r="E186" s="2" t="s">
        <x:v>21</x:v>
      </x:c>
      <x:c r="F186" s="2" t="s">
        <x:v>211</x:v>
      </x:c>
      <x:c r="G186" s="2" t="s">
        <x:v>222</x:v>
      </x:c>
      <x:c r="H186" s="2" t="s">
        <x:v>107</x:v>
      </x:c>
      <x:c r="I186" s="2" t="s">
        <x:v>108</x:v>
      </x:c>
      <x:c r="J186" s="2">
        <x:v>4</x:v>
      </x:c>
      <x:c r="K186" s="2" t="s">
        <x:v>117</x:v>
      </x:c>
      <x:c r="L186" s="2" t="s">
        <x:v>110</x:v>
      </x:c>
      <x:c r="M186" s="2"/>
      <x:c r="N186" s="2">
        <x:v>1.1000000000000001</x:v>
      </x:c>
      <x:c r="O186" s="2">
        <x:v>0.81</x:v>
      </x:c>
      <x:c r="P186" s="2">
        <x:v>1.47</x:v>
      </x:c>
      <x:c r="Q186" s="2" t="s">
        <x:v>121</x:v>
      </x:c>
      <x:c r="R186" s="2">
        <x:v>1.1000000000000001</x:v>
      </x:c>
      <x:c r="S186" s="2" t="s">
        <x:v>121</x:v>
      </x:c>
      <x:c r="T186" s="2">
        <x:v>20</x:v>
      </x:c>
      <x:c r="U186" s="2">
        <x:v>30</x:v>
      </x:c>
      <x:c r="V186" s="2"/>
      <x:c r="W186" s="2"/>
      <x:c r="X186" s="2" t="s">
        <x:v>223</x:v>
      </x:c>
      <x:c r="Y186" s="2" t="s">
        <x:v>113</x:v>
      </x:c>
      <x:c r="Z186" s="2" t="s">
        <x:v>114</x:v>
      </x:c>
    </x:row>
    <x:row r="187" ht="40.5">
      <x:c r="A187" s="2">
        <x:v>1029</x:v>
      </x:c>
      <x:c r="B187" s="2">
        <x:v>2095611</x:v>
      </x:c>
      <x:c r="C187" s="2">
        <x:v>2175498</x:v>
      </x:c>
      <x:c r="D187" s="2">
        <x:v>161986</x:v>
      </x:c>
      <x:c r="E187" s="2" t="s">
        <x:v>21</x:v>
      </x:c>
      <x:c r="F187" s="2" t="s">
        <x:v>211</x:v>
      </x:c>
      <x:c r="G187" s="2" t="s">
        <x:v>222</x:v>
      </x:c>
      <x:c r="H187" s="2" t="s">
        <x:v>107</x:v>
      </x:c>
      <x:c r="I187" s="2" t="s">
        <x:v>108</x:v>
      </x:c>
      <x:c r="J187" s="2">
        <x:v>4</x:v>
      </x:c>
      <x:c r="K187" s="2" t="s">
        <x:v>117</x:v>
      </x:c>
      <x:c r="L187" s="2" t="s">
        <x:v>110</x:v>
      </x:c>
      <x:c r="M187" s="2"/>
      <x:c r="N187" s="2">
        <x:v>0.64</x:v>
      </x:c>
      <x:c r="O187" s="2">
        <x:v>0.51</x:v>
      </x:c>
      <x:c r="P187" s="2">
        <x:v>0.82</x:v>
      </x:c>
      <x:c r="Q187" s="2" t="s">
        <x:v>121</x:v>
      </x:c>
      <x:c r="R187" s="2">
        <x:v>0.64</x:v>
      </x:c>
      <x:c r="S187" s="2" t="s">
        <x:v>121</x:v>
      </x:c>
      <x:c r="T187" s="2">
        <x:v>20</x:v>
      </x:c>
      <x:c r="U187" s="2">
        <x:v>30</x:v>
      </x:c>
      <x:c r="V187" s="2"/>
      <x:c r="W187" s="2"/>
      <x:c r="X187" s="2" t="s">
        <x:v>223</x:v>
      </x:c>
      <x:c r="Y187" s="2" t="s">
        <x:v>113</x:v>
      </x:c>
      <x:c r="Z187" s="2" t="s">
        <x:v>114</x:v>
      </x:c>
    </x:row>
    <x:row r="188" ht="27">
      <x:c r="A188" s="2">
        <x:v>1037</x:v>
      </x:c>
      <x:c r="B188" s="2">
        <x:v>1096426</x:v>
      </x:c>
      <x:c r="C188" s="2">
        <x:v>121122</x:v>
      </x:c>
      <x:c r="D188" s="2">
        <x:v>6825</x:v>
      </x:c>
      <x:c r="E188" s="2" t="s">
        <x:v>21</x:v>
      </x:c>
      <x:c r="F188" s="2" t="s">
        <x:v>211</x:v>
      </x:c>
      <x:c r="G188" s="2" t="s">
        <x:v>212</x:v>
      </x:c>
      <x:c r="H188" s="2" t="s">
        <x:v>135</x:v>
      </x:c>
      <x:c r="I188" s="2" t="s">
        <x:v>108</x:v>
      </x:c>
      <x:c r="J188" s="2">
        <x:v>2</x:v>
      </x:c>
      <x:c r="K188" s="2" t="s">
        <x:v>117</x:v>
      </x:c>
      <x:c r="L188" s="2" t="s">
        <x:v>215</x:v>
      </x:c>
      <x:c r="M188" s="2"/>
      <x:c r="N188" s="2">
        <x:v>40</x:v>
      </x:c>
      <x:c r="O188" s="2">
        <x:v>20</x:v>
      </x:c>
      <x:c r="P188" s="2">
        <x:v>80</x:v>
      </x:c>
      <x:c r="Q188" s="2" t="s">
        <x:v>111</x:v>
      </x:c>
      <x:c r="R188" s="2">
        <x:v>40</x:v>
      </x:c>
      <x:c r="S188" s="2" t="s">
        <x:v>111</x:v>
      </x:c>
      <x:c r="T188" s="2">
        <x:v>25</x:v>
      </x:c>
      <x:c r="U188" s="2">
        <x:v>33.5</x:v>
      </x:c>
      <x:c r="V188" s="2"/>
      <x:c r="W188" s="2"/>
      <x:c r="X188" s="2" t="s">
        <x:v>213</x:v>
      </x:c>
      <x:c r="Y188" s="2" t="s">
        <x:v>220</x:v>
      </x:c>
      <x:c r="Z188" s="2" t="s">
        <x:v>221</x:v>
      </x:c>
    </x:row>
    <x:row r="189" ht="27">
      <x:c r="A189" s="2">
        <x:v>1048</x:v>
      </x:c>
      <x:c r="B189" s="2">
        <x:v>1096450</x:v>
      </x:c>
      <x:c r="C189" s="2">
        <x:v>130170</x:v>
      </x:c>
      <x:c r="D189" s="2">
        <x:v>6825</x:v>
      </x:c>
      <x:c r="E189" s="2" t="s">
        <x:v>21</x:v>
      </x:c>
      <x:c r="F189" s="2" t="s">
        <x:v>211</x:v>
      </x:c>
      <x:c r="G189" s="2" t="s">
        <x:v>214</x:v>
      </x:c>
      <x:c r="H189" s="2" t="s">
        <x:v>135</x:v>
      </x:c>
      <x:c r="I189" s="2" t="s">
        <x:v>108</x:v>
      </x:c>
      <x:c r="J189" s="2">
        <x:v>2</x:v>
      </x:c>
      <x:c r="K189" s="2" t="s">
        <x:v>117</x:v>
      </x:c>
      <x:c r="L189" s="2" t="s">
        <x:v>215</x:v>
      </x:c>
      <x:c r="M189" s="2"/>
      <x:c r="N189" s="2">
        <x:v>890</x:v>
      </x:c>
      <x:c r="O189" s="2">
        <x:v>600</x:v>
      </x:c>
      <x:c r="P189" s="2">
        <x:v>1020</x:v>
      </x:c>
      <x:c r="Q189" s="2" t="s">
        <x:v>111</x:v>
      </x:c>
      <x:c r="R189" s="2">
        <x:v>890</x:v>
      </x:c>
      <x:c r="S189" s="2" t="s">
        <x:v>111</x:v>
      </x:c>
      <x:c r="T189" s="2">
        <x:v>25</x:v>
      </x:c>
      <x:c r="U189" s="2">
        <x:v>32</x:v>
      </x:c>
      <x:c r="V189" s="2"/>
      <x:c r="W189" s="2"/>
      <x:c r="X189" s="2" t="s">
        <x:v>213</x:v>
      </x:c>
      <x:c r="Y189" s="2" t="s">
        <x:v>220</x:v>
      </x:c>
      <x:c r="Z189" s="2" t="s">
        <x:v>221</x:v>
      </x:c>
    </x:row>
    <x:row r="190" ht="27">
      <x:c r="A190" s="2">
        <x:v>1052</x:v>
      </x:c>
      <x:c r="B190" s="2">
        <x:v>1033118</x:v>
      </x:c>
      <x:c r="C190" s="2">
        <x:v>107268</x:v>
      </x:c>
      <x:c r="D190" s="2">
        <x:v>2084</x:v>
      </x:c>
      <x:c r="E190" s="2" t="s">
        <x:v>21</x:v>
      </x:c>
      <x:c r="F190" s="2" t="s">
        <x:v>211</x:v>
      </x:c>
      <x:c r="G190" s="2" t="s">
        <x:v>116</x:v>
      </x:c>
      <x:c r="H190" s="2" t="s">
        <x:v>107</x:v>
      </x:c>
      <x:c r="I190" s="2" t="s">
        <x:v>224</x:v>
      </x:c>
      <x:c r="J190" s="2">
        <x:v>2</x:v>
      </x:c>
      <x:c r="K190" s="2" t="s">
        <x:v>117</x:v>
      </x:c>
      <x:c r="L190" s="2" t="s">
        <x:v>110</x:v>
      </x:c>
      <x:c r="M190" s="2"/>
      <x:c r="N190" s="2">
        <x:v>421</x:v>
      </x:c>
      <x:c r="O190" s="2"/>
      <x:c r="P190" s="2"/>
      <x:c r="Q190" s="2" t="s">
        <x:v>111</x:v>
      </x:c>
      <x:c r="R190" s="2">
        <x:v>421</x:v>
      </x:c>
      <x:c r="S190" s="2" t="s">
        <x:v>111</x:v>
      </x:c>
      <x:c r="T190" s="2">
        <x:v>18</x:v>
      </x:c>
      <x:c r="U190" s="2"/>
      <x:c r="V190" s="2"/>
      <x:c r="W190" s="2"/>
      <x:c r="X190" s="2" t="s">
        <x:v>217</x:v>
      </x:c>
      <x:c r="Y190" s="2" t="s">
        <x:v>138</x:v>
      </x:c>
      <x:c r="Z190" s="2" t="s">
        <x:v>139</x:v>
      </x:c>
    </x:row>
    <x:row r="191" ht="27">
      <x:c r="A191" s="2">
        <x:v>1054</x:v>
      </x:c>
      <x:c r="B191" s="2">
        <x:v>1096425</x:v>
      </x:c>
      <x:c r="C191" s="2">
        <x:v>121121</x:v>
      </x:c>
      <x:c r="D191" s="2">
        <x:v>6825</x:v>
      </x:c>
      <x:c r="E191" s="2" t="s">
        <x:v>21</x:v>
      </x:c>
      <x:c r="F191" s="2" t="s">
        <x:v>211</x:v>
      </x:c>
      <x:c r="G191" s="2" t="s">
        <x:v>212</x:v>
      </x:c>
      <x:c r="H191" s="2" t="s">
        <x:v>135</x:v>
      </x:c>
      <x:c r="I191" s="2" t="s">
        <x:v>108</x:v>
      </x:c>
      <x:c r="J191" s="2">
        <x:v>2</x:v>
      </x:c>
      <x:c r="K191" s="2" t="s">
        <x:v>117</x:v>
      </x:c>
      <x:c r="L191" s="2" t="s">
        <x:v>215</x:v>
      </x:c>
      <x:c r="M191" s="2"/>
      <x:c r="N191" s="2">
        <x:v>31</x:v>
      </x:c>
      <x:c r="O191" s="2">
        <x:v>10</x:v>
      </x:c>
      <x:c r="P191" s="2">
        <x:v>46</x:v>
      </x:c>
      <x:c r="Q191" s="2" t="s">
        <x:v>111</x:v>
      </x:c>
      <x:c r="R191" s="2">
        <x:v>31</x:v>
      </x:c>
      <x:c r="S191" s="2" t="s">
        <x:v>111</x:v>
      </x:c>
      <x:c r="T191" s="2">
        <x:v>25</x:v>
      </x:c>
      <x:c r="U191" s="2">
        <x:v>33.5</x:v>
      </x:c>
      <x:c r="V191" s="2"/>
      <x:c r="W191" s="2"/>
      <x:c r="X191" s="2" t="s">
        <x:v>213</x:v>
      </x:c>
      <x:c r="Y191" s="2" t="s">
        <x:v>220</x:v>
      </x:c>
      <x:c r="Z191" s="2" t="s">
        <x:v>221</x:v>
      </x:c>
    </x:row>
    <x:row r="192" ht="27">
      <x:c r="A192" s="2">
        <x:v>1064</x:v>
      </x:c>
      <x:c r="B192" s="2">
        <x:v>1096449</x:v>
      </x:c>
      <x:c r="C192" s="2">
        <x:v>130169</x:v>
      </x:c>
      <x:c r="D192" s="2">
        <x:v>6825</x:v>
      </x:c>
      <x:c r="E192" s="2" t="s">
        <x:v>21</x:v>
      </x:c>
      <x:c r="F192" s="2" t="s">
        <x:v>211</x:v>
      </x:c>
      <x:c r="G192" s="2" t="s">
        <x:v>214</x:v>
      </x:c>
      <x:c r="H192" s="2" t="s">
        <x:v>135</x:v>
      </x:c>
      <x:c r="I192" s="2" t="s">
        <x:v>108</x:v>
      </x:c>
      <x:c r="J192" s="2">
        <x:v>2</x:v>
      </x:c>
      <x:c r="K192" s="2" t="s">
        <x:v>117</x:v>
      </x:c>
      <x:c r="L192" s="2" t="s">
        <x:v>215</x:v>
      </x:c>
      <x:c r="M192" s="2"/>
      <x:c r="N192" s="2">
        <x:v>550</x:v>
      </x:c>
      <x:c r="O192" s="2">
        <x:v>0</x:v>
      </x:c>
      <x:c r="P192" s="2">
        <x:v>860</x:v>
      </x:c>
      <x:c r="Q192" s="2" t="s">
        <x:v>111</x:v>
      </x:c>
      <x:c r="R192" s="2">
        <x:v>550</x:v>
      </x:c>
      <x:c r="S192" s="2" t="s">
        <x:v>111</x:v>
      </x:c>
      <x:c r="T192" s="2">
        <x:v>25</x:v>
      </x:c>
      <x:c r="U192" s="2">
        <x:v>28</x:v>
      </x:c>
      <x:c r="V192" s="2"/>
      <x:c r="W192" s="2"/>
      <x:c r="X192" s="2" t="s">
        <x:v>213</x:v>
      </x:c>
      <x:c r="Y192" s="2" t="s">
        <x:v>220</x:v>
      </x:c>
      <x:c r="Z192" s="2" t="s">
        <x:v>221</x:v>
      </x:c>
    </x:row>
    <x:row r="193" ht="27">
      <x:c r="A193" s="2">
        <x:v>1068</x:v>
      </x:c>
      <x:c r="B193" s="2">
        <x:v>1096446</x:v>
      </x:c>
      <x:c r="C193" s="2">
        <x:v>130166</x:v>
      </x:c>
      <x:c r="D193" s="2">
        <x:v>6825</x:v>
      </x:c>
      <x:c r="E193" s="2" t="s">
        <x:v>21</x:v>
      </x:c>
      <x:c r="F193" s="2" t="s">
        <x:v>211</x:v>
      </x:c>
      <x:c r="G193" s="2" t="s">
        <x:v>214</x:v>
      </x:c>
      <x:c r="H193" s="2" t="s">
        <x:v>135</x:v>
      </x:c>
      <x:c r="I193" s="2" t="s">
        <x:v>108</x:v>
      </x:c>
      <x:c r="J193" s="2">
        <x:v>2</x:v>
      </x:c>
      <x:c r="K193" s="2" t="s">
        <x:v>117</x:v>
      </x:c>
      <x:c r="L193" s="2" t="s">
        <x:v>110</x:v>
      </x:c>
      <x:c r="M193" s="2"/>
      <x:c r="N193" s="2">
        <x:v>420</x:v>
      </x:c>
      <x:c r="O193" s="2">
        <x:v>310</x:v>
      </x:c>
      <x:c r="P193" s="2">
        <x:v>560</x:v>
      </x:c>
      <x:c r="Q193" s="2" t="s">
        <x:v>111</x:v>
      </x:c>
      <x:c r="R193" s="2">
        <x:v>420</x:v>
      </x:c>
      <x:c r="S193" s="2" t="s">
        <x:v>111</x:v>
      </x:c>
      <x:c r="T193" s="2">
        <x:v>25</x:v>
      </x:c>
      <x:c r="U193" s="2">
        <x:v>33.5</x:v>
      </x:c>
      <x:c r="V193" s="2"/>
      <x:c r="W193" s="2"/>
      <x:c r="X193" s="2" t="s">
        <x:v>213</x:v>
      </x:c>
      <x:c r="Y193" s="2" t="s">
        <x:v>113</x:v>
      </x:c>
      <x:c r="Z193" s="2" t="s">
        <x:v>114</x:v>
      </x:c>
    </x:row>
    <x:row r="194" ht="27">
      <x:c r="A194" s="2">
        <x:v>1069</x:v>
      </x:c>
      <x:c r="B194" s="2">
        <x:v>1033121</x:v>
      </x:c>
      <x:c r="C194" s="2">
        <x:v>107271</x:v>
      </x:c>
      <x:c r="D194" s="2">
        <x:v>2084</x:v>
      </x:c>
      <x:c r="E194" s="2" t="s">
        <x:v>21</x:v>
      </x:c>
      <x:c r="F194" s="2" t="s">
        <x:v>211</x:v>
      </x:c>
      <x:c r="G194" s="2" t="s">
        <x:v>116</x:v>
      </x:c>
      <x:c r="H194" s="2" t="s">
        <x:v>107</x:v>
      </x:c>
      <x:c r="I194" s="2"/>
      <x:c r="J194" s="2">
        <x:v>2</x:v>
      </x:c>
      <x:c r="K194" s="2" t="s">
        <x:v>117</x:v>
      </x:c>
      <x:c r="L194" s="2" t="s">
        <x:v>110</x:v>
      </x:c>
      <x:c r="M194" s="2"/>
      <x:c r="N194" s="2">
        <x:v>713</x:v>
      </x:c>
      <x:c r="O194" s="2"/>
      <x:c r="P194" s="2"/>
      <x:c r="Q194" s="2" t="s">
        <x:v>111</x:v>
      </x:c>
      <x:c r="R194" s="2">
        <x:v>713</x:v>
      </x:c>
      <x:c r="S194" s="2" t="s">
        <x:v>111</x:v>
      </x:c>
      <x:c r="T194" s="2">
        <x:v>18</x:v>
      </x:c>
      <x:c r="U194" s="2"/>
      <x:c r="V194" s="2"/>
      <x:c r="W194" s="2"/>
      <x:c r="X194" s="2" t="s">
        <x:v>217</x:v>
      </x:c>
      <x:c r="Y194" s="2" t="s">
        <x:v>138</x:v>
      </x:c>
      <x:c r="Z194" s="2" t="s">
        <x:v>139</x:v>
      </x:c>
    </x:row>
    <x:row r="195" ht="27">
      <x:c r="A195" s="2">
        <x:v>1073</x:v>
      </x:c>
      <x:c r="B195" s="2">
        <x:v>1033119</x:v>
      </x:c>
      <x:c r="C195" s="2">
        <x:v>107269</x:v>
      </x:c>
      <x:c r="D195" s="2">
        <x:v>2084</x:v>
      </x:c>
      <x:c r="E195" s="2" t="s">
        <x:v>21</x:v>
      </x:c>
      <x:c r="F195" s="2" t="s">
        <x:v>211</x:v>
      </x:c>
      <x:c r="G195" s="2" t="s">
        <x:v>116</x:v>
      </x:c>
      <x:c r="H195" s="2" t="s">
        <x:v>107</x:v>
      </x:c>
      <x:c r="I195" s="2" t="s">
        <x:v>108</x:v>
      </x:c>
      <x:c r="J195" s="2">
        <x:v>2</x:v>
      </x:c>
      <x:c r="K195" s="2" t="s">
        <x:v>117</x:v>
      </x:c>
      <x:c r="L195" s="2" t="s">
        <x:v>110</x:v>
      </x:c>
      <x:c r="M195" s="2"/>
      <x:c r="N195" s="2">
        <x:v>1150</x:v>
      </x:c>
      <x:c r="O195" s="2"/>
      <x:c r="P195" s="2"/>
      <x:c r="Q195" s="2" t="s">
        <x:v>111</x:v>
      </x:c>
      <x:c r="R195" s="2">
        <x:v>1150</x:v>
      </x:c>
      <x:c r="S195" s="2" t="s">
        <x:v>111</x:v>
      </x:c>
      <x:c r="T195" s="2">
        <x:v>18</x:v>
      </x:c>
      <x:c r="U195" s="2"/>
      <x:c r="V195" s="2"/>
      <x:c r="W195" s="2"/>
      <x:c r="X195" s="2" t="s">
        <x:v>217</x:v>
      </x:c>
      <x:c r="Y195" s="2" t="s">
        <x:v>138</x:v>
      </x:c>
      <x:c r="Z195" s="2" t="s">
        <x:v>139</x:v>
      </x:c>
    </x:row>
    <x:row r="196" ht="27">
      <x:c r="A196" s="2">
        <x:v>1087</x:v>
      </x:c>
      <x:c r="B196" s="2">
        <x:v>1096432</x:v>
      </x:c>
      <x:c r="C196" s="2">
        <x:v>121128</x:v>
      </x:c>
      <x:c r="D196" s="2">
        <x:v>6825</x:v>
      </x:c>
      <x:c r="E196" s="2" t="s">
        <x:v>21</x:v>
      </x:c>
      <x:c r="F196" s="2" t="s">
        <x:v>211</x:v>
      </x:c>
      <x:c r="G196" s="2" t="s">
        <x:v>212</x:v>
      </x:c>
      <x:c r="H196" s="2" t="s">
        <x:v>135</x:v>
      </x:c>
      <x:c r="I196" s="2" t="s">
        <x:v>108</x:v>
      </x:c>
      <x:c r="J196" s="2">
        <x:v>2</x:v>
      </x:c>
      <x:c r="K196" s="2" t="s">
        <x:v>117</x:v>
      </x:c>
      <x:c r="L196" s="2" t="s">
        <x:v>215</x:v>
      </x:c>
      <x:c r="M196" s="2"/>
      <x:c r="N196" s="2">
        <x:v>31</x:v>
      </x:c>
      <x:c r="O196" s="2">
        <x:v>10</x:v>
      </x:c>
      <x:c r="P196" s="2">
        <x:v>46</x:v>
      </x:c>
      <x:c r="Q196" s="2" t="s">
        <x:v>111</x:v>
      </x:c>
      <x:c r="R196" s="2">
        <x:v>31</x:v>
      </x:c>
      <x:c r="S196" s="2" t="s">
        <x:v>111</x:v>
      </x:c>
      <x:c r="T196" s="2">
        <x:v>25</x:v>
      </x:c>
      <x:c r="U196" s="2">
        <x:v>32</x:v>
      </x:c>
      <x:c r="V196" s="2"/>
      <x:c r="W196" s="2"/>
      <x:c r="X196" s="2" t="s">
        <x:v>213</x:v>
      </x:c>
      <x:c r="Y196" s="2" t="s">
        <x:v>220</x:v>
      </x:c>
      <x:c r="Z196" s="2" t="s">
        <x:v>221</x:v>
      </x:c>
    </x:row>
    <x:row r="197" ht="27">
      <x:c r="A197" s="2">
        <x:v>1105</x:v>
      </x:c>
      <x:c r="B197" s="2">
        <x:v>1033120</x:v>
      </x:c>
      <x:c r="C197" s="2">
        <x:v>107270</x:v>
      </x:c>
      <x:c r="D197" s="2">
        <x:v>2084</x:v>
      </x:c>
      <x:c r="E197" s="2" t="s">
        <x:v>21</x:v>
      </x:c>
      <x:c r="F197" s="2" t="s">
        <x:v>211</x:v>
      </x:c>
      <x:c r="G197" s="2" t="s">
        <x:v>116</x:v>
      </x:c>
      <x:c r="H197" s="2" t="s">
        <x:v>107</x:v>
      </x:c>
      <x:c r="I197" s="2"/>
      <x:c r="J197" s="2">
        <x:v>2</x:v>
      </x:c>
      <x:c r="K197" s="2" t="s">
        <x:v>117</x:v>
      </x:c>
      <x:c r="L197" s="2" t="s">
        <x:v>110</x:v>
      </x:c>
      <x:c r="M197" s="2"/>
      <x:c r="N197" s="2">
        <x:v>783</x:v>
      </x:c>
      <x:c r="O197" s="2"/>
      <x:c r="P197" s="2"/>
      <x:c r="Q197" s="2" t="s">
        <x:v>111</x:v>
      </x:c>
      <x:c r="R197" s="2">
        <x:v>783</x:v>
      </x:c>
      <x:c r="S197" s="2" t="s">
        <x:v>111</x:v>
      </x:c>
      <x:c r="T197" s="2">
        <x:v>18</x:v>
      </x:c>
      <x:c r="U197" s="2"/>
      <x:c r="V197" s="2"/>
      <x:c r="W197" s="2"/>
      <x:c r="X197" s="2" t="s">
        <x:v>217</x:v>
      </x:c>
      <x:c r="Y197" s="2" t="s">
        <x:v>138</x:v>
      </x:c>
      <x:c r="Z197" s="2" t="s">
        <x:v>139</x:v>
      </x:c>
    </x:row>
    <x:row r="198" ht="40.5">
      <x:c r="A198" s="2">
        <x:v>1106</x:v>
      </x:c>
      <x:c r="B198" s="2">
        <x:v>2095567</x:v>
      </x:c>
      <x:c r="C198" s="2">
        <x:v>2175478</x:v>
      </x:c>
      <x:c r="D198" s="2">
        <x:v>161986</x:v>
      </x:c>
      <x:c r="E198" s="2" t="s">
        <x:v>21</x:v>
      </x:c>
      <x:c r="F198" s="2" t="s">
        <x:v>211</x:v>
      </x:c>
      <x:c r="G198" s="2" t="s">
        <x:v>218</x:v>
      </x:c>
      <x:c r="H198" s="2" t="s">
        <x:v>107</x:v>
      </x:c>
      <x:c r="I198" s="2" t="s">
        <x:v>108</x:v>
      </x:c>
      <x:c r="J198" s="2">
        <x:v>4</x:v>
      </x:c>
      <x:c r="K198" s="2" t="s">
        <x:v>117</x:v>
      </x:c>
      <x:c r="L198" s="2" t="s">
        <x:v>110</x:v>
      </x:c>
      <x:c r="M198" s="2"/>
      <x:c r="N198" s="2">
        <x:v>2</x:v>
      </x:c>
      <x:c r="O198" s="2">
        <x:v>1.56</x:v>
      </x:c>
      <x:c r="P198" s="2">
        <x:v>2.25</x:v>
      </x:c>
      <x:c r="Q198" s="2" t="s">
        <x:v>121</x:v>
      </x:c>
      <x:c r="R198" s="2">
        <x:v>2</x:v>
      </x:c>
      <x:c r="S198" s="2" t="s">
        <x:v>121</x:v>
      </x:c>
      <x:c r="T198" s="2">
        <x:v>20</x:v>
      </x:c>
      <x:c r="U198" s="2">
        <x:v>30</x:v>
      </x:c>
      <x:c r="V198" s="2"/>
      <x:c r="W198" s="2"/>
      <x:c r="X198" s="2" t="s">
        <x:v>223</x:v>
      </x:c>
      <x:c r="Y198" s="2" t="s">
        <x:v>113</x:v>
      </x:c>
      <x:c r="Z198" s="2" t="s">
        <x:v>114</x:v>
      </x:c>
    </x:row>
    <x:row r="199" ht="27">
      <x:c r="A199" s="2">
        <x:v>1125</x:v>
      </x:c>
      <x:c r="B199" s="2">
        <x:v>1037874</x:v>
      </x:c>
      <x:c r="C199" s="2">
        <x:v>104479</x:v>
      </x:c>
      <x:c r="D199" s="2">
        <x:v>2332</x:v>
      </x:c>
      <x:c r="E199" s="2" t="s">
        <x:v>21</x:v>
      </x:c>
      <x:c r="F199" s="2" t="s">
        <x:v>211</x:v>
      </x:c>
      <x:c r="G199" s="2" t="s">
        <x:v>129</x:v>
      </x:c>
      <x:c r="H199" s="2" t="s">
        <x:v>107</x:v>
      </x:c>
      <x:c r="I199" s="2"/>
      <x:c r="J199" s="2">
        <x:v>4</x:v>
      </x:c>
      <x:c r="K199" s="2" t="s">
        <x:v>136</x:v>
      </x:c>
      <x:c r="L199" s="2" t="s">
        <x:v>110</x:v>
      </x:c>
      <x:c r="M199" s="2"/>
      <x:c r="N199" s="2">
        <x:v>2800</x:v>
      </x:c>
      <x:c r="O199" s="2">
        <x:v>2000</x:v>
      </x:c>
      <x:c r="P199" s="2">
        <x:v>3900</x:v>
      </x:c>
      <x:c r="Q199" s="2" t="s">
        <x:v>111</x:v>
      </x:c>
      <x:c r="R199" s="2">
        <x:v>2800</x:v>
      </x:c>
      <x:c r="S199" s="2" t="s">
        <x:v>111</x:v>
      </x:c>
      <x:c r="T199" s="2"/>
      <x:c r="U199" s="2">
        <x:v>25</x:v>
      </x:c>
      <x:c r="V199" s="2"/>
      <x:c r="W199" s="2"/>
      <x:c r="X199" s="2" t="s">
        <x:v>205</x:v>
      </x:c>
      <x:c r="Y199" s="2" t="s">
        <x:v>113</x:v>
      </x:c>
      <x:c r="Z199" s="2" t="s">
        <x:v>114</x:v>
      </x:c>
    </x:row>
    <x:row r="200" ht="40.5">
      <x:c r="A200" s="2">
        <x:v>1144</x:v>
      </x:c>
      <x:c r="B200" s="2">
        <x:v>2299150</x:v>
      </x:c>
      <x:c r="C200" s="2">
        <x:v>2706689</x:v>
      </x:c>
      <x:c r="D200" s="2">
        <x:v>5185</x:v>
      </x:c>
      <x:c r="E200" s="2" t="s">
        <x:v>21</x:v>
      </x:c>
      <x:c r="F200" s="2" t="s">
        <x:v>211</x:v>
      </x:c>
      <x:c r="G200" s="2" t="s">
        <x:v>129</x:v>
      </x:c>
      <x:c r="H200" s="2" t="s">
        <x:v>107</x:v>
      </x:c>
      <x:c r="I200" s="2" t="s">
        <x:v>108</x:v>
      </x:c>
      <x:c r="J200" s="2">
        <x:v>4</x:v>
      </x:c>
      <x:c r="K200" s="2" t="s">
        <x:v>117</x:v>
      </x:c>
      <x:c r="L200" s="2" t="s">
        <x:v>110</x:v>
      </x:c>
      <x:c r="M200" s="2"/>
      <x:c r="N200" s="2">
        <x:v>4.3</x:v>
      </x:c>
      <x:c r="O200" s="2">
        <x:v>3.6</x:v>
      </x:c>
      <x:c r="P200" s="2">
        <x:v>5.0999999999999996</x:v>
      </x:c>
      <x:c r="Q200" s="2" t="s">
        <x:v>121</x:v>
      </x:c>
      <x:c r="R200" s="2">
        <x:v>4.3</x:v>
      </x:c>
      <x:c r="S200" s="2" t="s">
        <x:v>121</x:v>
      </x:c>
      <x:c r="T200" s="2">
        <x:v>21</x:v>
      </x:c>
      <x:c r="U200" s="2">
        <x:v>7</x:v>
      </x:c>
      <x:c r="V200" s="2">
        <x:v>7.8</x:v>
      </x:c>
      <x:c r="W200" s="2"/>
      <x:c r="X200" s="2" t="s">
        <x:v>225</x:v>
      </x:c>
      <x:c r="Y200" s="2" t="s">
        <x:v>113</x:v>
      </x:c>
      <x:c r="Z200" s="2" t="s">
        <x:v>114</x:v>
      </x:c>
    </x:row>
    <x:row r="201" ht="27">
      <x:c r="A201" s="2">
        <x:v>1145</x:v>
      </x:c>
      <x:c r="B201" s="2">
        <x:v>2101666</x:v>
      </x:c>
      <x:c r="C201" s="2">
        <x:v>2186591</x:v>
      </x:c>
      <x:c r="D201" s="2">
        <x:v>150008</x:v>
      </x:c>
      <x:c r="E201" s="2" t="s">
        <x:v>21</x:v>
      </x:c>
      <x:c r="F201" s="2" t="s">
        <x:v>211</x:v>
      </x:c>
      <x:c r="G201" s="2" t="s">
        <x:v>106</x:v>
      </x:c>
      <x:c r="H201" s="2" t="s">
        <x:v>107</x:v>
      </x:c>
      <x:c r="I201" s="2" t="s">
        <x:v>125</x:v>
      </x:c>
      <x:c r="J201" s="2">
        <x:v>4</x:v>
      </x:c>
      <x:c r="K201" s="2" t="s">
        <x:v>126</x:v>
      </x:c>
      <x:c r="L201" s="2" t="s">
        <x:v>120</x:v>
      </x:c>
      <x:c r="M201" s="2"/>
      <x:c r="N201" s="2">
        <x:v>1.1399999999999999</x:v>
      </x:c>
      <x:c r="O201" s="2">
        <x:v>0.86</x:v>
      </x:c>
      <x:c r="P201" s="2">
        <x:v>1.5</x:v>
      </x:c>
      <x:c r="Q201" s="2" t="s">
        <x:v>121</x:v>
      </x:c>
      <x:c r="R201" s="2">
        <x:v>1.1399999999999999</x:v>
      </x:c>
      <x:c r="S201" s="2" t="s">
        <x:v>121</x:v>
      </x:c>
      <x:c r="T201" s="2">
        <x:v>25</x:v>
      </x:c>
      <x:c r="U201" s="2"/>
      <x:c r="V201" s="2"/>
      <x:c r="W201" s="2"/>
      <x:c r="X201" s="2" t="s">
        <x:v>127</x:v>
      </x:c>
      <x:c r="Y201" s="2" t="s">
        <x:v>113</x:v>
      </x:c>
      <x:c r="Z201" s="2" t="s">
        <x:v>114</x:v>
      </x:c>
    </x:row>
    <x:row r="202" ht="27">
      <x:c r="A202" s="2">
        <x:v>1150</x:v>
      </x:c>
      <x:c r="B202" s="2">
        <x:v>1037871</x:v>
      </x:c>
      <x:c r="C202" s="2">
        <x:v>104476</x:v>
      </x:c>
      <x:c r="D202" s="2">
        <x:v>2332</x:v>
      </x:c>
      <x:c r="E202" s="2" t="s">
        <x:v>21</x:v>
      </x:c>
      <x:c r="F202" s="2" t="s">
        <x:v>211</x:v>
      </x:c>
      <x:c r="G202" s="2" t="s">
        <x:v>129</x:v>
      </x:c>
      <x:c r="H202" s="2" t="s">
        <x:v>107</x:v>
      </x:c>
      <x:c r="I202" s="2"/>
      <x:c r="J202" s="2">
        <x:v>4</x:v>
      </x:c>
      <x:c r="K202" s="2" t="s">
        <x:v>136</x:v>
      </x:c>
      <x:c r="L202" s="2" t="s">
        <x:v>110</x:v>
      </x:c>
      <x:c r="M202" s="2"/>
      <x:c r="N202" s="2">
        <x:v>2400</x:v>
      </x:c>
      <x:c r="O202" s="2">
        <x:v>2000</x:v>
      </x:c>
      <x:c r="P202" s="2">
        <x:v>2900</x:v>
      </x:c>
      <x:c r="Q202" s="2" t="s">
        <x:v>111</x:v>
      </x:c>
      <x:c r="R202" s="2">
        <x:v>2400</x:v>
      </x:c>
      <x:c r="S202" s="2" t="s">
        <x:v>111</x:v>
      </x:c>
      <x:c r="T202" s="2"/>
      <x:c r="U202" s="2">
        <x:v>15</x:v>
      </x:c>
      <x:c r="V202" s="2"/>
      <x:c r="W202" s="2"/>
      <x:c r="X202" s="2" t="s">
        <x:v>205</x:v>
      </x:c>
      <x:c r="Y202" s="2" t="s">
        <x:v>113</x:v>
      </x:c>
      <x:c r="Z202" s="2" t="s">
        <x:v>114</x:v>
      </x:c>
    </x:row>
    <x:row r="203" ht="27">
      <x:c r="A203" s="2">
        <x:v>1156</x:v>
      </x:c>
      <x:c r="B203" s="2">
        <x:v>1278692</x:v>
      </x:c>
      <x:c r="C203" s="2">
        <x:v>731972</x:v>
      </x:c>
      <x:c r="D203" s="2">
        <x:v>62291</x:v>
      </x:c>
      <x:c r="E203" s="2" t="s">
        <x:v>21</x:v>
      </x:c>
      <x:c r="F203" s="2" t="s">
        <x:v>211</x:v>
      </x:c>
      <x:c r="G203" s="2" t="s">
        <x:v>226</x:v>
      </x:c>
      <x:c r="H203" s="2" t="s">
        <x:v>107</x:v>
      </x:c>
      <x:c r="I203" s="2" t="s">
        <x:v>108</x:v>
      </x:c>
      <x:c r="J203" s="2">
        <x:v>4</x:v>
      </x:c>
      <x:c r="K203" s="2" t="s">
        <x:v>126</x:v>
      </x:c>
      <x:c r="L203" s="2" t="s">
        <x:v>110</x:v>
      </x:c>
      <x:c r="M203" s="2"/>
      <x:c r="N203" s="2">
        <x:v>715.2</x:v>
      </x:c>
      <x:c r="O203" s="2">
        <x:v>666.4</x:v>
      </x:c>
      <x:c r="P203" s="2">
        <x:v>764</x:v>
      </x:c>
      <x:c r="Q203" s="2" t="s">
        <x:v>111</x:v>
      </x:c>
      <x:c r="R203" s="2">
        <x:v>715.2</x:v>
      </x:c>
      <x:c r="S203" s="2" t="s">
        <x:v>111</x:v>
      </x:c>
      <x:c r="T203" s="2">
        <x:v>20</x:v>
      </x:c>
      <x:c r="U203" s="2"/>
      <x:c r="V203" s="2"/>
      <x:c r="W203" s="2"/>
      <x:c r="X203" s="2" t="s">
        <x:v>227</x:v>
      </x:c>
      <x:c r="Y203" s="2" t="s">
        <x:v>113</x:v>
      </x:c>
      <x:c r="Z203" s="2" t="s">
        <x:v>114</x:v>
      </x:c>
    </x:row>
    <x:row r="204" ht="27">
      <x:c r="A204" s="2">
        <x:v>1163</x:v>
      </x:c>
      <x:c r="B204" s="2">
        <x:v>1053489</x:v>
      </x:c>
      <x:c r="C204" s="2">
        <x:v>5143</x:v>
      </x:c>
      <x:c r="D204" s="2">
        <x:v>3735</x:v>
      </x:c>
      <x:c r="E204" s="2" t="s">
        <x:v>10</x:v>
      </x:c>
      <x:c r="F204" s="2" t="s">
        <x:v>228</x:v>
      </x:c>
      <x:c r="G204" s="2" t="s">
        <x:v>146</x:v>
      </x:c>
      <x:c r="H204" s="2" t="s">
        <x:v>135</x:v>
      </x:c>
      <x:c r="I204" s="2" t="s">
        <x:v>108</x:v>
      </x:c>
      <x:c r="J204" s="2">
        <x:v>4</x:v>
      </x:c>
      <x:c r="K204" s="2" t="s">
        <x:v>117</x:v>
      </x:c>
      <x:c r="L204" s="2" t="s">
        <x:v>110</x:v>
      </x:c>
      <x:c r="M204" s="2"/>
      <x:c r="N204" s="2">
        <x:v>235.4</x:v>
      </x:c>
      <x:c r="O204" s="2">
        <x:v>188.7</x:v>
      </x:c>
      <x:c r="P204" s="2">
        <x:v>299.2</x:v>
      </x:c>
      <x:c r="Q204" s="2" t="s">
        <x:v>195</x:v>
      </x:c>
      <x:c r="R204" s="2">
        <x:v>235.4</x:v>
      </x:c>
      <x:c r="S204" s="2" t="s">
        <x:v>195</x:v>
      </x:c>
      <x:c r="T204" s="2">
        <x:v>15</x:v>
      </x:c>
      <x:c r="U204" s="2">
        <x:v>30</x:v>
      </x:c>
      <x:c r="V204" s="2"/>
      <x:c r="W204" s="2"/>
      <x:c r="X204" s="2" t="s">
        <x:v>229</x:v>
      </x:c>
      <x:c r="Y204" s="2" t="s">
        <x:v>113</x:v>
      </x:c>
      <x:c r="Z204" s="2" t="s">
        <x:v>114</x:v>
      </x:c>
    </x:row>
    <x:row r="205" ht="27">
      <x:c r="A205" s="2">
        <x:v>1164</x:v>
      </x:c>
      <x:c r="B205" s="2">
        <x:v>1053490</x:v>
      </x:c>
      <x:c r="C205" s="2">
        <x:v>5144</x:v>
      </x:c>
      <x:c r="D205" s="2">
        <x:v>3735</x:v>
      </x:c>
      <x:c r="E205" s="2" t="s">
        <x:v>10</x:v>
      </x:c>
      <x:c r="F205" s="2" t="s">
        <x:v>228</x:v>
      </x:c>
      <x:c r="G205" s="2" t="s">
        <x:v>150</x:v>
      </x:c>
      <x:c r="H205" s="2" t="s">
        <x:v>135</x:v>
      </x:c>
      <x:c r="I205" s="2" t="s">
        <x:v>108</x:v>
      </x:c>
      <x:c r="J205" s="2">
        <x:v>4</x:v>
      </x:c>
      <x:c r="K205" s="2" t="s">
        <x:v>117</x:v>
      </x:c>
      <x:c r="L205" s="2" t="s">
        <x:v>110</x:v>
      </x:c>
      <x:c r="M205" s="2"/>
      <x:c r="N205" s="2">
        <x:v>0.92800000000000005</x:v>
      </x:c>
      <x:c r="O205" s="2">
        <x:v>0.76100000000000001</x:v>
      </x:c>
      <x:c r="P205" s="2">
        <x:v>1.119</x:v>
      </x:c>
      <x:c r="Q205" s="2" t="s">
        <x:v>207</x:v>
      </x:c>
      <x:c r="R205" s="2">
        <x:v>0.92800000000000005</x:v>
      </x:c>
      <x:c r="S205" s="2" t="s">
        <x:v>207</x:v>
      </x:c>
      <x:c r="T205" s="2">
        <x:v>15</x:v>
      </x:c>
      <x:c r="U205" s="2">
        <x:v>30</x:v>
      </x:c>
      <x:c r="V205" s="2"/>
      <x:c r="W205" s="2"/>
      <x:c r="X205" s="2" t="s">
        <x:v>229</x:v>
      </x:c>
      <x:c r="Y205" s="2" t="s">
        <x:v>113</x:v>
      </x:c>
      <x:c r="Z205" s="2" t="s">
        <x:v>114</x:v>
      </x:c>
    </x:row>
    <x:row r="206" ht="27">
      <x:c r="A206" s="2">
        <x:v>1165</x:v>
      </x:c>
      <x:c r="B206" s="2">
        <x:v>1053488</x:v>
      </x:c>
      <x:c r="C206" s="2">
        <x:v>5142</x:v>
      </x:c>
      <x:c r="D206" s="2">
        <x:v>3735</x:v>
      </x:c>
      <x:c r="E206" s="2" t="s">
        <x:v>10</x:v>
      </x:c>
      <x:c r="F206" s="2" t="s">
        <x:v>228</x:v>
      </x:c>
      <x:c r="G206" s="2" t="s">
        <x:v>134</x:v>
      </x:c>
      <x:c r="H206" s="2" t="s">
        <x:v>135</x:v>
      </x:c>
      <x:c r="I206" s="2" t="s">
        <x:v>108</x:v>
      </x:c>
      <x:c r="J206" s="2">
        <x:v>3</x:v>
      </x:c>
      <x:c r="K206" s="2" t="s">
        <x:v>117</x:v>
      </x:c>
      <x:c r="L206" s="2" t="s">
        <x:v>110</x:v>
      </x:c>
      <x:c r="M206" s="2"/>
      <x:c r="N206" s="2">
        <x:v>58.1</x:v>
      </x:c>
      <x:c r="O206" s="2">
        <x:v>40.200000000000003</x:v>
      </x:c>
      <x:c r="P206" s="2">
        <x:v>82.9</x:v>
      </x:c>
      <x:c r="Q206" s="2" t="s">
        <x:v>195</x:v>
      </x:c>
      <x:c r="R206" s="2">
        <x:v>58.1</x:v>
      </x:c>
      <x:c r="S206" s="2" t="s">
        <x:v>195</x:v>
      </x:c>
      <x:c r="T206" s="2">
        <x:v>10</x:v>
      </x:c>
      <x:c r="U206" s="2">
        <x:v>30</x:v>
      </x:c>
      <x:c r="V206" s="2"/>
      <x:c r="W206" s="2"/>
      <x:c r="X206" s="2" t="s">
        <x:v>229</x:v>
      </x:c>
      <x:c r="Y206" s="2" t="s">
        <x:v>113</x:v>
      </x:c>
      <x:c r="Z206" s="2" t="s">
        <x:v>114</x:v>
      </x:c>
    </x:row>
    <x:row r="207" ht="40.5">
      <x:c r="A207" s="2">
        <x:v>1166</x:v>
      </x:c>
      <x:c r="B207" s="2">
        <x:v>1301502</x:v>
      </x:c>
      <x:c r="C207" s="2">
        <x:v>757396</x:v>
      </x:c>
      <x:c r="D207" s="2">
        <x:v>115854</x:v>
      </x:c>
      <x:c r="E207" s="2" t="s">
        <x:v>10</x:v>
      </x:c>
      <x:c r="F207" s="2" t="s">
        <x:v>228</x:v>
      </x:c>
      <x:c r="G207" s="2" t="s">
        <x:v>106</x:v>
      </x:c>
      <x:c r="H207" s="2" t="s">
        <x:v>107</x:v>
      </x:c>
      <x:c r="I207" s="2" t="s">
        <x:v>108</x:v>
      </x:c>
      <x:c r="J207" s="2">
        <x:v>4</x:v>
      </x:c>
      <x:c r="K207" s="2" t="s">
        <x:v>109</x:v>
      </x:c>
      <x:c r="L207" s="2" t="s">
        <x:v>110</x:v>
      </x:c>
      <x:c r="M207" s="2"/>
      <x:c r="N207" s="2">
        <x:v>1175</x:v>
      </x:c>
      <x:c r="O207" s="2"/>
      <x:c r="P207" s="2"/>
      <x:c r="Q207" s="2" t="s">
        <x:v>111</x:v>
      </x:c>
      <x:c r="R207" s="2">
        <x:v>1175</x:v>
      </x:c>
      <x:c r="S207" s="2" t="s">
        <x:v>111</x:v>
      </x:c>
      <x:c r="T207" s="2">
        <x:v>25</x:v>
      </x:c>
      <x:c r="U207" s="2">
        <x:v>33</x:v>
      </x:c>
      <x:c r="V207" s="2"/>
      <x:c r="W207" s="2"/>
      <x:c r="X207" s="2" t="s">
        <x:v>112</x:v>
      </x:c>
      <x:c r="Y207" s="2" t="s">
        <x:v>113</x:v>
      </x:c>
      <x:c r="Z207" s="2" t="s">
        <x:v>114</x:v>
      </x:c>
    </x:row>
    <x:row r="208" ht="27">
      <x:c r="A208" s="2">
        <x:v>1167</x:v>
      </x:c>
      <x:c r="B208" s="2">
        <x:v>1053487</x:v>
      </x:c>
      <x:c r="C208" s="2">
        <x:v>5141</x:v>
      </x:c>
      <x:c r="D208" s="2">
        <x:v>3735</x:v>
      </x:c>
      <x:c r="E208" s="2" t="s">
        <x:v>10</x:v>
      </x:c>
      <x:c r="F208" s="2" t="s">
        <x:v>228</x:v>
      </x:c>
      <x:c r="G208" s="2" t="s">
        <x:v>141</x:v>
      </x:c>
      <x:c r="H208" s="2" t="s">
        <x:v>135</x:v>
      </x:c>
      <x:c r="I208" s="2" t="s">
        <x:v>108</x:v>
      </x:c>
      <x:c r="J208" s="2">
        <x:v>4</x:v>
      </x:c>
      <x:c r="K208" s="2" t="s">
        <x:v>117</x:v>
      </x:c>
      <x:c r="L208" s="2" t="s">
        <x:v>110</x:v>
      </x:c>
      <x:c r="M208" s="2"/>
      <x:c r="N208" s="2">
        <x:v>4.9000000000000002E-2</x:v>
      </x:c>
      <x:c r="O208" s="2">
        <x:v>0.04</x:v>
      </x:c>
      <x:c r="P208" s="2">
        <x:v>0.06</x:v>
      </x:c>
      <x:c r="Q208" s="2" t="s">
        <x:v>207</x:v>
      </x:c>
      <x:c r="R208" s="2">
        <x:v>4.9000000000000002E-2</x:v>
      </x:c>
      <x:c r="S208" s="2" t="s">
        <x:v>207</x:v>
      </x:c>
      <x:c r="T208" s="2">
        <x:v>10</x:v>
      </x:c>
      <x:c r="U208" s="2">
        <x:v>30</x:v>
      </x:c>
      <x:c r="V208" s="2"/>
      <x:c r="W208" s="2"/>
      <x:c r="X208" s="2" t="s">
        <x:v>229</x:v>
      </x:c>
      <x:c r="Y208" s="2" t="s">
        <x:v>113</x:v>
      </x:c>
      <x:c r="Z208" s="2" t="s">
        <x:v>114</x:v>
      </x:c>
    </x:row>
    <x:row r="209" ht="27">
      <x:c r="A209" s="2">
        <x:v>1168</x:v>
      </x:c>
      <x:c r="B209" s="2">
        <x:v>2307797</x:v>
      </x:c>
      <x:c r="C209" s="2">
        <x:v>2748544</x:v>
      </x:c>
      <x:c r="D209" s="2">
        <x:v>192310</x:v>
      </x:c>
      <x:c r="E209" s="2" t="s">
        <x:v>51</x:v>
      </x:c>
      <x:c r="F209" s="2" t="s">
        <x:v>230</x:v>
      </x:c>
      <x:c r="G209" s="2" t="s">
        <x:v>231</x:v>
      </x:c>
      <x:c r="H209" s="2" t="s">
        <x:v>135</x:v>
      </x:c>
      <x:c r="I209" s="2" t="s">
        <x:v>108</x:v>
      </x:c>
      <x:c r="J209" s="2">
        <x:v>4</x:v>
      </x:c>
      <x:c r="K209" s="2" t="s">
        <x:v>126</x:v>
      </x:c>
      <x:c r="L209" s="2" t="s">
        <x:v>120</x:v>
      </x:c>
      <x:c r="M209" s="2"/>
      <x:c r="N209" s="2">
        <x:v>0.1</x:v>
      </x:c>
      <x:c r="O209" s="2"/>
      <x:c r="P209" s="2"/>
      <x:c r="Q209" s="2" t="s">
        <x:v>121</x:v>
      </x:c>
      <x:c r="R209" s="2">
        <x:v>0.1</x:v>
      </x:c>
      <x:c r="S209" s="2" t="s">
        <x:v>121</x:v>
      </x:c>
      <x:c r="T209" s="2">
        <x:v>26</x:v>
      </x:c>
      <x:c r="U209" s="2">
        <x:v>29.5</x:v>
      </x:c>
      <x:c r="V209" s="2">
        <x:v>7.8</x:v>
      </x:c>
      <x:c r="W209" s="2"/>
      <x:c r="X209" s="2" t="s">
        <x:v>232</x:v>
      </x:c>
      <x:c r="Y209" s="2" t="s">
        <x:v>113</x:v>
      </x:c>
      <x:c r="Z209" s="2" t="s">
        <x:v>114</x:v>
      </x:c>
    </x:row>
    <x:row r="210" ht="27">
      <x:c r="A210" s="2">
        <x:v>1172</x:v>
      </x:c>
      <x:c r="B210" s="2">
        <x:v>2307792</x:v>
      </x:c>
      <x:c r="C210" s="2">
        <x:v>2748535</x:v>
      </x:c>
      <x:c r="D210" s="2">
        <x:v>192310</x:v>
      </x:c>
      <x:c r="E210" s="2" t="s">
        <x:v>51</x:v>
      </x:c>
      <x:c r="F210" s="2" t="s">
        <x:v>230</x:v>
      </x:c>
      <x:c r="G210" s="2" t="s">
        <x:v>233</x:v>
      </x:c>
      <x:c r="H210" s="2" t="s">
        <x:v>234</x:v>
      </x:c>
      <x:c r="I210" s="2" t="s">
        <x:v>108</x:v>
      </x:c>
      <x:c r="J210" s="2">
        <x:v>4</x:v>
      </x:c>
      <x:c r="K210" s="2" t="s">
        <x:v>126</x:v>
      </x:c>
      <x:c r="L210" s="2" t="s">
        <x:v>120</x:v>
      </x:c>
      <x:c r="M210" s="2"/>
      <x:c r="N210" s="2">
        <x:v>0.05</x:v>
      </x:c>
      <x:c r="O210" s="2"/>
      <x:c r="P210" s="2"/>
      <x:c r="Q210" s="2" t="s">
        <x:v>121</x:v>
      </x:c>
      <x:c r="R210" s="2">
        <x:v>0.05</x:v>
      </x:c>
      <x:c r="S210" s="2" t="s">
        <x:v>121</x:v>
      </x:c>
      <x:c r="T210" s="2">
        <x:v>26</x:v>
      </x:c>
      <x:c r="U210" s="2">
        <x:v>29.5</x:v>
      </x:c>
      <x:c r="V210" s="2">
        <x:v>7.8</x:v>
      </x:c>
      <x:c r="W210" s="2"/>
      <x:c r="X210" s="2" t="s">
        <x:v>232</x:v>
      </x:c>
      <x:c r="Y210" s="2" t="s">
        <x:v>113</x:v>
      </x:c>
      <x:c r="Z210" s="2" t="s">
        <x:v>114</x:v>
      </x:c>
    </x:row>
    <x:row r="211" ht="27">
      <x:c r="A211" s="2">
        <x:v>1191</x:v>
      </x:c>
      <x:c r="B211" s="2">
        <x:v>2146952</x:v>
      </x:c>
      <x:c r="C211" s="2">
        <x:v>2279335</x:v>
      </x:c>
      <x:c r="D211" s="2">
        <x:v>166028</x:v>
      </x:c>
      <x:c r="E211" s="2" t="s">
        <x:v>10</x:v>
      </x:c>
      <x:c r="F211" s="2" t="s">
        <x:v>235</x:v>
      </x:c>
      <x:c r="G211" s="2" t="s">
        <x:v>182</x:v>
      </x:c>
      <x:c r="H211" s="2" t="s">
        <x:v>107</x:v>
      </x:c>
      <x:c r="I211" s="2" t="s">
        <x:v>125</x:v>
      </x:c>
      <x:c r="J211" s="2">
        <x:v>2</x:v>
      </x:c>
      <x:c r="K211" s="2" t="s">
        <x:v>117</x:v>
      </x:c>
      <x:c r="L211" s="2" t="s">
        <x:v>110</x:v>
      </x:c>
      <x:c r="M211" s="2"/>
      <x:c r="N211" s="2">
        <x:v>0.23</x:v>
      </x:c>
      <x:c r="O211" s="2"/>
      <x:c r="P211" s="2"/>
      <x:c r="Q211" s="2" t="s">
        <x:v>121</x:v>
      </x:c>
      <x:c r="R211" s="2">
        <x:v>0.23</x:v>
      </x:c>
      <x:c r="S211" s="2" t="s">
        <x:v>121</x:v>
      </x:c>
      <x:c r="T211" s="2">
        <x:v>20</x:v>
      </x:c>
      <x:c r="U211" s="2">
        <x:v>38</x:v>
      </x:c>
      <x:c r="V211" s="2">
        <x:v>8</x:v>
      </x:c>
      <x:c r="W211" s="2"/>
      <x:c r="X211" s="2" t="s">
        <x:v>236</x:v>
      </x:c>
      <x:c r="Y211" s="2" t="s">
        <x:v>113</x:v>
      </x:c>
      <x:c r="Z211" s="2" t="s">
        <x:v>114</x:v>
      </x:c>
    </x:row>
    <x:row r="212" ht="27">
      <x:c r="A212" s="2">
        <x:v>1198</x:v>
      </x:c>
      <x:c r="B212" s="2">
        <x:v>1070626</x:v>
      </x:c>
      <x:c r="C212" s="2">
        <x:v>12731</x:v>
      </x:c>
      <x:c r="D212" s="2">
        <x:v>5563</x:v>
      </x:c>
      <x:c r="E212" s="2" t="s">
        <x:v>10</x:v>
      </x:c>
      <x:c r="F212" s="2" t="s">
        <x:v>235</x:v>
      </x:c>
      <x:c r="G212" s="2" t="s">
        <x:v>203</x:v>
      </x:c>
      <x:c r="H212" s="2" t="s">
        <x:v>135</x:v>
      </x:c>
      <x:c r="I212" s="2" t="s">
        <x:v>159</x:v>
      </x:c>
      <x:c r="J212" s="2">
        <x:v>1</x:v>
      </x:c>
      <x:c r="K212" s="2" t="s">
        <x:v>117</x:v>
      </x:c>
      <x:c r="L212" s="2" t="s">
        <x:v>110</x:v>
      </x:c>
      <x:c r="M212" s="2"/>
      <x:c r="N212" s="2">
        <x:v>200</x:v>
      </x:c>
      <x:c r="O212" s="2">
        <x:v>80</x:v>
      </x:c>
      <x:c r="P212" s="2">
        <x:v>310</x:v>
      </x:c>
      <x:c r="Q212" s="2" t="s">
        <x:v>111</x:v>
      </x:c>
      <x:c r="R212" s="2">
        <x:v>200</x:v>
      </x:c>
      <x:c r="S212" s="2" t="s">
        <x:v>111</x:v>
      </x:c>
      <x:c r="T212" s="2">
        <x:v>17</x:v>
      </x:c>
      <x:c r="U212" s="2"/>
      <x:c r="V212" s="2"/>
      <x:c r="W212" s="2"/>
      <x:c r="X212" s="2" t="s">
        <x:v>200</x:v>
      </x:c>
      <x:c r="Y212" s="2" t="s">
        <x:v>113</x:v>
      </x:c>
      <x:c r="Z212" s="2" t="s">
        <x:v>114</x:v>
      </x:c>
    </x:row>
    <x:row r="213" ht="40.5">
      <x:c r="A213" s="2">
        <x:v>1201</x:v>
      </x:c>
      <x:c r="B213" s="2">
        <x:v>1155887</x:v>
      </x:c>
      <x:c r="C213" s="2">
        <x:v>159531</x:v>
      </x:c>
      <x:c r="D213" s="2">
        <x:v>13507</x:v>
      </x:c>
      <x:c r="E213" s="2" t="s">
        <x:v>10</x:v>
      </x:c>
      <x:c r="F213" s="2" t="s">
        <x:v>235</x:v>
      </x:c>
      <x:c r="G213" s="2" t="s">
        <x:v>237</x:v>
      </x:c>
      <x:c r="H213" s="2" t="s">
        <x:v>107</x:v>
      </x:c>
      <x:c r="I213" s="2"/>
      <x:c r="J213" s="2">
        <x:v>4</x:v>
      </x:c>
      <x:c r="K213" s="2" t="s">
        <x:v>126</x:v>
      </x:c>
      <x:c r="L213" s="2" t="s">
        <x:v>120</x:v>
      </x:c>
      <x:c r="M213" s="2"/>
      <x:c r="N213" s="2">
        <x:v>178</x:v>
      </x:c>
      <x:c r="O213" s="2"/>
      <x:c r="P213" s="2"/>
      <x:c r="Q213" s="2" t="s">
        <x:v>111</x:v>
      </x:c>
      <x:c r="R213" s="2">
        <x:v>178</x:v>
      </x:c>
      <x:c r="S213" s="2" t="s">
        <x:v>111</x:v>
      </x:c>
      <x:c r="T213" s="2"/>
      <x:c r="U213" s="2">
        <x:v>34</x:v>
      </x:c>
      <x:c r="V213" s="2">
        <x:v>8</x:v>
      </x:c>
      <x:c r="W213" s="2"/>
      <x:c r="X213" s="2" t="s">
        <x:v>238</x:v>
      </x:c>
      <x:c r="Y213" s="2" t="s">
        <x:v>113</x:v>
      </x:c>
      <x:c r="Z213" s="2" t="s">
        <x:v>114</x:v>
      </x:c>
    </x:row>
    <x:row r="214" ht="27">
      <x:c r="A214" s="2">
        <x:v>1206</x:v>
      </x:c>
      <x:c r="B214" s="2">
        <x:v>1135994</x:v>
      </x:c>
      <x:c r="C214" s="2">
        <x:v>90926</x:v>
      </x:c>
      <x:c r="D214" s="2">
        <x:v>11097</x:v>
      </x:c>
      <x:c r="E214" s="2" t="s">
        <x:v>10</x:v>
      </x:c>
      <x:c r="F214" s="2" t="s">
        <x:v>235</x:v>
      </x:c>
      <x:c r="G214" s="2" t="s">
        <x:v>116</x:v>
      </x:c>
      <x:c r="H214" s="2" t="s">
        <x:v>107</x:v>
      </x:c>
      <x:c r="I214" s="2" t="s">
        <x:v>125</x:v>
      </x:c>
      <x:c r="J214" s="2">
        <x:v>2</x:v>
      </x:c>
      <x:c r="K214" s="2" t="s">
        <x:v>117</x:v>
      </x:c>
      <x:c r="L214" s="2" t="s">
        <x:v>110</x:v>
      </x:c>
      <x:c r="M214" s="2"/>
      <x:c r="N214" s="2">
        <x:v>314.2</x:v>
      </x:c>
      <x:c r="O214" s="2"/>
      <x:c r="P214" s="2"/>
      <x:c r="Q214" s="2" t="s">
        <x:v>111</x:v>
      </x:c>
      <x:c r="R214" s="2">
        <x:v>314.2</x:v>
      </x:c>
      <x:c r="S214" s="2" t="s">
        <x:v>111</x:v>
      </x:c>
      <x:c r="T214" s="2">
        <x:v>18</x:v>
      </x:c>
      <x:c r="U214" s="2">
        <x:v>38</x:v>
      </x:c>
      <x:c r="V214" s="2"/>
      <x:c r="W214" s="2"/>
      <x:c r="X214" s="2" t="s">
        <x:v>239</x:v>
      </x:c>
      <x:c r="Y214" s="2" t="s">
        <x:v>113</x:v>
      </x:c>
      <x:c r="Z214" s="2" t="s">
        <x:v>114</x:v>
      </x:c>
    </x:row>
    <x:row r="215" ht="27">
      <x:c r="A215" s="2">
        <x:v>1213</x:v>
      </x:c>
      <x:c r="B215" s="2">
        <x:v>1310646</x:v>
      </x:c>
      <x:c r="C215" s="2">
        <x:v>767829</x:v>
      </x:c>
      <x:c r="D215" s="2">
        <x:v>14474</x:v>
      </x:c>
      <x:c r="E215" s="2" t="s">
        <x:v>10</x:v>
      </x:c>
      <x:c r="F215" s="2" t="s">
        <x:v>235</x:v>
      </x:c>
      <x:c r="G215" s="2" t="s">
        <x:v>116</x:v>
      </x:c>
      <x:c r="H215" s="2" t="s">
        <x:v>107</x:v>
      </x:c>
      <x:c r="I215" s="2" t="s">
        <x:v>108</x:v>
      </x:c>
      <x:c r="J215" s="2">
        <x:v>2</x:v>
      </x:c>
      <x:c r="K215" s="2" t="s">
        <x:v>117</x:v>
      </x:c>
      <x:c r="L215" s="2" t="s">
        <x:v>110</x:v>
      </x:c>
      <x:c r="M215" s="2"/>
      <x:c r="N215" s="2">
        <x:v>0.52890000000000004</x:v>
      </x:c>
      <x:c r="O215" s="2"/>
      <x:c r="P215" s="2"/>
      <x:c r="Q215" s="2" t="s">
        <x:v>121</x:v>
      </x:c>
      <x:c r="R215" s="2">
        <x:v>0.52890000000000004</x:v>
      </x:c>
      <x:c r="S215" s="2" t="s">
        <x:v>121</x:v>
      </x:c>
      <x:c r="T215" s="2"/>
      <x:c r="U215" s="2"/>
      <x:c r="V215" s="2"/>
      <x:c r="W215" s="2"/>
      <x:c r="X215" s="2" t="s">
        <x:v>240</x:v>
      </x:c>
      <x:c r="Y215" s="2" t="s">
        <x:v>113</x:v>
      </x:c>
      <x:c r="Z215" s="2" t="s">
        <x:v>114</x:v>
      </x:c>
    </x:row>
    <x:row r="216" ht="40.5">
      <x:c r="A216" s="2">
        <x:v>1236</x:v>
      </x:c>
      <x:c r="B216" s="2">
        <x:v>1078431</x:v>
      </x:c>
      <x:c r="C216" s="2">
        <x:v>102405</x:v>
      </x:c>
      <x:c r="D216" s="2">
        <x:v>6045</x:v>
      </x:c>
      <x:c r="E216" s="2" t="s">
        <x:v>10</x:v>
      </x:c>
      <x:c r="F216" s="2" t="s">
        <x:v>235</x:v>
      </x:c>
      <x:c r="G216" s="2" t="s">
        <x:v>241</x:v>
      </x:c>
      <x:c r="H216" s="2" t="s">
        <x:v>135</x:v>
      </x:c>
      <x:c r="I216" s="2"/>
      <x:c r="J216" s="2">
        <x:v>1</x:v>
      </x:c>
      <x:c r="K216" s="2" t="s">
        <x:v>117</x:v>
      </x:c>
      <x:c r="L216" s="2" t="s">
        <x:v>110</x:v>
      </x:c>
      <x:c r="M216" s="2"/>
      <x:c r="N216" s="2">
        <x:v>176</x:v>
      </x:c>
      <x:c r="O216" s="2"/>
      <x:c r="P216" s="2"/>
      <x:c r="Q216" s="2" t="s">
        <x:v>195</x:v>
      </x:c>
      <x:c r="R216" s="2">
        <x:v>176</x:v>
      </x:c>
      <x:c r="S216" s="2" t="s">
        <x:v>195</x:v>
      </x:c>
      <x:c r="T216" s="2"/>
      <x:c r="U216" s="2"/>
      <x:c r="V216" s="2"/>
      <x:c r="W216" s="2"/>
      <x:c r="X216" s="2" t="s">
        <x:v>196</x:v>
      </x:c>
      <x:c r="Y216" s="2" t="s">
        <x:v>113</x:v>
      </x:c>
      <x:c r="Z216" s="2" t="s">
        <x:v>114</x:v>
      </x:c>
    </x:row>
    <x:row r="217" ht="27">
      <x:c r="A217" s="2">
        <x:v>1252</x:v>
      </x:c>
      <x:c r="B217" s="2">
        <x:v>2148404</x:v>
      </x:c>
      <x:c r="C217" s="2">
        <x:v>2283208</x:v>
      </x:c>
      <x:c r="D217" s="2">
        <x:v>156333</x:v>
      </x:c>
      <x:c r="E217" s="2" t="s">
        <x:v>10</x:v>
      </x:c>
      <x:c r="F217" s="2" t="s">
        <x:v>235</x:v>
      </x:c>
      <x:c r="G217" s="2" t="s">
        <x:v>242</x:v>
      </x:c>
      <x:c r="H217" s="2" t="s">
        <x:v>107</x:v>
      </x:c>
      <x:c r="I217" s="2" t="s">
        <x:v>108</x:v>
      </x:c>
      <x:c r="J217" s="2">
        <x:v>4</x:v>
      </x:c>
      <x:c r="K217" s="2" t="s">
        <x:v>109</x:v>
      </x:c>
      <x:c r="L217" s="2" t="s">
        <x:v>120</x:v>
      </x:c>
      <x:c r="M217" s="2"/>
      <x:c r="N217" s="2">
        <x:v>238</x:v>
      </x:c>
      <x:c r="O217" s="2"/>
      <x:c r="P217" s="2"/>
      <x:c r="Q217" s="2" t="s">
        <x:v>111</x:v>
      </x:c>
      <x:c r="R217" s="2">
        <x:v>238</x:v>
      </x:c>
      <x:c r="S217" s="2" t="s">
        <x:v>111</x:v>
      </x:c>
      <x:c r="T217" s="2">
        <x:v>21</x:v>
      </x:c>
      <x:c r="U217" s="2">
        <x:v>30</x:v>
      </x:c>
      <x:c r="V217" s="2"/>
      <x:c r="W217" s="2"/>
      <x:c r="X217" s="2" t="s">
        <x:v>243</x:v>
      </x:c>
      <x:c r="Y217" s="2" t="s">
        <x:v>113</x:v>
      </x:c>
      <x:c r="Z217" s="2" t="s">
        <x:v>114</x:v>
      </x:c>
    </x:row>
    <x:row r="218" ht="40.5">
      <x:c r="A218" s="2">
        <x:v>1255</x:v>
      </x:c>
      <x:c r="B218" s="2">
        <x:v>1078425</x:v>
      </x:c>
      <x:c r="C218" s="2">
        <x:v>89398</x:v>
      </x:c>
      <x:c r="D218" s="2">
        <x:v>6045</x:v>
      </x:c>
      <x:c r="E218" s="2" t="s">
        <x:v>10</x:v>
      </x:c>
      <x:c r="F218" s="2" t="s">
        <x:v>235</x:v>
      </x:c>
      <x:c r="G218" s="2" t="s">
        <x:v>244</x:v>
      </x:c>
      <x:c r="H218" s="2" t="s">
        <x:v>135</x:v>
      </x:c>
      <x:c r="I218" s="2"/>
      <x:c r="J218" s="2">
        <x:v>1</x:v>
      </x:c>
      <x:c r="K218" s="2" t="s">
        <x:v>117</x:v>
      </x:c>
      <x:c r="L218" s="2" t="s">
        <x:v>110</x:v>
      </x:c>
      <x:c r="M218" s="2"/>
      <x:c r="N218" s="2">
        <x:v>2778</x:v>
      </x:c>
      <x:c r="O218" s="2"/>
      <x:c r="P218" s="2"/>
      <x:c r="Q218" s="2" t="s">
        <x:v>195</x:v>
      </x:c>
      <x:c r="R218" s="2">
        <x:v>2778</x:v>
      </x:c>
      <x:c r="S218" s="2" t="s">
        <x:v>195</x:v>
      </x:c>
      <x:c r="T218" s="2"/>
      <x:c r="U218" s="2"/>
      <x:c r="V218" s="2"/>
      <x:c r="W218" s="2"/>
      <x:c r="X218" s="2" t="s">
        <x:v>196</x:v>
      </x:c>
      <x:c r="Y218" s="2" t="s">
        <x:v>113</x:v>
      </x:c>
      <x:c r="Z218" s="2" t="s">
        <x:v>114</x:v>
      </x:c>
    </x:row>
    <x:row r="219" ht="27">
      <x:c r="A219" s="2">
        <x:v>1262</x:v>
      </x:c>
      <x:c r="B219" s="2">
        <x:v>1310647</x:v>
      </x:c>
      <x:c r="C219" s="2">
        <x:v>767830</x:v>
      </x:c>
      <x:c r="D219" s="2">
        <x:v>14474</x:v>
      </x:c>
      <x:c r="E219" s="2" t="s">
        <x:v>10</x:v>
      </x:c>
      <x:c r="F219" s="2" t="s">
        <x:v>235</x:v>
      </x:c>
      <x:c r="G219" s="2" t="s">
        <x:v>116</x:v>
      </x:c>
      <x:c r="H219" s="2" t="s">
        <x:v>107</x:v>
      </x:c>
      <x:c r="I219" s="2" t="s">
        <x:v>108</x:v>
      </x:c>
      <x:c r="J219" s="2">
        <x:v>2</x:v>
      </x:c>
      <x:c r="K219" s="2" t="s">
        <x:v>117</x:v>
      </x:c>
      <x:c r="L219" s="2" t="s">
        <x:v>110</x:v>
      </x:c>
      <x:c r="M219" s="2"/>
      <x:c r="N219" s="2">
        <x:v>0.44729999999999998</x:v>
      </x:c>
      <x:c r="O219" s="2"/>
      <x:c r="P219" s="2"/>
      <x:c r="Q219" s="2" t="s">
        <x:v>121</x:v>
      </x:c>
      <x:c r="R219" s="2">
        <x:v>0.44729999999999998</x:v>
      </x:c>
      <x:c r="S219" s="2" t="s">
        <x:v>121</x:v>
      </x:c>
      <x:c r="T219" s="2"/>
      <x:c r="U219" s="2"/>
      <x:c r="V219" s="2"/>
      <x:c r="W219" s="2"/>
      <x:c r="X219" s="2" t="s">
        <x:v>240</x:v>
      </x:c>
      <x:c r="Y219" s="2" t="s">
        <x:v>113</x:v>
      </x:c>
      <x:c r="Z219" s="2" t="s">
        <x:v>114</x:v>
      </x:c>
    </x:row>
    <x:row r="220" ht="40.5">
      <x:c r="A220" s="2">
        <x:v>1263</x:v>
      </x:c>
      <x:c r="B220" s="2">
        <x:v>2136233</x:v>
      </x:c>
      <x:c r="C220" s="2">
        <x:v>2252278</x:v>
      </x:c>
      <x:c r="D220" s="2">
        <x:v>153073</x:v>
      </x:c>
      <x:c r="E220" s="2" t="s">
        <x:v>10</x:v>
      </x:c>
      <x:c r="F220" s="2" t="s">
        <x:v>235</x:v>
      </x:c>
      <x:c r="G220" s="2" t="s">
        <x:v>245</x:v>
      </x:c>
      <x:c r="H220" s="2" t="s">
        <x:v>234</x:v>
      </x:c>
      <x:c r="I220" s="2" t="s">
        <x:v>108</x:v>
      </x:c>
      <x:c r="J220" s="2">
        <x:v>4</x:v>
      </x:c>
      <x:c r="K220" s="2" t="s">
        <x:v>126</x:v>
      </x:c>
      <x:c r="L220" s="2" t="s">
        <x:v>110</x:v>
      </x:c>
      <x:c r="M220" s="2"/>
      <x:c r="N220" s="2">
        <x:v>0.8</x:v>
      </x:c>
      <x:c r="O220" s="2">
        <x:v>0.76</x:v>
      </x:c>
      <x:c r="P220" s="2">
        <x:v>0.91</x:v>
      </x:c>
      <x:c r="Q220" s="2" t="s">
        <x:v>121</x:v>
      </x:c>
      <x:c r="R220" s="2">
        <x:v>0.8</x:v>
      </x:c>
      <x:c r="S220" s="2" t="s">
        <x:v>121</x:v>
      </x:c>
      <x:c r="T220" s="2">
        <x:v>25</x:v>
      </x:c>
      <x:c r="U220" s="2">
        <x:v>15</x:v>
      </x:c>
      <x:c r="V220" s="2"/>
      <x:c r="W220" s="2"/>
      <x:c r="X220" s="2" t="s">
        <x:v>246</x:v>
      </x:c>
      <x:c r="Y220" s="2" t="s">
        <x:v>113</x:v>
      </x:c>
      <x:c r="Z220" s="2" t="s">
        <x:v>114</x:v>
      </x:c>
    </x:row>
    <x:row r="221" ht="27">
      <x:c r="A221" s="2">
        <x:v>1271</x:v>
      </x:c>
      <x:c r="B221" s="2">
        <x:v>1310648</x:v>
      </x:c>
      <x:c r="C221" s="2">
        <x:v>767831</x:v>
      </x:c>
      <x:c r="D221" s="2">
        <x:v>14474</x:v>
      </x:c>
      <x:c r="E221" s="2" t="s">
        <x:v>10</x:v>
      </x:c>
      <x:c r="F221" s="2" t="s">
        <x:v>235</x:v>
      </x:c>
      <x:c r="G221" s="2" t="s">
        <x:v>116</x:v>
      </x:c>
      <x:c r="H221" s="2" t="s">
        <x:v>107</x:v>
      </x:c>
      <x:c r="I221" s="2"/>
      <x:c r="J221" s="2">
        <x:v>2</x:v>
      </x:c>
      <x:c r="K221" s="2" t="s">
        <x:v>117</x:v>
      </x:c>
      <x:c r="L221" s="2" t="s">
        <x:v>110</x:v>
      </x:c>
      <x:c r="M221" s="2"/>
      <x:c r="N221" s="2">
        <x:v>0.42809999999999998</x:v>
      </x:c>
      <x:c r="O221" s="2"/>
      <x:c r="P221" s="2"/>
      <x:c r="Q221" s="2" t="s">
        <x:v>121</x:v>
      </x:c>
      <x:c r="R221" s="2">
        <x:v>0.42809999999999998</x:v>
      </x:c>
      <x:c r="S221" s="2" t="s">
        <x:v>121</x:v>
      </x:c>
      <x:c r="T221" s="2"/>
      <x:c r="U221" s="2"/>
      <x:c r="V221" s="2"/>
      <x:c r="W221" s="2"/>
      <x:c r="X221" s="2" t="s">
        <x:v>240</x:v>
      </x:c>
      <x:c r="Y221" s="2" t="s">
        <x:v>113</x:v>
      </x:c>
      <x:c r="Z221" s="2" t="s">
        <x:v>114</x:v>
      </x:c>
    </x:row>
    <x:row r="222" ht="27">
      <x:c r="A222" s="2">
        <x:v>1285</x:v>
      </x:c>
      <x:c r="B222" s="2">
        <x:v>1135996</x:v>
      </x:c>
      <x:c r="C222" s="2">
        <x:v>90928</x:v>
      </x:c>
      <x:c r="D222" s="2">
        <x:v>11097</x:v>
      </x:c>
      <x:c r="E222" s="2" t="s">
        <x:v>10</x:v>
      </x:c>
      <x:c r="F222" s="2" t="s">
        <x:v>235</x:v>
      </x:c>
      <x:c r="G222" s="2" t="s">
        <x:v>116</x:v>
      </x:c>
      <x:c r="H222" s="2" t="s">
        <x:v>107</x:v>
      </x:c>
      <x:c r="I222" s="2" t="s">
        <x:v>224</x:v>
      </x:c>
      <x:c r="J222" s="2">
        <x:v>2</x:v>
      </x:c>
      <x:c r="K222" s="2" t="s">
        <x:v>117</x:v>
      </x:c>
      <x:c r="L222" s="2" t="s">
        <x:v>110</x:v>
      </x:c>
      <x:c r="M222" s="2"/>
      <x:c r="N222" s="2">
        <x:v>528.9</x:v>
      </x:c>
      <x:c r="O222" s="2"/>
      <x:c r="P222" s="2"/>
      <x:c r="Q222" s="2" t="s">
        <x:v>111</x:v>
      </x:c>
      <x:c r="R222" s="2">
        <x:v>528.9</x:v>
      </x:c>
      <x:c r="S222" s="2" t="s">
        <x:v>111</x:v>
      </x:c>
      <x:c r="T222" s="2">
        <x:v>18</x:v>
      </x:c>
      <x:c r="U222" s="2">
        <x:v>38</x:v>
      </x:c>
      <x:c r="V222" s="2"/>
      <x:c r="W222" s="2"/>
      <x:c r="X222" s="2" t="s">
        <x:v>239</x:v>
      </x:c>
      <x:c r="Y222" s="2" t="s">
        <x:v>113</x:v>
      </x:c>
      <x:c r="Z222" s="2" t="s">
        <x:v>114</x:v>
      </x:c>
    </x:row>
    <x:row r="223" ht="27">
      <x:c r="A223" s="2">
        <x:v>1295</x:v>
      </x:c>
      <x:c r="B223" s="2">
        <x:v>1310618</x:v>
      </x:c>
      <x:c r="C223" s="2">
        <x:v>767801</x:v>
      </x:c>
      <x:c r="D223" s="2">
        <x:v>14474</x:v>
      </x:c>
      <x:c r="E223" s="2" t="s">
        <x:v>10</x:v>
      </x:c>
      <x:c r="F223" s="2" t="s">
        <x:v>235</x:v>
      </x:c>
      <x:c r="G223" s="2" t="s">
        <x:v>116</x:v>
      </x:c>
      <x:c r="H223" s="2" t="s">
        <x:v>107</x:v>
      </x:c>
      <x:c r="I223" s="2"/>
      <x:c r="J223" s="2">
        <x:v>2</x:v>
      </x:c>
      <x:c r="K223" s="2" t="s">
        <x:v>117</x:v>
      </x:c>
      <x:c r="L223" s="2" t="s">
        <x:v>110</x:v>
      </x:c>
      <x:c r="M223" s="2"/>
      <x:c r="N223" s="2">
        <x:v>0.41870000000000002</x:v>
      </x:c>
      <x:c r="O223" s="2"/>
      <x:c r="P223" s="2"/>
      <x:c r="Q223" s="2" t="s">
        <x:v>121</x:v>
      </x:c>
      <x:c r="R223" s="2">
        <x:v>0.41870000000000002</x:v>
      </x:c>
      <x:c r="S223" s="2" t="s">
        <x:v>121</x:v>
      </x:c>
      <x:c r="T223" s="2"/>
      <x:c r="U223" s="2"/>
      <x:c r="V223" s="2"/>
      <x:c r="W223" s="2"/>
      <x:c r="X223" s="2" t="s">
        <x:v>240</x:v>
      </x:c>
      <x:c r="Y223" s="2" t="s">
        <x:v>113</x:v>
      </x:c>
      <x:c r="Z223" s="2" t="s">
        <x:v>114</x:v>
      </x:c>
    </x:row>
    <x:row r="224" ht="27">
      <x:c r="A224" s="2">
        <x:v>1298</x:v>
      </x:c>
      <x:c r="B224" s="2">
        <x:v>1310619</x:v>
      </x:c>
      <x:c r="C224" s="2">
        <x:v>767802</x:v>
      </x:c>
      <x:c r="D224" s="2">
        <x:v>14474</x:v>
      </x:c>
      <x:c r="E224" s="2" t="s">
        <x:v>10</x:v>
      </x:c>
      <x:c r="F224" s="2" t="s">
        <x:v>235</x:v>
      </x:c>
      <x:c r="G224" s="2" t="s">
        <x:v>116</x:v>
      </x:c>
      <x:c r="H224" s="2" t="s">
        <x:v>107</x:v>
      </x:c>
      <x:c r="I224" s="2"/>
      <x:c r="J224" s="2">
        <x:v>2</x:v>
      </x:c>
      <x:c r="K224" s="2" t="s">
        <x:v>117</x:v>
      </x:c>
      <x:c r="L224" s="2" t="s">
        <x:v>110</x:v>
      </x:c>
      <x:c r="M224" s="2"/>
      <x:c r="N224" s="2">
        <x:v>0.4451</x:v>
      </x:c>
      <x:c r="O224" s="2"/>
      <x:c r="P224" s="2"/>
      <x:c r="Q224" s="2" t="s">
        <x:v>121</x:v>
      </x:c>
      <x:c r="R224" s="2">
        <x:v>0.4451</x:v>
      </x:c>
      <x:c r="S224" s="2" t="s">
        <x:v>121</x:v>
      </x:c>
      <x:c r="T224" s="2"/>
      <x:c r="U224" s="2"/>
      <x:c r="V224" s="2"/>
      <x:c r="W224" s="2"/>
      <x:c r="X224" s="2" t="s">
        <x:v>240</x:v>
      </x:c>
      <x:c r="Y224" s="2" t="s">
        <x:v>113</x:v>
      </x:c>
      <x:c r="Z224" s="2" t="s">
        <x:v>114</x:v>
      </x:c>
    </x:row>
    <x:row r="225" ht="40.5">
      <x:c r="A225" s="2">
        <x:v>1304</x:v>
      </x:c>
      <x:c r="B225" s="2">
        <x:v>1078436</x:v>
      </x:c>
      <x:c r="C225" s="2">
        <x:v>102816</x:v>
      </x:c>
      <x:c r="D225" s="2">
        <x:v>6045</x:v>
      </x:c>
      <x:c r="E225" s="2" t="s">
        <x:v>10</x:v>
      </x:c>
      <x:c r="F225" s="2" t="s">
        <x:v>235</x:v>
      </x:c>
      <x:c r="G225" s="2" t="s">
        <x:v>247</x:v>
      </x:c>
      <x:c r="H225" s="2" t="s">
        <x:v>135</x:v>
      </x:c>
      <x:c r="I225" s="2"/>
      <x:c r="J225" s="2">
        <x:v>1</x:v>
      </x:c>
      <x:c r="K225" s="2" t="s">
        <x:v>117</x:v>
      </x:c>
      <x:c r="L225" s="2" t="s">
        <x:v>110</x:v>
      </x:c>
      <x:c r="M225" s="2"/>
      <x:c r="N225" s="2">
        <x:v>192</x:v>
      </x:c>
      <x:c r="O225" s="2"/>
      <x:c r="P225" s="2"/>
      <x:c r="Q225" s="2" t="s">
        <x:v>195</x:v>
      </x:c>
      <x:c r="R225" s="2">
        <x:v>192</x:v>
      </x:c>
      <x:c r="S225" s="2" t="s">
        <x:v>195</x:v>
      </x:c>
      <x:c r="T225" s="2"/>
      <x:c r="U225" s="2"/>
      <x:c r="V225" s="2"/>
      <x:c r="W225" s="2"/>
      <x:c r="X225" s="2" t="s">
        <x:v>196</x:v>
      </x:c>
      <x:c r="Y225" s="2" t="s">
        <x:v>113</x:v>
      </x:c>
      <x:c r="Z225" s="2" t="s">
        <x:v>114</x:v>
      </x:c>
    </x:row>
    <x:row r="226" ht="27">
      <x:c r="A226" s="2">
        <x:v>1312</x:v>
      </x:c>
      <x:c r="B226" s="2">
        <x:v>1310621</x:v>
      </x:c>
      <x:c r="C226" s="2">
        <x:v>767804</x:v>
      </x:c>
      <x:c r="D226" s="2">
        <x:v>14474</x:v>
      </x:c>
      <x:c r="E226" s="2" t="s">
        <x:v>10</x:v>
      </x:c>
      <x:c r="F226" s="2" t="s">
        <x:v>235</x:v>
      </x:c>
      <x:c r="G226" s="2" t="s">
        <x:v>116</x:v>
      </x:c>
      <x:c r="H226" s="2" t="s">
        <x:v>107</x:v>
      </x:c>
      <x:c r="I226" s="2"/>
      <x:c r="J226" s="2">
        <x:v>2</x:v>
      </x:c>
      <x:c r="K226" s="2" t="s">
        <x:v>117</x:v>
      </x:c>
      <x:c r="L226" s="2" t="s">
        <x:v>110</x:v>
      </x:c>
      <x:c r="M226" s="2"/>
      <x:c r="N226" s="2">
        <x:v>0.42809999999999998</x:v>
      </x:c>
      <x:c r="O226" s="2"/>
      <x:c r="P226" s="2"/>
      <x:c r="Q226" s="2" t="s">
        <x:v>121</x:v>
      </x:c>
      <x:c r="R226" s="2">
        <x:v>0.42809999999999998</x:v>
      </x:c>
      <x:c r="S226" s="2" t="s">
        <x:v>121</x:v>
      </x:c>
      <x:c r="T226" s="2"/>
      <x:c r="U226" s="2"/>
      <x:c r="V226" s="2"/>
      <x:c r="W226" s="2"/>
      <x:c r="X226" s="2" t="s">
        <x:v>240</x:v>
      </x:c>
      <x:c r="Y226" s="2" t="s">
        <x:v>113</x:v>
      </x:c>
      <x:c r="Z226" s="2" t="s">
        <x:v>114</x:v>
      </x:c>
    </x:row>
    <x:row r="227" ht="27">
      <x:c r="A227" s="2">
        <x:v>1315</x:v>
      </x:c>
      <x:c r="B227" s="2">
        <x:v>1179974</x:v>
      </x:c>
      <x:c r="C227" s="2">
        <x:v>82523</x:v>
      </x:c>
      <x:c r="D227" s="2">
        <x:v>15726</x:v>
      </x:c>
      <x:c r="E227" s="2" t="s">
        <x:v>10</x:v>
      </x:c>
      <x:c r="F227" s="2" t="s">
        <x:v>235</x:v>
      </x:c>
      <x:c r="G227" s="2" t="s">
        <x:v>116</x:v>
      </x:c>
      <x:c r="H227" s="2" t="s">
        <x:v>107</x:v>
      </x:c>
      <x:c r="I227" s="2" t="s">
        <x:v>108</x:v>
      </x:c>
      <x:c r="J227" s="2">
        <x:v>2</x:v>
      </x:c>
      <x:c r="K227" s="2" t="s">
        <x:v>117</x:v>
      </x:c>
      <x:c r="L227" s="2" t="s">
        <x:v>110</x:v>
      </x:c>
      <x:c r="M227" s="2"/>
      <x:c r="N227" s="2">
        <x:v>80</x:v>
      </x:c>
      <x:c r="O227" s="2"/>
      <x:c r="P227" s="2"/>
      <x:c r="Q227" s="2" t="s">
        <x:v>111</x:v>
      </x:c>
      <x:c r="R227" s="2">
        <x:v>80</x:v>
      </x:c>
      <x:c r="S227" s="2" t="s">
        <x:v>111</x:v>
      </x:c>
      <x:c r="T227" s="2">
        <x:v>24</x:v>
      </x:c>
      <x:c r="U227" s="2"/>
      <x:c r="V227" s="2"/>
      <x:c r="W227" s="2"/>
      <x:c r="X227" s="2" t="s">
        <x:v>248</x:v>
      </x:c>
      <x:c r="Y227" s="2" t="s">
        <x:v>113</x:v>
      </x:c>
      <x:c r="Z227" s="2" t="s">
        <x:v>114</x:v>
      </x:c>
    </x:row>
    <x:row r="228" ht="40.5">
      <x:c r="A228" s="2">
        <x:v>1321</x:v>
      </x:c>
      <x:c r="B228" s="2">
        <x:v>1078474</x:v>
      </x:c>
      <x:c r="C228" s="2">
        <x:v>231987</x:v>
      </x:c>
      <x:c r="D228" s="2">
        <x:v>6045</x:v>
      </x:c>
      <x:c r="E228" s="2" t="s">
        <x:v>10</x:v>
      </x:c>
      <x:c r="F228" s="2" t="s">
        <x:v>235</x:v>
      </x:c>
      <x:c r="G228" s="2" t="s">
        <x:v>194</x:v>
      </x:c>
      <x:c r="H228" s="2" t="s">
        <x:v>135</x:v>
      </x:c>
      <x:c r="I228" s="2"/>
      <x:c r="J228" s="2">
        <x:v>1</x:v>
      </x:c>
      <x:c r="K228" s="2" t="s">
        <x:v>117</x:v>
      </x:c>
      <x:c r="L228" s="2" t="s">
        <x:v>110</x:v>
      </x:c>
      <x:c r="M228" s="2"/>
      <x:c r="N228" s="2">
        <x:v>188</x:v>
      </x:c>
      <x:c r="O228" s="2"/>
      <x:c r="P228" s="2"/>
      <x:c r="Q228" s="2" t="s">
        <x:v>195</x:v>
      </x:c>
      <x:c r="R228" s="2">
        <x:v>188</x:v>
      </x:c>
      <x:c r="S228" s="2" t="s">
        <x:v>195</x:v>
      </x:c>
      <x:c r="T228" s="2"/>
      <x:c r="U228" s="2"/>
      <x:c r="V228" s="2"/>
      <x:c r="W228" s="2"/>
      <x:c r="X228" s="2" t="s">
        <x:v>196</x:v>
      </x:c>
      <x:c r="Y228" s="2" t="s">
        <x:v>113</x:v>
      </x:c>
      <x:c r="Z228" s="2" t="s">
        <x:v>114</x:v>
      </x:c>
    </x:row>
    <x:row r="229" ht="27">
      <x:c r="A229" s="2">
        <x:v>1324</x:v>
      </x:c>
      <x:c r="B229" s="2">
        <x:v>1135997</x:v>
      </x:c>
      <x:c r="C229" s="2">
        <x:v>90929</x:v>
      </x:c>
      <x:c r="D229" s="2">
        <x:v>11097</x:v>
      </x:c>
      <x:c r="E229" s="2" t="s">
        <x:v>10</x:v>
      </x:c>
      <x:c r="F229" s="2" t="s">
        <x:v>235</x:v>
      </x:c>
      <x:c r="G229" s="2" t="s">
        <x:v>116</x:v>
      </x:c>
      <x:c r="H229" s="2" t="s">
        <x:v>107</x:v>
      </x:c>
      <x:c r="I229" s="2"/>
      <x:c r="J229" s="2">
        <x:v>2</x:v>
      </x:c>
      <x:c r="K229" s="2" t="s">
        <x:v>117</x:v>
      </x:c>
      <x:c r="L229" s="2" t="s">
        <x:v>110</x:v>
      </x:c>
      <x:c r="M229" s="2"/>
      <x:c r="N229" s="2">
        <x:v>447.3</x:v>
      </x:c>
      <x:c r="O229" s="2"/>
      <x:c r="P229" s="2"/>
      <x:c r="Q229" s="2" t="s">
        <x:v>111</x:v>
      </x:c>
      <x:c r="R229" s="2">
        <x:v>447.3</x:v>
      </x:c>
      <x:c r="S229" s="2" t="s">
        <x:v>111</x:v>
      </x:c>
      <x:c r="T229" s="2">
        <x:v>18</x:v>
      </x:c>
      <x:c r="U229" s="2">
        <x:v>38</x:v>
      </x:c>
      <x:c r="V229" s="2"/>
      <x:c r="W229" s="2"/>
      <x:c r="X229" s="2" t="s">
        <x:v>239</x:v>
      </x:c>
      <x:c r="Y229" s="2" t="s">
        <x:v>113</x:v>
      </x:c>
      <x:c r="Z229" s="2" t="s">
        <x:v>114</x:v>
      </x:c>
    </x:row>
    <x:row r="230" ht="40.5">
      <x:c r="A230" s="2">
        <x:v>1327</x:v>
      </x:c>
      <x:c r="B230" s="2">
        <x:v>1078421</x:v>
      </x:c>
      <x:c r="C230" s="2">
        <x:v>66949</x:v>
      </x:c>
      <x:c r="D230" s="2">
        <x:v>6045</x:v>
      </x:c>
      <x:c r="E230" s="2" t="s">
        <x:v>10</x:v>
      </x:c>
      <x:c r="F230" s="2" t="s">
        <x:v>235</x:v>
      </x:c>
      <x:c r="G230" s="2" t="s">
        <x:v>197</x:v>
      </x:c>
      <x:c r="H230" s="2" t="s">
        <x:v>135</x:v>
      </x:c>
      <x:c r="I230" s="2"/>
      <x:c r="J230" s="2">
        <x:v>1</x:v>
      </x:c>
      <x:c r="K230" s="2" t="s">
        <x:v>117</x:v>
      </x:c>
      <x:c r="L230" s="2" t="s">
        <x:v>110</x:v>
      </x:c>
      <x:c r="M230" s="2"/>
      <x:c r="N230" s="2">
        <x:v>132</x:v>
      </x:c>
      <x:c r="O230" s="2"/>
      <x:c r="P230" s="2"/>
      <x:c r="Q230" s="2" t="s">
        <x:v>195</x:v>
      </x:c>
      <x:c r="R230" s="2">
        <x:v>132</x:v>
      </x:c>
      <x:c r="S230" s="2" t="s">
        <x:v>195</x:v>
      </x:c>
      <x:c r="T230" s="2"/>
      <x:c r="U230" s="2"/>
      <x:c r="V230" s="2"/>
      <x:c r="W230" s="2"/>
      <x:c r="X230" s="2" t="s">
        <x:v>196</x:v>
      </x:c>
      <x:c r="Y230" s="2" t="s">
        <x:v>113</x:v>
      </x:c>
      <x:c r="Z230" s="2" t="s">
        <x:v>114</x:v>
      </x:c>
    </x:row>
    <x:row r="231" ht="27">
      <x:c r="A231" s="2">
        <x:v>1336</x:v>
      </x:c>
      <x:c r="B231" s="2">
        <x:v>1135998</x:v>
      </x:c>
      <x:c r="C231" s="2">
        <x:v>90930</x:v>
      </x:c>
      <x:c r="D231" s="2">
        <x:v>11097</x:v>
      </x:c>
      <x:c r="E231" s="2" t="s">
        <x:v>10</x:v>
      </x:c>
      <x:c r="F231" s="2" t="s">
        <x:v>235</x:v>
      </x:c>
      <x:c r="G231" s="2" t="s">
        <x:v>116</x:v>
      </x:c>
      <x:c r="H231" s="2" t="s">
        <x:v>107</x:v>
      </x:c>
      <x:c r="I231" s="2"/>
      <x:c r="J231" s="2">
        <x:v>2</x:v>
      </x:c>
      <x:c r="K231" s="2" t="s">
        <x:v>117</x:v>
      </x:c>
      <x:c r="L231" s="2" t="s">
        <x:v>110</x:v>
      </x:c>
      <x:c r="M231" s="2"/>
      <x:c r="N231" s="2">
        <x:v>428.1</x:v>
      </x:c>
      <x:c r="O231" s="2"/>
      <x:c r="P231" s="2"/>
      <x:c r="Q231" s="2" t="s">
        <x:v>111</x:v>
      </x:c>
      <x:c r="R231" s="2">
        <x:v>428.1</x:v>
      </x:c>
      <x:c r="S231" s="2" t="s">
        <x:v>111</x:v>
      </x:c>
      <x:c r="T231" s="2">
        <x:v>18</x:v>
      </x:c>
      <x:c r="U231" s="2">
        <x:v>38</x:v>
      </x:c>
      <x:c r="V231" s="2"/>
      <x:c r="W231" s="2"/>
      <x:c r="X231" s="2" t="s">
        <x:v>239</x:v>
      </x:c>
      <x:c r="Y231" s="2" t="s">
        <x:v>113</x:v>
      </x:c>
      <x:c r="Z231" s="2" t="s">
        <x:v>114</x:v>
      </x:c>
    </x:row>
    <x:row r="232" ht="27">
      <x:c r="A232" s="2">
        <x:v>1358</x:v>
      </x:c>
      <x:c r="B232" s="2">
        <x:v>1070627</x:v>
      </x:c>
      <x:c r="C232" s="2">
        <x:v>12732</x:v>
      </x:c>
      <x:c r="D232" s="2">
        <x:v>5563</x:v>
      </x:c>
      <x:c r="E232" s="2" t="s">
        <x:v>10</x:v>
      </x:c>
      <x:c r="F232" s="2" t="s">
        <x:v>235</x:v>
      </x:c>
      <x:c r="G232" s="2" t="s">
        <x:v>202</x:v>
      </x:c>
      <x:c r="H232" s="2" t="s">
        <x:v>135</x:v>
      </x:c>
      <x:c r="I232" s="2" t="s">
        <x:v>159</x:v>
      </x:c>
      <x:c r="J232" s="2">
        <x:v>1</x:v>
      </x:c>
      <x:c r="K232" s="2" t="s">
        <x:v>117</x:v>
      </x:c>
      <x:c r="L232" s="2" t="s">
        <x:v>110</x:v>
      </x:c>
      <x:c r="M232" s="2"/>
      <x:c r="N232" s="2">
        <x:v>190</x:v>
      </x:c>
      <x:c r="O232" s="2">
        <x:v>160</x:v>
      </x:c>
      <x:c r="P232" s="2">
        <x:v>220</x:v>
      </x:c>
      <x:c r="Q232" s="2" t="s">
        <x:v>111</x:v>
      </x:c>
      <x:c r="R232" s="2">
        <x:v>190</x:v>
      </x:c>
      <x:c r="S232" s="2" t="s">
        <x:v>111</x:v>
      </x:c>
      <x:c r="T232" s="2">
        <x:v>17</x:v>
      </x:c>
      <x:c r="U232" s="2"/>
      <x:c r="V232" s="2"/>
      <x:c r="W232" s="2"/>
      <x:c r="X232" s="2" t="s">
        <x:v>200</x:v>
      </x:c>
      <x:c r="Y232" s="2" t="s">
        <x:v>113</x:v>
      </x:c>
      <x:c r="Z232" s="2" t="s">
        <x:v>114</x:v>
      </x:c>
    </x:row>
    <x:row r="233" ht="27">
      <x:c r="A233" s="2">
        <x:v>1371</x:v>
      </x:c>
      <x:c r="B233" s="2">
        <x:v>1310620</x:v>
      </x:c>
      <x:c r="C233" s="2">
        <x:v>767803</x:v>
      </x:c>
      <x:c r="D233" s="2">
        <x:v>14474</x:v>
      </x:c>
      <x:c r="E233" s="2" t="s">
        <x:v>10</x:v>
      </x:c>
      <x:c r="F233" s="2" t="s">
        <x:v>235</x:v>
      </x:c>
      <x:c r="G233" s="2" t="s">
        <x:v>116</x:v>
      </x:c>
      <x:c r="H233" s="2" t="s">
        <x:v>107</x:v>
      </x:c>
      <x:c r="I233" s="2"/>
      <x:c r="J233" s="2">
        <x:v>2</x:v>
      </x:c>
      <x:c r="K233" s="2" t="s">
        <x:v>117</x:v>
      </x:c>
      <x:c r="L233" s="2" t="s">
        <x:v>110</x:v>
      </x:c>
      <x:c r="M233" s="2"/>
      <x:c r="N233" s="2">
        <x:v>0.51770000000000005</x:v>
      </x:c>
      <x:c r="O233" s="2"/>
      <x:c r="P233" s="2"/>
      <x:c r="Q233" s="2" t="s">
        <x:v>121</x:v>
      </x:c>
      <x:c r="R233" s="2">
        <x:v>0.51770000000000005</x:v>
      </x:c>
      <x:c r="S233" s="2" t="s">
        <x:v>121</x:v>
      </x:c>
      <x:c r="T233" s="2"/>
      <x:c r="U233" s="2"/>
      <x:c r="V233" s="2"/>
      <x:c r="W233" s="2"/>
      <x:c r="X233" s="2" t="s">
        <x:v>240</x:v>
      </x:c>
      <x:c r="Y233" s="2" t="s">
        <x:v>113</x:v>
      </x:c>
      <x:c r="Z233" s="2" t="s">
        <x:v>114</x:v>
      </x:c>
    </x:row>
    <x:row r="234" ht="27">
      <x:c r="A234" s="2">
        <x:v>1374</x:v>
      </x:c>
      <x:c r="B234" s="2">
        <x:v>1178108</x:v>
      </x:c>
      <x:c r="C234" s="2">
        <x:v>69500</x:v>
      </x:c>
      <x:c r="D234" s="2">
        <x:v>15500</x:v>
      </x:c>
      <x:c r="E234" s="2" t="s">
        <x:v>10</x:v>
      </x:c>
      <x:c r="F234" s="2" t="s">
        <x:v>235</x:v>
      </x:c>
      <x:c r="G234" s="2" t="s">
        <x:v>116</x:v>
      </x:c>
      <x:c r="H234" s="2" t="s">
        <x:v>107</x:v>
      </x:c>
      <x:c r="I234" s="2"/>
      <x:c r="J234" s="2">
        <x:v>2</x:v>
      </x:c>
      <x:c r="K234" s="2" t="s">
        <x:v>117</x:v>
      </x:c>
      <x:c r="L234" s="2" t="s">
        <x:v>110</x:v>
      </x:c>
      <x:c r="M234" s="2"/>
      <x:c r="N234" s="2">
        <x:v>428</x:v>
      </x:c>
      <x:c r="O234" s="2"/>
      <x:c r="P234" s="2"/>
      <x:c r="Q234" s="2" t="s">
        <x:v>111</x:v>
      </x:c>
      <x:c r="R234" s="2">
        <x:v>428</x:v>
      </x:c>
      <x:c r="S234" s="2" t="s">
        <x:v>111</x:v>
      </x:c>
      <x:c r="T234" s="2">
        <x:v>18</x:v>
      </x:c>
      <x:c r="U234" s="2"/>
      <x:c r="V234" s="2"/>
      <x:c r="W234" s="2"/>
      <x:c r="X234" s="2" t="s">
        <x:v>249</x:v>
      </x:c>
      <x:c r="Y234" s="2" t="s">
        <x:v>113</x:v>
      </x:c>
      <x:c r="Z234" s="2" t="s">
        <x:v>114</x:v>
      </x:c>
    </x:row>
    <x:row r="235" ht="27">
      <x:c r="A235" s="2">
        <x:v>1375</x:v>
      </x:c>
      <x:c r="B235" s="2">
        <x:v>1135995</x:v>
      </x:c>
      <x:c r="C235" s="2">
        <x:v>90927</x:v>
      </x:c>
      <x:c r="D235" s="2">
        <x:v>11097</x:v>
      </x:c>
      <x:c r="E235" s="2" t="s">
        <x:v>10</x:v>
      </x:c>
      <x:c r="F235" s="2" t="s">
        <x:v>235</x:v>
      </x:c>
      <x:c r="G235" s="2" t="s">
        <x:v>116</x:v>
      </x:c>
      <x:c r="H235" s="2" t="s">
        <x:v>107</x:v>
      </x:c>
      <x:c r="I235" s="2" t="s">
        <x:v>125</x:v>
      </x:c>
      <x:c r="J235" s="2">
        <x:v>2</x:v>
      </x:c>
      <x:c r="K235" s="2" t="s">
        <x:v>117</x:v>
      </x:c>
      <x:c r="L235" s="2" t="s">
        <x:v>110</x:v>
      </x:c>
      <x:c r="M235" s="2"/>
      <x:c r="N235" s="2">
        <x:v>341.5</x:v>
      </x:c>
      <x:c r="O235" s="2"/>
      <x:c r="P235" s="2"/>
      <x:c r="Q235" s="2" t="s">
        <x:v>111</x:v>
      </x:c>
      <x:c r="R235" s="2">
        <x:v>341.5</x:v>
      </x:c>
      <x:c r="S235" s="2" t="s">
        <x:v>111</x:v>
      </x:c>
      <x:c r="T235" s="2">
        <x:v>18</x:v>
      </x:c>
      <x:c r="U235" s="2">
        <x:v>38</x:v>
      </x:c>
      <x:c r="V235" s="2"/>
      <x:c r="W235" s="2"/>
      <x:c r="X235" s="2" t="s">
        <x:v>239</x:v>
      </x:c>
      <x:c r="Y235" s="2" t="s">
        <x:v>113</x:v>
      </x:c>
      <x:c r="Z235" s="2" t="s">
        <x:v>114</x:v>
      </x:c>
    </x:row>
    <x:row r="236" ht="27">
      <x:c r="A236" s="2">
        <x:v>1377</x:v>
      </x:c>
      <x:c r="B236" s="2">
        <x:v>1310644</x:v>
      </x:c>
      <x:c r="C236" s="2">
        <x:v>767827</x:v>
      </x:c>
      <x:c r="D236" s="2">
        <x:v>14474</x:v>
      </x:c>
      <x:c r="E236" s="2" t="s">
        <x:v>10</x:v>
      </x:c>
      <x:c r="F236" s="2" t="s">
        <x:v>235</x:v>
      </x:c>
      <x:c r="G236" s="2" t="s">
        <x:v>116</x:v>
      </x:c>
      <x:c r="H236" s="2" t="s">
        <x:v>107</x:v>
      </x:c>
      <x:c r="I236" s="2" t="s">
        <x:v>125</x:v>
      </x:c>
      <x:c r="J236" s="2">
        <x:v>2</x:v>
      </x:c>
      <x:c r="K236" s="2" t="s">
        <x:v>117</x:v>
      </x:c>
      <x:c r="L236" s="2" t="s">
        <x:v>110</x:v>
      </x:c>
      <x:c r="M236" s="2"/>
      <x:c r="N236" s="2">
        <x:v>0.34150000000000003</x:v>
      </x:c>
      <x:c r="O236" s="2"/>
      <x:c r="P236" s="2"/>
      <x:c r="Q236" s="2" t="s">
        <x:v>121</x:v>
      </x:c>
      <x:c r="R236" s="2">
        <x:v>0.34150000000000003</x:v>
      </x:c>
      <x:c r="S236" s="2" t="s">
        <x:v>121</x:v>
      </x:c>
      <x:c r="T236" s="2"/>
      <x:c r="U236" s="2"/>
      <x:c r="V236" s="2"/>
      <x:c r="W236" s="2"/>
      <x:c r="X236" s="2" t="s">
        <x:v>240</x:v>
      </x:c>
      <x:c r="Y236" s="2" t="s">
        <x:v>113</x:v>
      </x:c>
      <x:c r="Z236" s="2" t="s">
        <x:v>114</x:v>
      </x:c>
    </x:row>
    <x:row r="237" ht="27">
      <x:c r="A237" s="2">
        <x:v>1381</x:v>
      </x:c>
      <x:c r="B237" s="2">
        <x:v>1310643</x:v>
      </x:c>
      <x:c r="C237" s="2">
        <x:v>767826</x:v>
      </x:c>
      <x:c r="D237" s="2">
        <x:v>14474</x:v>
      </x:c>
      <x:c r="E237" s="2" t="s">
        <x:v>10</x:v>
      </x:c>
      <x:c r="F237" s="2" t="s">
        <x:v>235</x:v>
      </x:c>
      <x:c r="G237" s="2" t="s">
        <x:v>116</x:v>
      </x:c>
      <x:c r="H237" s="2" t="s">
        <x:v>107</x:v>
      </x:c>
      <x:c r="I237" s="2" t="s">
        <x:v>125</x:v>
      </x:c>
      <x:c r="J237" s="2">
        <x:v>2</x:v>
      </x:c>
      <x:c r="K237" s="2" t="s">
        <x:v>117</x:v>
      </x:c>
      <x:c r="L237" s="2" t="s">
        <x:v>110</x:v>
      </x:c>
      <x:c r="M237" s="2"/>
      <x:c r="N237" s="2">
        <x:v>0.31419999999999998</x:v>
      </x:c>
      <x:c r="O237" s="2"/>
      <x:c r="P237" s="2"/>
      <x:c r="Q237" s="2" t="s">
        <x:v>121</x:v>
      </x:c>
      <x:c r="R237" s="2">
        <x:v>0.31419999999999998</x:v>
      </x:c>
      <x:c r="S237" s="2" t="s">
        <x:v>121</x:v>
      </x:c>
      <x:c r="T237" s="2"/>
      <x:c r="U237" s="2"/>
      <x:c r="V237" s="2"/>
      <x:c r="W237" s="2"/>
      <x:c r="X237" s="2" t="s">
        <x:v>240</x:v>
      </x:c>
      <x:c r="Y237" s="2" t="s">
        <x:v>113</x:v>
      </x:c>
      <x:c r="Z237" s="2" t="s">
        <x:v>114</x:v>
      </x:c>
    </x:row>
    <x:row r="238" ht="27">
      <x:c r="A238" s="2">
        <x:v>1383</x:v>
      </x:c>
      <x:c r="B238" s="2">
        <x:v>1310622</x:v>
      </x:c>
      <x:c r="C238" s="2">
        <x:v>767805</x:v>
      </x:c>
      <x:c r="D238" s="2">
        <x:v>14474</x:v>
      </x:c>
      <x:c r="E238" s="2" t="s">
        <x:v>10</x:v>
      </x:c>
      <x:c r="F238" s="2" t="s">
        <x:v>235</x:v>
      </x:c>
      <x:c r="G238" s="2" t="s">
        <x:v>116</x:v>
      </x:c>
      <x:c r="H238" s="2" t="s">
        <x:v>107</x:v>
      </x:c>
      <x:c r="I238" s="2"/>
      <x:c r="J238" s="2">
        <x:v>2</x:v>
      </x:c>
      <x:c r="K238" s="2" t="s">
        <x:v>117</x:v>
      </x:c>
      <x:c r="L238" s="2" t="s">
        <x:v>110</x:v>
      </x:c>
      <x:c r="M238" s="2"/>
      <x:c r="N238" s="2">
        <x:v>0.42799999999999999</x:v>
      </x:c>
      <x:c r="O238" s="2"/>
      <x:c r="P238" s="2"/>
      <x:c r="Q238" s="2" t="s">
        <x:v>121</x:v>
      </x:c>
      <x:c r="R238" s="2">
        <x:v>0.42799999999999999</x:v>
      </x:c>
      <x:c r="S238" s="2" t="s">
        <x:v>121</x:v>
      </x:c>
      <x:c r="T238" s="2"/>
      <x:c r="U238" s="2"/>
      <x:c r="V238" s="2"/>
      <x:c r="W238" s="2"/>
      <x:c r="X238" s="2" t="s">
        <x:v>240</x:v>
      </x:c>
      <x:c r="Y238" s="2" t="s">
        <x:v>113</x:v>
      </x:c>
      <x:c r="Z238" s="2" t="s">
        <x:v>114</x:v>
      </x:c>
    </x:row>
    <x:row r="239" ht="27">
      <x:c r="A239" s="2">
        <x:v>1389</x:v>
      </x:c>
      <x:c r="B239" s="2">
        <x:v>1070628</x:v>
      </x:c>
      <x:c r="C239" s="2">
        <x:v>12733</x:v>
      </x:c>
      <x:c r="D239" s="2">
        <x:v>5563</x:v>
      </x:c>
      <x:c r="E239" s="2" t="s">
        <x:v>10</x:v>
      </x:c>
      <x:c r="F239" s="2" t="s">
        <x:v>235</x:v>
      </x:c>
      <x:c r="G239" s="2" t="s">
        <x:v>199</x:v>
      </x:c>
      <x:c r="H239" s="2" t="s">
        <x:v>107</x:v>
      </x:c>
      <x:c r="I239" s="2" t="s">
        <x:v>159</x:v>
      </x:c>
      <x:c r="J239" s="2">
        <x:v>1</x:v>
      </x:c>
      <x:c r="K239" s="2" t="s">
        <x:v>117</x:v>
      </x:c>
      <x:c r="L239" s="2" t="s">
        <x:v>110</x:v>
      </x:c>
      <x:c r="M239" s="2"/>
      <x:c r="N239" s="2">
        <x:v>180</x:v>
      </x:c>
      <x:c r="O239" s="2">
        <x:v>120</x:v>
      </x:c>
      <x:c r="P239" s="2">
        <x:v>230</x:v>
      </x:c>
      <x:c r="Q239" s="2" t="s">
        <x:v>111</x:v>
      </x:c>
      <x:c r="R239" s="2">
        <x:v>180</x:v>
      </x:c>
      <x:c r="S239" s="2" t="s">
        <x:v>111</x:v>
      </x:c>
      <x:c r="T239" s="2">
        <x:v>17</x:v>
      </x:c>
      <x:c r="U239" s="2"/>
      <x:c r="V239" s="2"/>
      <x:c r="W239" s="2"/>
      <x:c r="X239" s="2" t="s">
        <x:v>200</x:v>
      </x:c>
      <x:c r="Y239" s="2" t="s">
        <x:v>113</x:v>
      </x:c>
      <x:c r="Z239" s="2" t="s">
        <x:v>114</x:v>
      </x:c>
    </x:row>
    <x:row r="240" ht="40.5">
      <x:c r="A240" s="2">
        <x:v>1394</x:v>
      </x:c>
      <x:c r="B240" s="2">
        <x:v>2019866</x:v>
      </x:c>
      <x:c r="C240" s="2">
        <x:v>2033704</x:v>
      </x:c>
      <x:c r="D240" s="2">
        <x:v>156339</x:v>
      </x:c>
      <x:c r="E240" s="2" t="s">
        <x:v>10</x:v>
      </x:c>
      <x:c r="F240" s="2" t="s">
        <x:v>235</x:v>
      </x:c>
      <x:c r="G240" s="2" t="s">
        <x:v>106</x:v>
      </x:c>
      <x:c r="H240" s="2" t="s">
        <x:v>107</x:v>
      </x:c>
      <x:c r="I240" s="2" t="s">
        <x:v>108</x:v>
      </x:c>
      <x:c r="J240" s="2">
        <x:v>4</x:v>
      </x:c>
      <x:c r="K240" s="2" t="s">
        <x:v>126</x:v>
      </x:c>
      <x:c r="L240" s="2" t="s">
        <x:v>110</x:v>
      </x:c>
      <x:c r="M240" s="2"/>
      <x:c r="N240" s="2">
        <x:v>580</x:v>
      </x:c>
      <x:c r="O240" s="2">
        <x:v>430</x:v>
      </x:c>
      <x:c r="P240" s="2">
        <x:v>790</x:v>
      </x:c>
      <x:c r="Q240" s="2" t="s">
        <x:v>111</x:v>
      </x:c>
      <x:c r="R240" s="2">
        <x:v>580</x:v>
      </x:c>
      <x:c r="S240" s="2" t="s">
        <x:v>111</x:v>
      </x:c>
      <x:c r="T240" s="2">
        <x:v>25</x:v>
      </x:c>
      <x:c r="U240" s="2">
        <x:v>33</x:v>
      </x:c>
      <x:c r="V240" s="2"/>
      <x:c r="W240" s="2"/>
      <x:c r="X240" s="2" t="s">
        <x:v>250</x:v>
      </x:c>
      <x:c r="Y240" s="2" t="s">
        <x:v>113</x:v>
      </x:c>
      <x:c r="Z240" s="2" t="s">
        <x:v>114</x:v>
      </x:c>
    </x:row>
    <x:row r="241" ht="54">
      <x:c r="A241" s="2">
        <x:v>1395</x:v>
      </x:c>
      <x:c r="B241" s="2">
        <x:v>1205935</x:v>
      </x:c>
      <x:c r="C241" s="2">
        <x:v>171326</x:v>
      </x:c>
      <x:c r="D241" s="2">
        <x:v>18833</x:v>
      </x:c>
      <x:c r="E241" s="2" t="s">
        <x:v>10</x:v>
      </x:c>
      <x:c r="F241" s="2" t="s">
        <x:v>235</x:v>
      </x:c>
      <x:c r="G241" s="2" t="s">
        <x:v>226</x:v>
      </x:c>
      <x:c r="H241" s="2" t="s">
        <x:v>107</x:v>
      </x:c>
      <x:c r="I241" s="2" t="s">
        <x:v>108</x:v>
      </x:c>
      <x:c r="J241" s="2">
        <x:v>4</x:v>
      </x:c>
      <x:c r="K241" s="2" t="s">
        <x:v>126</x:v>
      </x:c>
      <x:c r="L241" s="2" t="s">
        <x:v>110</x:v>
      </x:c>
      <x:c r="M241" s="2"/>
      <x:c r="N241" s="2">
        <x:v>1010</x:v>
      </x:c>
      <x:c r="O241" s="2"/>
      <x:c r="P241" s="2"/>
      <x:c r="Q241" s="2" t="s">
        <x:v>111</x:v>
      </x:c>
      <x:c r="R241" s="2">
        <x:v>1010</x:v>
      </x:c>
      <x:c r="S241" s="2" t="s">
        <x:v>111</x:v>
      </x:c>
      <x:c r="T241" s="2">
        <x:v>20</x:v>
      </x:c>
      <x:c r="U241" s="2">
        <x:v>37</x:v>
      </x:c>
      <x:c r="V241" s="2"/>
      <x:c r="W241" s="2"/>
      <x:c r="X241" s="2" t="s">
        <x:v>251</x:v>
      </x:c>
      <x:c r="Y241" s="2" t="s">
        <x:v>113</x:v>
      </x:c>
      <x:c r="Z241" s="2" t="s">
        <x:v>114</x:v>
      </x:c>
    </x:row>
    <x:row r="242" ht="40.5">
      <x:c r="A242" s="2">
        <x:v>1396</x:v>
      </x:c>
      <x:c r="B242" s="2">
        <x:v>1300800</x:v>
      </x:c>
      <x:c r="C242" s="2">
        <x:v>756472</x:v>
      </x:c>
      <x:c r="D242" s="2">
        <x:v>115854</x:v>
      </x:c>
      <x:c r="E242" s="2" t="s">
        <x:v>10</x:v>
      </x:c>
      <x:c r="F242" s="2" t="s">
        <x:v>235</x:v>
      </x:c>
      <x:c r="G242" s="2" t="s">
        <x:v>106</x:v>
      </x:c>
      <x:c r="H242" s="2" t="s">
        <x:v>107</x:v>
      </x:c>
      <x:c r="I242" s="2" t="s">
        <x:v>108</x:v>
      </x:c>
      <x:c r="J242" s="2">
        <x:v>4</x:v>
      </x:c>
      <x:c r="K242" s="2" t="s">
        <x:v>126</x:v>
      </x:c>
      <x:c r="L242" s="2" t="s">
        <x:v>110</x:v>
      </x:c>
      <x:c r="M242" s="2"/>
      <x:c r="N242" s="2">
        <x:v>323</x:v>
      </x:c>
      <x:c r="O242" s="2"/>
      <x:c r="P242" s="2"/>
      <x:c r="Q242" s="2" t="s">
        <x:v>111</x:v>
      </x:c>
      <x:c r="R242" s="2">
        <x:v>323</x:v>
      </x:c>
      <x:c r="S242" s="2" t="s">
        <x:v>111</x:v>
      </x:c>
      <x:c r="T242" s="2"/>
      <x:c r="U242" s="2"/>
      <x:c r="V242" s="2"/>
      <x:c r="W242" s="2"/>
      <x:c r="X242" s="2" t="s">
        <x:v>112</x:v>
      </x:c>
      <x:c r="Y242" s="2" t="s">
        <x:v>113</x:v>
      </x:c>
      <x:c r="Z242" s="2" t="s">
        <x:v>114</x:v>
      </x:c>
    </x:row>
    <x:row r="243" ht="27">
      <x:c r="A243" s="2">
        <x:v>1397</x:v>
      </x:c>
      <x:c r="B243" s="2">
        <x:v>2135201</x:v>
      </x:c>
      <x:c r="C243" s="2">
        <x:v>2249958</x:v>
      </x:c>
      <x:c r="D243" s="2">
        <x:v>119554</x:v>
      </x:c>
      <x:c r="E243" s="2" t="s">
        <x:v>10</x:v>
      </x:c>
      <x:c r="F243" s="2" t="s">
        <x:v>235</x:v>
      </x:c>
      <x:c r="G243" s="2" t="s">
        <x:v>132</x:v>
      </x:c>
      <x:c r="H243" s="2" t="s">
        <x:v>107</x:v>
      </x:c>
      <x:c r="I243" s="2" t="s">
        <x:v>125</x:v>
      </x:c>
      <x:c r="J243" s="2">
        <x:v>2</x:v>
      </x:c>
      <x:c r="K243" s="2" t="s">
        <x:v>117</x:v>
      </x:c>
      <x:c r="L243" s="2" t="s">
        <x:v>120</x:v>
      </x:c>
      <x:c r="M243" s="2"/>
      <x:c r="N243" s="2">
        <x:v>83.1</x:v>
      </x:c>
      <x:c r="O243" s="2"/>
      <x:c r="P243" s="2"/>
      <x:c r="Q243" s="2" t="s">
        <x:v>111</x:v>
      </x:c>
      <x:c r="R243" s="2">
        <x:v>83.1</x:v>
      </x:c>
      <x:c r="S243" s="2" t="s">
        <x:v>111</x:v>
      </x:c>
      <x:c r="T243" s="2">
        <x:v>20</x:v>
      </x:c>
      <x:c r="U243" s="2">
        <x:v>35</x:v>
      </x:c>
      <x:c r="V243" s="2">
        <x:v>8.1999999999999993</x:v>
      </x:c>
      <x:c r="W243" s="2"/>
      <x:c r="X243" s="2" t="s">
        <x:v>252</x:v>
      </x:c>
      <x:c r="Y243" s="2" t="s">
        <x:v>113</x:v>
      </x:c>
      <x:c r="Z243" s="2" t="s">
        <x:v>114</x:v>
      </x:c>
    </x:row>
    <x:row r="244" ht="54">
      <x:c r="A244" s="2">
        <x:v>1398</x:v>
      </x:c>
      <x:c r="B244" s="2">
        <x:v>1205933</x:v>
      </x:c>
      <x:c r="C244" s="2">
        <x:v>171324</x:v>
      </x:c>
      <x:c r="D244" s="2">
        <x:v>18833</x:v>
      </x:c>
      <x:c r="E244" s="2" t="s">
        <x:v>10</x:v>
      </x:c>
      <x:c r="F244" s="2" t="s">
        <x:v>235</x:v>
      </x:c>
      <x:c r="G244" s="2" t="s">
        <x:v>226</x:v>
      </x:c>
      <x:c r="H244" s="2" t="s">
        <x:v>107</x:v>
      </x:c>
      <x:c r="I244" s="2" t="s">
        <x:v>173</x:v>
      </x:c>
      <x:c r="J244" s="2">
        <x:v>4</x:v>
      </x:c>
      <x:c r="K244" s="2" t="s">
        <x:v>126</x:v>
      </x:c>
      <x:c r="L244" s="2" t="s">
        <x:v>110</x:v>
      </x:c>
      <x:c r="M244" s="2"/>
      <x:c r="N244" s="2">
        <x:v>412</x:v>
      </x:c>
      <x:c r="O244" s="2"/>
      <x:c r="P244" s="2"/>
      <x:c r="Q244" s="2" t="s">
        <x:v>111</x:v>
      </x:c>
      <x:c r="R244" s="2">
        <x:v>412</x:v>
      </x:c>
      <x:c r="S244" s="2" t="s">
        <x:v>111</x:v>
      </x:c>
      <x:c r="T244" s="2">
        <x:v>20</x:v>
      </x:c>
      <x:c r="U244" s="2">
        <x:v>37</x:v>
      </x:c>
      <x:c r="V244" s="2"/>
      <x:c r="W244" s="2"/>
      <x:c r="X244" s="2" t="s">
        <x:v>251</x:v>
      </x:c>
      <x:c r="Y244" s="2" t="s">
        <x:v>113</x:v>
      </x:c>
      <x:c r="Z244" s="2" t="s">
        <x:v>114</x:v>
      </x:c>
    </x:row>
    <x:row r="245" ht="27">
      <x:c r="A245" s="2">
        <x:v>1399</x:v>
      </x:c>
      <x:c r="B245" s="2">
        <x:v>2135202</x:v>
      </x:c>
      <x:c r="C245" s="2">
        <x:v>2249960</x:v>
      </x:c>
      <x:c r="D245" s="2">
        <x:v>119554</x:v>
      </x:c>
      <x:c r="E245" s="2" t="s">
        <x:v>10</x:v>
      </x:c>
      <x:c r="F245" s="2" t="s">
        <x:v>235</x:v>
      </x:c>
      <x:c r="G245" s="2" t="s">
        <x:v>132</x:v>
      </x:c>
      <x:c r="H245" s="2" t="s">
        <x:v>107</x:v>
      </x:c>
      <x:c r="I245" s="2" t="s">
        <x:v>253</x:v>
      </x:c>
      <x:c r="J245" s="2">
        <x:v>3</x:v>
      </x:c>
      <x:c r="K245" s="2" t="s">
        <x:v>117</x:v>
      </x:c>
      <x:c r="L245" s="2" t="s">
        <x:v>120</x:v>
      </x:c>
      <x:c r="M245" s="2"/>
      <x:c r="N245" s="2">
        <x:v>157</x:v>
      </x:c>
      <x:c r="O245" s="2"/>
      <x:c r="P245" s="2"/>
      <x:c r="Q245" s="2" t="s">
        <x:v>111</x:v>
      </x:c>
      <x:c r="R245" s="2">
        <x:v>157</x:v>
      </x:c>
      <x:c r="S245" s="2" t="s">
        <x:v>111</x:v>
      </x:c>
      <x:c r="T245" s="2">
        <x:v>20</x:v>
      </x:c>
      <x:c r="U245" s="2">
        <x:v>35</x:v>
      </x:c>
      <x:c r="V245" s="2">
        <x:v>8.1999999999999993</x:v>
      </x:c>
      <x:c r="W245" s="2"/>
      <x:c r="X245" s="2" t="s">
        <x:v>252</x:v>
      </x:c>
      <x:c r="Y245" s="2" t="s">
        <x:v>113</x:v>
      </x:c>
      <x:c r="Z245" s="2" t="s">
        <x:v>114</x:v>
      </x:c>
    </x:row>
    <x:row r="246" ht="40.5">
      <x:c r="A246" s="2">
        <x:v>1400</x:v>
      </x:c>
      <x:c r="B246" s="2">
        <x:v>1078459</x:v>
      </x:c>
      <x:c r="C246" s="2">
        <x:v>231971</x:v>
      </x:c>
      <x:c r="D246" s="2">
        <x:v>6045</x:v>
      </x:c>
      <x:c r="E246" s="2" t="s">
        <x:v>10</x:v>
      </x:c>
      <x:c r="F246" s="2" t="s">
        <x:v>235</x:v>
      </x:c>
      <x:c r="G246" s="2" t="s">
        <x:v>134</x:v>
      </x:c>
      <x:c r="H246" s="2" t="s">
        <x:v>135</x:v>
      </x:c>
      <x:c r="I246" s="2"/>
      <x:c r="J246" s="2">
        <x:v>1</x:v>
      </x:c>
      <x:c r="K246" s="2" t="s">
        <x:v>117</x:v>
      </x:c>
      <x:c r="L246" s="2" t="s">
        <x:v>110</x:v>
      </x:c>
      <x:c r="M246" s="2"/>
      <x:c r="N246" s="2"/>
      <x:c r="O246" s="2">
        <x:v>200</x:v>
      </x:c>
      <x:c r="P246" s="2">
        <x:v>300</x:v>
      </x:c>
      <x:c r="Q246" s="2" t="s">
        <x:v>195</x:v>
      </x:c>
      <x:c r="R246" s="2"/>
      <x:c r="S246" s="2" t="s">
        <x:v>195</x:v>
      </x:c>
      <x:c r="T246" s="2">
        <x:v>26</x:v>
      </x:c>
      <x:c r="U246" s="2">
        <x:v>36</x:v>
      </x:c>
      <x:c r="V246" s="2"/>
      <x:c r="W246" s="2"/>
      <x:c r="X246" s="2" t="s">
        <x:v>196</x:v>
      </x:c>
      <x:c r="Y246" s="2" t="s">
        <x:v>123</x:v>
      </x:c>
      <x:c r="Z246" s="2" t="s">
        <x:v>254</x:v>
      </x:c>
    </x:row>
    <x:row r="247" ht="40.5">
      <x:c r="A247" s="2">
        <x:v>1401</x:v>
      </x:c>
      <x:c r="B247" s="2">
        <x:v>1078460</x:v>
      </x:c>
      <x:c r="C247" s="2">
        <x:v>231972</x:v>
      </x:c>
      <x:c r="D247" s="2">
        <x:v>6045</x:v>
      </x:c>
      <x:c r="E247" s="2" t="s">
        <x:v>10</x:v>
      </x:c>
      <x:c r="F247" s="2" t="s">
        <x:v>235</x:v>
      </x:c>
      <x:c r="G247" s="2" t="s">
        <x:v>134</x:v>
      </x:c>
      <x:c r="H247" s="2" t="s">
        <x:v>135</x:v>
      </x:c>
      <x:c r="I247" s="2"/>
      <x:c r="J247" s="2">
        <x:v>1</x:v>
      </x:c>
      <x:c r="K247" s="2" t="s">
        <x:v>117</x:v>
      </x:c>
      <x:c r="L247" s="2" t="s">
        <x:v>110</x:v>
      </x:c>
      <x:c r="M247" s="2"/>
      <x:c r="N247" s="2"/>
      <x:c r="O247" s="2">
        <x:v>200</x:v>
      </x:c>
      <x:c r="P247" s="2">
        <x:v>300</x:v>
      </x:c>
      <x:c r="Q247" s="2" t="s">
        <x:v>195</x:v>
      </x:c>
      <x:c r="R247" s="2"/>
      <x:c r="S247" s="2" t="s">
        <x:v>195</x:v>
      </x:c>
      <x:c r="T247" s="2">
        <x:v>28</x:v>
      </x:c>
      <x:c r="U247" s="2">
        <x:v>36</x:v>
      </x:c>
      <x:c r="V247" s="2"/>
      <x:c r="W247" s="2"/>
      <x:c r="X247" s="2" t="s">
        <x:v>196</x:v>
      </x:c>
      <x:c r="Y247" s="2" t="s">
        <x:v>123</x:v>
      </x:c>
      <x:c r="Z247" s="2" t="s">
        <x:v>254</x:v>
      </x:c>
    </x:row>
    <x:row r="248" ht="40.5">
      <x:c r="A248" s="2">
        <x:v>1402</x:v>
      </x:c>
      <x:c r="B248" s="2">
        <x:v>1078471</x:v>
      </x:c>
      <x:c r="C248" s="2">
        <x:v>231984</x:v>
      </x:c>
      <x:c r="D248" s="2">
        <x:v>6045</x:v>
      </x:c>
      <x:c r="E248" s="2" t="s">
        <x:v>10</x:v>
      </x:c>
      <x:c r="F248" s="2" t="s">
        <x:v>235</x:v>
      </x:c>
      <x:c r="G248" s="2" t="s">
        <x:v>134</x:v>
      </x:c>
      <x:c r="H248" s="2" t="s">
        <x:v>135</x:v>
      </x:c>
      <x:c r="I248" s="2"/>
      <x:c r="J248" s="2">
        <x:v>1</x:v>
      </x:c>
      <x:c r="K248" s="2" t="s">
        <x:v>117</x:v>
      </x:c>
      <x:c r="L248" s="2" t="s">
        <x:v>110</x:v>
      </x:c>
      <x:c r="M248" s="2"/>
      <x:c r="N248" s="2"/>
      <x:c r="O248" s="2">
        <x:v>100</x:v>
      </x:c>
      <x:c r="P248" s="2">
        <x:v>200</x:v>
      </x:c>
      <x:c r="Q248" s="2" t="s">
        <x:v>195</x:v>
      </x:c>
      <x:c r="R248" s="2"/>
      <x:c r="S248" s="2" t="s">
        <x:v>195</x:v>
      </x:c>
      <x:c r="T248" s="2">
        <x:v>24</x:v>
      </x:c>
      <x:c r="U248" s="2">
        <x:v>36</x:v>
      </x:c>
      <x:c r="V248" s="2"/>
      <x:c r="W248" s="2"/>
      <x:c r="X248" s="2" t="s">
        <x:v>196</x:v>
      </x:c>
      <x:c r="Y248" s="2" t="s">
        <x:v>123</x:v>
      </x:c>
      <x:c r="Z248" s="2" t="s">
        <x:v>254</x:v>
      </x:c>
    </x:row>
    <x:row r="249" ht="40.5">
      <x:c r="A249" s="2">
        <x:v>1403</x:v>
      </x:c>
      <x:c r="B249" s="2">
        <x:v>1078463</x:v>
      </x:c>
      <x:c r="C249" s="2">
        <x:v>231975</x:v>
      </x:c>
      <x:c r="D249" s="2">
        <x:v>6045</x:v>
      </x:c>
      <x:c r="E249" s="2" t="s">
        <x:v>10</x:v>
      </x:c>
      <x:c r="F249" s="2" t="s">
        <x:v>235</x:v>
      </x:c>
      <x:c r="G249" s="2" t="s">
        <x:v>134</x:v>
      </x:c>
      <x:c r="H249" s="2" t="s">
        <x:v>135</x:v>
      </x:c>
      <x:c r="I249" s="2"/>
      <x:c r="J249" s="2">
        <x:v>1</x:v>
      </x:c>
      <x:c r="K249" s="2" t="s">
        <x:v>117</x:v>
      </x:c>
      <x:c r="L249" s="2" t="s">
        <x:v>110</x:v>
      </x:c>
      <x:c r="M249" s="2"/>
      <x:c r="N249" s="2"/>
      <x:c r="O249" s="2">
        <x:v>120</x:v>
      </x:c>
      <x:c r="P249" s="2">
        <x:v>170</x:v>
      </x:c>
      <x:c r="Q249" s="2" t="s">
        <x:v>195</x:v>
      </x:c>
      <x:c r="R249" s="2"/>
      <x:c r="S249" s="2" t="s">
        <x:v>195</x:v>
      </x:c>
      <x:c r="T249" s="2"/>
      <x:c r="U249" s="2">
        <x:v>36</x:v>
      </x:c>
      <x:c r="V249" s="2"/>
      <x:c r="W249" s="2"/>
      <x:c r="X249" s="2" t="s">
        <x:v>196</x:v>
      </x:c>
      <x:c r="Y249" s="2" t="s">
        <x:v>123</x:v>
      </x:c>
      <x:c r="Z249" s="2" t="s">
        <x:v>254</x:v>
      </x:c>
    </x:row>
    <x:row r="250" ht="40.5">
      <x:c r="A250" s="2">
        <x:v>1405</x:v>
      </x:c>
      <x:c r="B250" s="2">
        <x:v>1078469</x:v>
      </x:c>
      <x:c r="C250" s="2">
        <x:v>231982</x:v>
      </x:c>
      <x:c r="D250" s="2">
        <x:v>6045</x:v>
      </x:c>
      <x:c r="E250" s="2" t="s">
        <x:v>10</x:v>
      </x:c>
      <x:c r="F250" s="2" t="s">
        <x:v>235</x:v>
      </x:c>
      <x:c r="G250" s="2" t="s">
        <x:v>134</x:v>
      </x:c>
      <x:c r="H250" s="2" t="s">
        <x:v>135</x:v>
      </x:c>
      <x:c r="I250" s="2"/>
      <x:c r="J250" s="2">
        <x:v>1</x:v>
      </x:c>
      <x:c r="K250" s="2" t="s">
        <x:v>117</x:v>
      </x:c>
      <x:c r="L250" s="2" t="s">
        <x:v>110</x:v>
      </x:c>
      <x:c r="M250" s="2"/>
      <x:c r="N250" s="2"/>
      <x:c r="O250" s="2">
        <x:v>100</x:v>
      </x:c>
      <x:c r="P250" s="2">
        <x:v>200</x:v>
      </x:c>
      <x:c r="Q250" s="2" t="s">
        <x:v>195</x:v>
      </x:c>
      <x:c r="R250" s="2"/>
      <x:c r="S250" s="2" t="s">
        <x:v>195</x:v>
      </x:c>
      <x:c r="T250" s="2"/>
      <x:c r="U250" s="2">
        <x:v>36</x:v>
      </x:c>
      <x:c r="V250" s="2"/>
      <x:c r="W250" s="2"/>
      <x:c r="X250" s="2" t="s">
        <x:v>196</x:v>
      </x:c>
      <x:c r="Y250" s="2" t="s">
        <x:v>123</x:v>
      </x:c>
      <x:c r="Z250" s="2" t="s">
        <x:v>254</x:v>
      </x:c>
    </x:row>
    <x:row r="251" ht="40.5">
      <x:c r="A251" s="2">
        <x:v>1406</x:v>
      </x:c>
      <x:c r="B251" s="2">
        <x:v>1078462</x:v>
      </x:c>
      <x:c r="C251" s="2">
        <x:v>231974</x:v>
      </x:c>
      <x:c r="D251" s="2">
        <x:v>6045</x:v>
      </x:c>
      <x:c r="E251" s="2" t="s">
        <x:v>10</x:v>
      </x:c>
      <x:c r="F251" s="2" t="s">
        <x:v>235</x:v>
      </x:c>
      <x:c r="G251" s="2" t="s">
        <x:v>134</x:v>
      </x:c>
      <x:c r="H251" s="2" t="s">
        <x:v>135</x:v>
      </x:c>
      <x:c r="I251" s="2"/>
      <x:c r="J251" s="2">
        <x:v>1</x:v>
      </x:c>
      <x:c r="K251" s="2" t="s">
        <x:v>117</x:v>
      </x:c>
      <x:c r="L251" s="2" t="s">
        <x:v>110</x:v>
      </x:c>
      <x:c r="M251" s="2"/>
      <x:c r="N251" s="2"/>
      <x:c r="O251" s="2">
        <x:v>100</x:v>
      </x:c>
      <x:c r="P251" s="2">
        <x:v>200</x:v>
      </x:c>
      <x:c r="Q251" s="2" t="s">
        <x:v>195</x:v>
      </x:c>
      <x:c r="R251" s="2"/>
      <x:c r="S251" s="2" t="s">
        <x:v>195</x:v>
      </x:c>
      <x:c r="T251" s="2"/>
      <x:c r="U251" s="2">
        <x:v>36</x:v>
      </x:c>
      <x:c r="V251" s="2"/>
      <x:c r="W251" s="2"/>
      <x:c r="X251" s="2" t="s">
        <x:v>196</x:v>
      </x:c>
      <x:c r="Y251" s="2" t="s">
        <x:v>123</x:v>
      </x:c>
      <x:c r="Z251" s="2" t="s">
        <x:v>254</x:v>
      </x:c>
    </x:row>
    <x:row r="252" ht="40.5">
      <x:c r="A252" s="2">
        <x:v>1408</x:v>
      </x:c>
      <x:c r="B252" s="2">
        <x:v>1300793</x:v>
      </x:c>
      <x:c r="C252" s="2">
        <x:v>756465</x:v>
      </x:c>
      <x:c r="D252" s="2">
        <x:v>115854</x:v>
      </x:c>
      <x:c r="E252" s="2" t="s">
        <x:v>10</x:v>
      </x:c>
      <x:c r="F252" s="2" t="s">
        <x:v>235</x:v>
      </x:c>
      <x:c r="G252" s="2" t="s">
        <x:v>106</x:v>
      </x:c>
      <x:c r="H252" s="2" t="s">
        <x:v>107</x:v>
      </x:c>
      <x:c r="I252" s="2" t="s">
        <x:v>108</x:v>
      </x:c>
      <x:c r="J252" s="2">
        <x:v>4</x:v>
      </x:c>
      <x:c r="K252" s="2" t="s">
        <x:v>109</x:v>
      </x:c>
      <x:c r="L252" s="2" t="s">
        <x:v>110</x:v>
      </x:c>
      <x:c r="M252" s="2"/>
      <x:c r="N252" s="2"/>
      <x:c r="O252" s="2">
        <x:v>1000</x:v>
      </x:c>
      <x:c r="P252" s="2">
        <x:v>1100</x:v>
      </x:c>
      <x:c r="Q252" s="2" t="s">
        <x:v>111</x:v>
      </x:c>
      <x:c r="R252" s="2">
        <x:v>1.045558</x:v>
      </x:c>
      <x:c r="S252" s="2" t="s">
        <x:v>121</x:v>
      </x:c>
      <x:c r="T252" s="2">
        <x:v>25</x:v>
      </x:c>
      <x:c r="U252" s="2">
        <x:v>33</x:v>
      </x:c>
      <x:c r="V252" s="2"/>
      <x:c r="W252" s="2"/>
      <x:c r="X252" s="2" t="s">
        <x:v>112</x:v>
      </x:c>
      <x:c r="Y252" s="2" t="s">
        <x:v>220</x:v>
      </x:c>
      <x:c r="Z252" s="2" t="s">
        <x:v>255</x:v>
      </x:c>
    </x:row>
    <x:row r="253" ht="40.5">
      <x:c r="A253" s="2">
        <x:v>1409</x:v>
      </x:c>
      <x:c r="B253" s="2">
        <x:v>1301479</x:v>
      </x:c>
      <x:c r="C253" s="2">
        <x:v>757358</x:v>
      </x:c>
      <x:c r="D253" s="2">
        <x:v>115854</x:v>
      </x:c>
      <x:c r="E253" s="2" t="s">
        <x:v>10</x:v>
      </x:c>
      <x:c r="F253" s="2" t="s">
        <x:v>235</x:v>
      </x:c>
      <x:c r="G253" s="2" t="s">
        <x:v>106</x:v>
      </x:c>
      <x:c r="H253" s="2" t="s">
        <x:v>107</x:v>
      </x:c>
      <x:c r="I253" s="2" t="s">
        <x:v>108</x:v>
      </x:c>
      <x:c r="J253" s="2">
        <x:v>4</x:v>
      </x:c>
      <x:c r="K253" s="2" t="s">
        <x:v>126</x:v>
      </x:c>
      <x:c r="L253" s="2" t="s">
        <x:v>110</x:v>
      </x:c>
      <x:c r="M253" s="2"/>
      <x:c r="N253" s="2"/>
      <x:c r="O253" s="2">
        <x:v>400</x:v>
      </x:c>
      <x:c r="P253" s="2">
        <x:v>600</x:v>
      </x:c>
      <x:c r="Q253" s="2" t="s">
        <x:v>111</x:v>
      </x:c>
      <x:c r="R253" s="2">
        <x:v>0.47357300000000002</x:v>
      </x:c>
      <x:c r="S253" s="2" t="s">
        <x:v>121</x:v>
      </x:c>
      <x:c r="T253" s="2"/>
      <x:c r="U253" s="2"/>
      <x:c r="V253" s="2"/>
      <x:c r="W253" s="2"/>
      <x:c r="X253" s="2" t="s">
        <x:v>112</x:v>
      </x:c>
      <x:c r="Y253" s="2" t="s">
        <x:v>220</x:v>
      </x:c>
      <x:c r="Z253" s="2" t="s">
        <x:v>255</x:v>
      </x:c>
    </x:row>
    <x:row r="254" ht="40.5">
      <x:c r="A254" s="2">
        <x:v>1410</x:v>
      </x:c>
      <x:c r="B254" s="2">
        <x:v>1078467</x:v>
      </x:c>
      <x:c r="C254" s="2">
        <x:v>231980</x:v>
      </x:c>
      <x:c r="D254" s="2">
        <x:v>6045</x:v>
      </x:c>
      <x:c r="E254" s="2" t="s">
        <x:v>10</x:v>
      </x:c>
      <x:c r="F254" s="2" t="s">
        <x:v>235</x:v>
      </x:c>
      <x:c r="G254" s="2" t="s">
        <x:v>134</x:v>
      </x:c>
      <x:c r="H254" s="2" t="s">
        <x:v>135</x:v>
      </x:c>
      <x:c r="I254" s="2"/>
      <x:c r="J254" s="2">
        <x:v>1</x:v>
      </x:c>
      <x:c r="K254" s="2" t="s">
        <x:v>117</x:v>
      </x:c>
      <x:c r="L254" s="2" t="s">
        <x:v>110</x:v>
      </x:c>
      <x:c r="M254" s="2" t="s">
        <x:v>184</x:v>
      </x:c>
      <x:c r="N254" s="2">
        <x:v>200</x:v>
      </x:c>
      <x:c r="O254" s="2"/>
      <x:c r="P254" s="2"/>
      <x:c r="Q254" s="2" t="s">
        <x:v>195</x:v>
      </x:c>
      <x:c r="R254" s="2">
        <x:v>200</x:v>
      </x:c>
      <x:c r="S254" s="2" t="s">
        <x:v>195</x:v>
      </x:c>
      <x:c r="T254" s="2">
        <x:v>22</x:v>
      </x:c>
      <x:c r="U254" s="2">
        <x:v>36</x:v>
      </x:c>
      <x:c r="V254" s="2"/>
      <x:c r="W254" s="2"/>
      <x:c r="X254" s="2" t="s">
        <x:v>196</x:v>
      </x:c>
      <x:c r="Y254" s="2" t="s">
        <x:v>123</x:v>
      </x:c>
      <x:c r="Z254" s="2" t="s">
        <x:v>254</x:v>
      </x:c>
    </x:row>
    <x:row r="255" ht="54">
      <x:c r="A255" s="2">
        <x:v>1411</x:v>
      </x:c>
      <x:c r="B255" s="2">
        <x:v>1296798</x:v>
      </x:c>
      <x:c r="C255" s="2">
        <x:v>752112</x:v>
      </x:c>
      <x:c r="D255" s="2">
        <x:v>111315</x:v>
      </x:c>
      <x:c r="E255" s="2" t="s">
        <x:v>10</x:v>
      </x:c>
      <x:c r="F255" s="2" t="s">
        <x:v>235</x:v>
      </x:c>
      <x:c r="G255" s="2" t="s">
        <x:v>106</x:v>
      </x:c>
      <x:c r="H255" s="2" t="s">
        <x:v>107</x:v>
      </x:c>
      <x:c r="I255" s="2" t="s">
        <x:v>108</x:v>
      </x:c>
      <x:c r="J255" s="2">
        <x:v>4</x:v>
      </x:c>
      <x:c r="K255" s="2" t="s">
        <x:v>126</x:v>
      </x:c>
      <x:c r="L255" s="2" t="s">
        <x:v>110</x:v>
      </x:c>
      <x:c r="M255" s="2"/>
      <x:c r="N255" s="2">
        <x:v>3.9</x:v>
      </x:c>
      <x:c r="O255" s="2">
        <x:v>2.6</x:v>
      </x:c>
      <x:c r="P255" s="2">
        <x:v>5.87</x:v>
      </x:c>
      <x:c r="Q255" s="2" t="s">
        <x:v>121</x:v>
      </x:c>
      <x:c r="R255" s="2">
        <x:v>3.9</x:v>
      </x:c>
      <x:c r="S255" s="2" t="s">
        <x:v>121</x:v>
      </x:c>
      <x:c r="T255" s="2">
        <x:v>20</x:v>
      </x:c>
      <x:c r="U255" s="2">
        <x:v>32</x:v>
      </x:c>
      <x:c r="V255" s="2">
        <x:v>7.9</x:v>
      </x:c>
      <x:c r="W255" s="2"/>
      <x:c r="X255" s="2" t="s">
        <x:v>204</x:v>
      </x:c>
      <x:c r="Y255" s="2" t="s">
        <x:v>113</x:v>
      </x:c>
      <x:c r="Z255" s="2" t="s">
        <x:v>114</x:v>
      </x:c>
    </x:row>
    <x:row r="256" ht="40.5">
      <x:c r="A256" s="2">
        <x:v>1413</x:v>
      </x:c>
      <x:c r="B256" s="2">
        <x:v>1078461</x:v>
      </x:c>
      <x:c r="C256" s="2">
        <x:v>231973</x:v>
      </x:c>
      <x:c r="D256" s="2">
        <x:v>6045</x:v>
      </x:c>
      <x:c r="E256" s="2" t="s">
        <x:v>10</x:v>
      </x:c>
      <x:c r="F256" s="2" t="s">
        <x:v>235</x:v>
      </x:c>
      <x:c r="G256" s="2" t="s">
        <x:v>134</x:v>
      </x:c>
      <x:c r="H256" s="2" t="s">
        <x:v>135</x:v>
      </x:c>
      <x:c r="I256" s="2"/>
      <x:c r="J256" s="2">
        <x:v>1</x:v>
      </x:c>
      <x:c r="K256" s="2" t="s">
        <x:v>117</x:v>
      </x:c>
      <x:c r="L256" s="2" t="s">
        <x:v>110</x:v>
      </x:c>
      <x:c r="M256" s="2"/>
      <x:c r="N256" s="2"/>
      <x:c r="O256" s="2">
        <x:v>100</x:v>
      </x:c>
      <x:c r="P256" s="2">
        <x:v>200</x:v>
      </x:c>
      <x:c r="Q256" s="2" t="s">
        <x:v>195</x:v>
      </x:c>
      <x:c r="R256" s="2"/>
      <x:c r="S256" s="2" t="s">
        <x:v>195</x:v>
      </x:c>
      <x:c r="T256" s="2">
        <x:v>30</x:v>
      </x:c>
      <x:c r="U256" s="2">
        <x:v>36</x:v>
      </x:c>
      <x:c r="V256" s="2"/>
      <x:c r="W256" s="2"/>
      <x:c r="X256" s="2" t="s">
        <x:v>196</x:v>
      </x:c>
      <x:c r="Y256" s="2" t="s">
        <x:v>123</x:v>
      </x:c>
      <x:c r="Z256" s="2" t="s">
        <x:v>254</x:v>
      </x:c>
    </x:row>
    <x:row r="257" ht="40.5">
      <x:c r="A257" s="2">
        <x:v>1414</x:v>
      </x:c>
      <x:c r="B257" s="2">
        <x:v>1078473</x:v>
      </x:c>
      <x:c r="C257" s="2">
        <x:v>231986</x:v>
      </x:c>
      <x:c r="D257" s="2">
        <x:v>6045</x:v>
      </x:c>
      <x:c r="E257" s="2" t="s">
        <x:v>10</x:v>
      </x:c>
      <x:c r="F257" s="2" t="s">
        <x:v>235</x:v>
      </x:c>
      <x:c r="G257" s="2" t="s">
        <x:v>134</x:v>
      </x:c>
      <x:c r="H257" s="2" t="s">
        <x:v>135</x:v>
      </x:c>
      <x:c r="I257" s="2"/>
      <x:c r="J257" s="2">
        <x:v>1</x:v>
      </x:c>
      <x:c r="K257" s="2" t="s">
        <x:v>117</x:v>
      </x:c>
      <x:c r="L257" s="2" t="s">
        <x:v>110</x:v>
      </x:c>
      <x:c r="M257" s="2"/>
      <x:c r="N257" s="2"/>
      <x:c r="O257" s="2">
        <x:v>100</x:v>
      </x:c>
      <x:c r="P257" s="2">
        <x:v>200</x:v>
      </x:c>
      <x:c r="Q257" s="2" t="s">
        <x:v>195</x:v>
      </x:c>
      <x:c r="R257" s="2"/>
      <x:c r="S257" s="2" t="s">
        <x:v>195</x:v>
      </x:c>
      <x:c r="T257" s="2">
        <x:v>26</x:v>
      </x:c>
      <x:c r="U257" s="2">
        <x:v>36</x:v>
      </x:c>
      <x:c r="V257" s="2"/>
      <x:c r="W257" s="2"/>
      <x:c r="X257" s="2" t="s">
        <x:v>196</x:v>
      </x:c>
      <x:c r="Y257" s="2" t="s">
        <x:v>123</x:v>
      </x:c>
      <x:c r="Z257" s="2" t="s">
        <x:v>254</x:v>
      </x:c>
    </x:row>
    <x:row r="258" ht="40.5">
      <x:c r="A258" s="2">
        <x:v>1415</x:v>
      </x:c>
      <x:c r="B258" s="2">
        <x:v>1300801</x:v>
      </x:c>
      <x:c r="C258" s="2">
        <x:v>756473</x:v>
      </x:c>
      <x:c r="D258" s="2">
        <x:v>115854</x:v>
      </x:c>
      <x:c r="E258" s="2" t="s">
        <x:v>10</x:v>
      </x:c>
      <x:c r="F258" s="2" t="s">
        <x:v>235</x:v>
      </x:c>
      <x:c r="G258" s="2" t="s">
        <x:v>106</x:v>
      </x:c>
      <x:c r="H258" s="2" t="s">
        <x:v>107</x:v>
      </x:c>
      <x:c r="I258" s="2" t="s">
        <x:v>108</x:v>
      </x:c>
      <x:c r="J258" s="2">
        <x:v>4</x:v>
      </x:c>
      <x:c r="K258" s="2" t="s">
        <x:v>126</x:v>
      </x:c>
      <x:c r="L258" s="2" t="s">
        <x:v>110</x:v>
      </x:c>
      <x:c r="M258" s="2" t="s">
        <x:v>184</x:v>
      </x:c>
      <x:c r="N258" s="2">
        <x:v>800</x:v>
      </x:c>
      <x:c r="O258" s="2"/>
      <x:c r="P258" s="2"/>
      <x:c r="Q258" s="2" t="s">
        <x:v>111</x:v>
      </x:c>
      <x:c r="R258" s="2">
        <x:v>0.79915400000000003</x:v>
      </x:c>
      <x:c r="S258" s="2" t="s">
        <x:v>121</x:v>
      </x:c>
      <x:c r="T258" s="2"/>
      <x:c r="U258" s="2"/>
      <x:c r="V258" s="2"/>
      <x:c r="W258" s="2"/>
      <x:c r="X258" s="2" t="s">
        <x:v>112</x:v>
      </x:c>
      <x:c r="Y258" s="2" t="s">
        <x:v>220</x:v>
      </x:c>
      <x:c r="Z258" s="2" t="s">
        <x:v>255</x:v>
      </x:c>
    </x:row>
    <x:row r="259" ht="40.5">
      <x:c r="A259" s="2">
        <x:v>1416</x:v>
      </x:c>
      <x:c r="B259" s="2">
        <x:v>1300806</x:v>
      </x:c>
      <x:c r="C259" s="2">
        <x:v>756479</x:v>
      </x:c>
      <x:c r="D259" s="2">
        <x:v>115854</x:v>
      </x:c>
      <x:c r="E259" s="2" t="s">
        <x:v>10</x:v>
      </x:c>
      <x:c r="F259" s="2" t="s">
        <x:v>235</x:v>
      </x:c>
      <x:c r="G259" s="2" t="s">
        <x:v>106</x:v>
      </x:c>
      <x:c r="H259" s="2" t="s">
        <x:v>107</x:v>
      </x:c>
      <x:c r="I259" s="2" t="s">
        <x:v>108</x:v>
      </x:c>
      <x:c r="J259" s="2">
        <x:v>4</x:v>
      </x:c>
      <x:c r="K259" s="2" t="s">
        <x:v>126</x:v>
      </x:c>
      <x:c r="L259" s="2" t="s">
        <x:v>110</x:v>
      </x:c>
      <x:c r="M259" s="2"/>
      <x:c r="N259" s="2"/>
      <x:c r="O259" s="2">
        <x:v>200</x:v>
      </x:c>
      <x:c r="P259" s="2">
        <x:v>400</x:v>
      </x:c>
      <x:c r="Q259" s="2" t="s">
        <x:v>111</x:v>
      </x:c>
      <x:c r="R259" s="2">
        <x:v>0.39217800000000003</x:v>
      </x:c>
      <x:c r="S259" s="2" t="s">
        <x:v>121</x:v>
      </x:c>
      <x:c r="T259" s="2"/>
      <x:c r="U259" s="2"/>
      <x:c r="V259" s="2"/>
      <x:c r="W259" s="2"/>
      <x:c r="X259" s="2" t="s">
        <x:v>112</x:v>
      </x:c>
      <x:c r="Y259" s="2" t="s">
        <x:v>220</x:v>
      </x:c>
      <x:c r="Z259" s="2" t="s">
        <x:v>255</x:v>
      </x:c>
    </x:row>
    <x:row r="260" ht="40.5">
      <x:c r="A260" s="2">
        <x:v>1418</x:v>
      </x:c>
      <x:c r="B260" s="2">
        <x:v>1312278</x:v>
      </x:c>
      <x:c r="C260" s="2">
        <x:v>769701</x:v>
      </x:c>
      <x:c r="D260" s="2">
        <x:v>111599</x:v>
      </x:c>
      <x:c r="E260" s="2" t="s">
        <x:v>10</x:v>
      </x:c>
      <x:c r="F260" s="2" t="s">
        <x:v>235</x:v>
      </x:c>
      <x:c r="G260" s="2" t="s">
        <x:v>106</x:v>
      </x:c>
      <x:c r="H260" s="2" t="s">
        <x:v>107</x:v>
      </x:c>
      <x:c r="I260" s="2" t="s">
        <x:v>108</x:v>
      </x:c>
      <x:c r="J260" s="2">
        <x:v>4</x:v>
      </x:c>
      <x:c r="K260" s="2" t="s">
        <x:v>126</x:v>
      </x:c>
      <x:c r="L260" s="2" t="s">
        <x:v>110</x:v>
      </x:c>
      <x:c r="M260" s="2"/>
      <x:c r="N260" s="2">
        <x:v>1024</x:v>
      </x:c>
      <x:c r="O260" s="2"/>
      <x:c r="P260" s="2"/>
      <x:c r="Q260" s="2" t="s">
        <x:v>111</x:v>
      </x:c>
      <x:c r="R260" s="2">
        <x:v>1024</x:v>
      </x:c>
      <x:c r="S260" s="2" t="s">
        <x:v>111</x:v>
      </x:c>
      <x:c r="T260" s="2">
        <x:v>25</x:v>
      </x:c>
      <x:c r="U260" s="2">
        <x:v>34.5</x:v>
      </x:c>
      <x:c r="V260" s="2"/>
      <x:c r="W260" s="2"/>
      <x:c r="X260" s="2" t="s">
        <x:v>256</x:v>
      </x:c>
      <x:c r="Y260" s="2" t="s">
        <x:v>113</x:v>
      </x:c>
      <x:c r="Z260" s="2" t="s">
        <x:v>114</x:v>
      </x:c>
    </x:row>
    <x:row r="261" ht="27">
      <x:c r="A261" s="2">
        <x:v>1419</x:v>
      </x:c>
      <x:c r="B261" s="2">
        <x:v>1310608</x:v>
      </x:c>
      <x:c r="C261" s="2">
        <x:v>767790</x:v>
      </x:c>
      <x:c r="D261" s="2">
        <x:v>14474</x:v>
      </x:c>
      <x:c r="E261" s="2" t="s">
        <x:v>10</x:v>
      </x:c>
      <x:c r="F261" s="2" t="s">
        <x:v>235</x:v>
      </x:c>
      <x:c r="G261" s="2" t="s">
        <x:v>141</x:v>
      </x:c>
      <x:c r="H261" s="2" t="s">
        <x:v>135</x:v>
      </x:c>
      <x:c r="I261" s="2"/>
      <x:c r="J261" s="2">
        <x:v>2</x:v>
      </x:c>
      <x:c r="K261" s="2" t="s">
        <x:v>117</x:v>
      </x:c>
      <x:c r="L261" s="2" t="s">
        <x:v>110</x:v>
      </x:c>
      <x:c r="M261" s="2"/>
      <x:c r="N261" s="2">
        <x:v>3.4000000000000002E-2</x:v>
      </x:c>
      <x:c r="O261" s="2"/>
      <x:c r="P261" s="2"/>
      <x:c r="Q261" s="2" t="s">
        <x:v>121</x:v>
      </x:c>
      <x:c r="R261" s="2">
        <x:v>3.4000000000000002E-2</x:v>
      </x:c>
      <x:c r="S261" s="2" t="s">
        <x:v>121</x:v>
      </x:c>
      <x:c r="T261" s="2"/>
      <x:c r="U261" s="2"/>
      <x:c r="V261" s="2"/>
      <x:c r="W261" s="2"/>
      <x:c r="X261" s="2" t="s">
        <x:v>240</x:v>
      </x:c>
      <x:c r="Y261" s="2" t="s">
        <x:v>113</x:v>
      </x:c>
      <x:c r="Z261" s="2" t="s">
        <x:v>114</x:v>
      </x:c>
    </x:row>
    <x:row r="262" ht="54">
      <x:c r="A262" s="2">
        <x:v>1421</x:v>
      </x:c>
      <x:c r="B262" s="2">
        <x:v>1205932</x:v>
      </x:c>
      <x:c r="C262" s="2">
        <x:v>171323</x:v>
      </x:c>
      <x:c r="D262" s="2">
        <x:v>18833</x:v>
      </x:c>
      <x:c r="E262" s="2" t="s">
        <x:v>10</x:v>
      </x:c>
      <x:c r="F262" s="2" t="s">
        <x:v>235</x:v>
      </x:c>
      <x:c r="G262" s="2" t="s">
        <x:v>226</x:v>
      </x:c>
      <x:c r="H262" s="2" t="s">
        <x:v>107</x:v>
      </x:c>
      <x:c r="I262" s="2" t="s">
        <x:v>125</x:v>
      </x:c>
      <x:c r="J262" s="2">
        <x:v>4</x:v>
      </x:c>
      <x:c r="K262" s="2" t="s">
        <x:v>126</x:v>
      </x:c>
      <x:c r="L262" s="2" t="s">
        <x:v>110</x:v>
      </x:c>
      <x:c r="M262" s="2"/>
      <x:c r="N262" s="2">
        <x:v>308</x:v>
      </x:c>
      <x:c r="O262" s="2"/>
      <x:c r="P262" s="2"/>
      <x:c r="Q262" s="2" t="s">
        <x:v>111</x:v>
      </x:c>
      <x:c r="R262" s="2">
        <x:v>308</x:v>
      </x:c>
      <x:c r="S262" s="2" t="s">
        <x:v>111</x:v>
      </x:c>
      <x:c r="T262" s="2">
        <x:v>20</x:v>
      </x:c>
      <x:c r="U262" s="2">
        <x:v>37</x:v>
      </x:c>
      <x:c r="V262" s="2"/>
      <x:c r="W262" s="2"/>
      <x:c r="X262" s="2" t="s">
        <x:v>251</x:v>
      </x:c>
      <x:c r="Y262" s="2" t="s">
        <x:v>113</x:v>
      </x:c>
      <x:c r="Z262" s="2" t="s">
        <x:v>114</x:v>
      </x:c>
    </x:row>
    <x:row r="263" ht="40.5">
      <x:c r="A263" s="2">
        <x:v>1422</x:v>
      </x:c>
      <x:c r="B263" s="2">
        <x:v>1078435</x:v>
      </x:c>
      <x:c r="C263" s="2">
        <x:v>102769</x:v>
      </x:c>
      <x:c r="D263" s="2">
        <x:v>6045</x:v>
      </x:c>
      <x:c r="E263" s="2" t="s">
        <x:v>10</x:v>
      </x:c>
      <x:c r="F263" s="2" t="s">
        <x:v>235</x:v>
      </x:c>
      <x:c r="G263" s="2" t="s">
        <x:v>134</x:v>
      </x:c>
      <x:c r="H263" s="2" t="s">
        <x:v>135</x:v>
      </x:c>
      <x:c r="I263" s="2" t="s">
        <x:v>108</x:v>
      </x:c>
      <x:c r="J263" s="2">
        <x:v>1</x:v>
      </x:c>
      <x:c r="K263" s="2" t="s">
        <x:v>117</x:v>
      </x:c>
      <x:c r="L263" s="2" t="s">
        <x:v>110</x:v>
      </x:c>
      <x:c r="M263" s="2"/>
      <x:c r="N263" s="2"/>
      <x:c r="O263" s="2">
        <x:v>104</x:v>
      </x:c>
      <x:c r="P263" s="2">
        <x:v>311</x:v>
      </x:c>
      <x:c r="Q263" s="2" t="s">
        <x:v>195</x:v>
      </x:c>
      <x:c r="R263" s="2"/>
      <x:c r="S263" s="2" t="s">
        <x:v>195</x:v>
      </x:c>
      <x:c r="T263" s="2"/>
      <x:c r="U263" s="2"/>
      <x:c r="V263" s="2"/>
      <x:c r="W263" s="2"/>
      <x:c r="X263" s="2" t="s">
        <x:v>196</x:v>
      </x:c>
      <x:c r="Y263" s="2" t="s">
        <x:v>123</x:v>
      </x:c>
      <x:c r="Z263" s="2" t="s">
        <x:v>254</x:v>
      </x:c>
    </x:row>
    <x:row r="264" ht="40.5">
      <x:c r="A264" s="2">
        <x:v>1423</x:v>
      </x:c>
      <x:c r="B264" s="2">
        <x:v>1078472</x:v>
      </x:c>
      <x:c r="C264" s="2">
        <x:v>231985</x:v>
      </x:c>
      <x:c r="D264" s="2">
        <x:v>6045</x:v>
      </x:c>
      <x:c r="E264" s="2" t="s">
        <x:v>10</x:v>
      </x:c>
      <x:c r="F264" s="2" t="s">
        <x:v>235</x:v>
      </x:c>
      <x:c r="G264" s="2" t="s">
        <x:v>134</x:v>
      </x:c>
      <x:c r="H264" s="2" t="s">
        <x:v>135</x:v>
      </x:c>
      <x:c r="I264" s="2"/>
      <x:c r="J264" s="2">
        <x:v>1</x:v>
      </x:c>
      <x:c r="K264" s="2" t="s">
        <x:v>117</x:v>
      </x:c>
      <x:c r="L264" s="2" t="s">
        <x:v>110</x:v>
      </x:c>
      <x:c r="M264" s="2"/>
      <x:c r="N264" s="2"/>
      <x:c r="O264" s="2">
        <x:v>200</x:v>
      </x:c>
      <x:c r="P264" s="2">
        <x:v>300</x:v>
      </x:c>
      <x:c r="Q264" s="2" t="s">
        <x:v>195</x:v>
      </x:c>
      <x:c r="R264" s="2"/>
      <x:c r="S264" s="2" t="s">
        <x:v>195</x:v>
      </x:c>
      <x:c r="T264" s="2">
        <x:v>24</x:v>
      </x:c>
      <x:c r="U264" s="2">
        <x:v>36</x:v>
      </x:c>
      <x:c r="V264" s="2"/>
      <x:c r="W264" s="2"/>
      <x:c r="X264" s="2" t="s">
        <x:v>196</x:v>
      </x:c>
      <x:c r="Y264" s="2" t="s">
        <x:v>123</x:v>
      </x:c>
      <x:c r="Z264" s="2" t="s">
        <x:v>254</x:v>
      </x:c>
    </x:row>
    <x:row r="265" ht="40.5">
      <x:c r="A265" s="2">
        <x:v>1428</x:v>
      </x:c>
      <x:c r="B265" s="2">
        <x:v>1078465</x:v>
      </x:c>
      <x:c r="C265" s="2">
        <x:v>231978</x:v>
      </x:c>
      <x:c r="D265" s="2">
        <x:v>6045</x:v>
      </x:c>
      <x:c r="E265" s="2" t="s">
        <x:v>10</x:v>
      </x:c>
      <x:c r="F265" s="2" t="s">
        <x:v>235</x:v>
      </x:c>
      <x:c r="G265" s="2" t="s">
        <x:v>134</x:v>
      </x:c>
      <x:c r="H265" s="2" t="s">
        <x:v>135</x:v>
      </x:c>
      <x:c r="I265" s="2"/>
      <x:c r="J265" s="2">
        <x:v>1</x:v>
      </x:c>
      <x:c r="K265" s="2" t="s">
        <x:v>117</x:v>
      </x:c>
      <x:c r="L265" s="2" t="s">
        <x:v>110</x:v>
      </x:c>
      <x:c r="M265" s="2"/>
      <x:c r="N265" s="2">
        <x:v>300</x:v>
      </x:c>
      <x:c r="O265" s="2"/>
      <x:c r="P265" s="2"/>
      <x:c r="Q265" s="2" t="s">
        <x:v>195</x:v>
      </x:c>
      <x:c r="R265" s="2">
        <x:v>300</x:v>
      </x:c>
      <x:c r="S265" s="2" t="s">
        <x:v>195</x:v>
      </x:c>
      <x:c r="T265" s="2"/>
      <x:c r="U265" s="2">
        <x:v>36</x:v>
      </x:c>
      <x:c r="V265" s="2"/>
      <x:c r="W265" s="2"/>
      <x:c r="X265" s="2" t="s">
        <x:v>196</x:v>
      </x:c>
      <x:c r="Y265" s="2" t="s">
        <x:v>113</x:v>
      </x:c>
      <x:c r="Z265" s="2" t="s">
        <x:v>114</x:v>
      </x:c>
    </x:row>
    <x:row r="266" ht="27">
      <x:c r="A266" s="2">
        <x:v>1430</x:v>
      </x:c>
      <x:c r="B266" s="2">
        <x:v>2148405</x:v>
      </x:c>
      <x:c r="C266" s="2">
        <x:v>2283209</x:v>
      </x:c>
      <x:c r="D266" s="2">
        <x:v>156333</x:v>
      </x:c>
      <x:c r="E266" s="2" t="s">
        <x:v>10</x:v>
      </x:c>
      <x:c r="F266" s="2" t="s">
        <x:v>235</x:v>
      </x:c>
      <x:c r="G266" s="2" t="s">
        <x:v>129</x:v>
      </x:c>
      <x:c r="H266" s="2" t="s">
        <x:v>107</x:v>
      </x:c>
      <x:c r="I266" s="2" t="s">
        <x:v>108</x:v>
      </x:c>
      <x:c r="J266" s="2">
        <x:v>4</x:v>
      </x:c>
      <x:c r="K266" s="2" t="s">
        <x:v>109</x:v>
      </x:c>
      <x:c r="L266" s="2" t="s">
        <x:v>120</x:v>
      </x:c>
      <x:c r="M266" s="2"/>
      <x:c r="N266" s="2">
        <x:v>350</x:v>
      </x:c>
      <x:c r="O266" s="2"/>
      <x:c r="P266" s="2"/>
      <x:c r="Q266" s="2" t="s">
        <x:v>111</x:v>
      </x:c>
      <x:c r="R266" s="2">
        <x:v>350</x:v>
      </x:c>
      <x:c r="S266" s="2" t="s">
        <x:v>111</x:v>
      </x:c>
      <x:c r="T266" s="2">
        <x:v>21</x:v>
      </x:c>
      <x:c r="U266" s="2">
        <x:v>30</x:v>
      </x:c>
      <x:c r="V266" s="2"/>
      <x:c r="W266" s="2"/>
      <x:c r="X266" s="2" t="s">
        <x:v>243</x:v>
      </x:c>
      <x:c r="Y266" s="2" t="s">
        <x:v>113</x:v>
      </x:c>
      <x:c r="Z266" s="2" t="s">
        <x:v>114</x:v>
      </x:c>
    </x:row>
    <x:row r="267" ht="27">
      <x:c r="A267" s="2">
        <x:v>1431</x:v>
      </x:c>
      <x:c r="B267" s="2">
        <x:v>2148402</x:v>
      </x:c>
      <x:c r="C267" s="2">
        <x:v>2283207</x:v>
      </x:c>
      <x:c r="D267" s="2">
        <x:v>156333</x:v>
      </x:c>
      <x:c r="E267" s="2" t="s">
        <x:v>10</x:v>
      </x:c>
      <x:c r="F267" s="2" t="s">
        <x:v>235</x:v>
      </x:c>
      <x:c r="G267" s="2" t="s">
        <x:v>129</x:v>
      </x:c>
      <x:c r="H267" s="2" t="s">
        <x:v>107</x:v>
      </x:c>
      <x:c r="I267" s="2" t="s">
        <x:v>108</x:v>
      </x:c>
      <x:c r="J267" s="2">
        <x:v>3</x:v>
      </x:c>
      <x:c r="K267" s="2" t="s">
        <x:v>109</x:v>
      </x:c>
      <x:c r="L267" s="2" t="s">
        <x:v>120</x:v>
      </x:c>
      <x:c r="M267" s="2"/>
      <x:c r="N267" s="2">
        <x:v>323</x:v>
      </x:c>
      <x:c r="O267" s="2"/>
      <x:c r="P267" s="2"/>
      <x:c r="Q267" s="2" t="s">
        <x:v>111</x:v>
      </x:c>
      <x:c r="R267" s="2">
        <x:v>323</x:v>
      </x:c>
      <x:c r="S267" s="2" t="s">
        <x:v>111</x:v>
      </x:c>
      <x:c r="T267" s="2">
        <x:v>21</x:v>
      </x:c>
      <x:c r="U267" s="2">
        <x:v>30</x:v>
      </x:c>
      <x:c r="V267" s="2"/>
      <x:c r="W267" s="2"/>
      <x:c r="X267" s="2" t="s">
        <x:v>243</x:v>
      </x:c>
      <x:c r="Y267" s="2" t="s">
        <x:v>113</x:v>
      </x:c>
      <x:c r="Z267" s="2" t="s">
        <x:v>114</x:v>
      </x:c>
    </x:row>
    <x:row r="268" ht="40.5">
      <x:c r="A268" s="2">
        <x:v>1432</x:v>
      </x:c>
      <x:c r="B268" s="2">
        <x:v>1078466</x:v>
      </x:c>
      <x:c r="C268" s="2">
        <x:v>231979</x:v>
      </x:c>
      <x:c r="D268" s="2">
        <x:v>6045</x:v>
      </x:c>
      <x:c r="E268" s="2" t="s">
        <x:v>10</x:v>
      </x:c>
      <x:c r="F268" s="2" t="s">
        <x:v>235</x:v>
      </x:c>
      <x:c r="G268" s="2" t="s">
        <x:v>134</x:v>
      </x:c>
      <x:c r="H268" s="2" t="s">
        <x:v>135</x:v>
      </x:c>
      <x:c r="I268" s="2"/>
      <x:c r="J268" s="2">
        <x:v>1</x:v>
      </x:c>
      <x:c r="K268" s="2" t="s">
        <x:v>117</x:v>
      </x:c>
      <x:c r="L268" s="2" t="s">
        <x:v>110</x:v>
      </x:c>
      <x:c r="M268" s="2"/>
      <x:c r="N268" s="2"/>
      <x:c r="O268" s="2">
        <x:v>100</x:v>
      </x:c>
      <x:c r="P268" s="2">
        <x:v>200</x:v>
      </x:c>
      <x:c r="Q268" s="2" t="s">
        <x:v>195</x:v>
      </x:c>
      <x:c r="R268" s="2"/>
      <x:c r="S268" s="2" t="s">
        <x:v>195</x:v>
      </x:c>
      <x:c r="T268" s="2"/>
      <x:c r="U268" s="2">
        <x:v>36</x:v>
      </x:c>
      <x:c r="V268" s="2"/>
      <x:c r="W268" s="2"/>
      <x:c r="X268" s="2" t="s">
        <x:v>196</x:v>
      </x:c>
      <x:c r="Y268" s="2" t="s">
        <x:v>123</x:v>
      </x:c>
      <x:c r="Z268" s="2" t="s">
        <x:v>254</x:v>
      </x:c>
    </x:row>
    <x:row r="269" ht="54">
      <x:c r="A269" s="2">
        <x:v>1433</x:v>
      </x:c>
      <x:c r="B269" s="2">
        <x:v>1205934</x:v>
      </x:c>
      <x:c r="C269" s="2">
        <x:v>171325</x:v>
      </x:c>
      <x:c r="D269" s="2">
        <x:v>18833</x:v>
      </x:c>
      <x:c r="E269" s="2" t="s">
        <x:v>10</x:v>
      </x:c>
      <x:c r="F269" s="2" t="s">
        <x:v>235</x:v>
      </x:c>
      <x:c r="G269" s="2" t="s">
        <x:v>226</x:v>
      </x:c>
      <x:c r="H269" s="2" t="s">
        <x:v>107</x:v>
      </x:c>
      <x:c r="I269" s="2" t="s">
        <x:v>108</x:v>
      </x:c>
      <x:c r="J269" s="2">
        <x:v>4</x:v>
      </x:c>
      <x:c r="K269" s="2" t="s">
        <x:v>126</x:v>
      </x:c>
      <x:c r="L269" s="2" t="s">
        <x:v>110</x:v>
      </x:c>
      <x:c r="M269" s="2"/>
      <x:c r="N269" s="2">
        <x:v>790</x:v>
      </x:c>
      <x:c r="O269" s="2"/>
      <x:c r="P269" s="2"/>
      <x:c r="Q269" s="2" t="s">
        <x:v>111</x:v>
      </x:c>
      <x:c r="R269" s="2">
        <x:v>790</x:v>
      </x:c>
      <x:c r="S269" s="2" t="s">
        <x:v>111</x:v>
      </x:c>
      <x:c r="T269" s="2">
        <x:v>20</x:v>
      </x:c>
      <x:c r="U269" s="2">
        <x:v>37</x:v>
      </x:c>
      <x:c r="V269" s="2"/>
      <x:c r="W269" s="2"/>
      <x:c r="X269" s="2" t="s">
        <x:v>251</x:v>
      </x:c>
      <x:c r="Y269" s="2" t="s">
        <x:v>113</x:v>
      </x:c>
      <x:c r="Z269" s="2" t="s">
        <x:v>114</x:v>
      </x:c>
    </x:row>
    <x:row r="270" ht="40.5">
      <x:c r="A270" s="2">
        <x:v>1434</x:v>
      </x:c>
      <x:c r="B270" s="2">
        <x:v>1078468</x:v>
      </x:c>
      <x:c r="C270" s="2">
        <x:v>231981</x:v>
      </x:c>
      <x:c r="D270" s="2">
        <x:v>6045</x:v>
      </x:c>
      <x:c r="E270" s="2" t="s">
        <x:v>10</x:v>
      </x:c>
      <x:c r="F270" s="2" t="s">
        <x:v>235</x:v>
      </x:c>
      <x:c r="G270" s="2" t="s">
        <x:v>134</x:v>
      </x:c>
      <x:c r="H270" s="2" t="s">
        <x:v>135</x:v>
      </x:c>
      <x:c r="I270" s="2"/>
      <x:c r="J270" s="2">
        <x:v>1</x:v>
      </x:c>
      <x:c r="K270" s="2" t="s">
        <x:v>117</x:v>
      </x:c>
      <x:c r="L270" s="2" t="s">
        <x:v>110</x:v>
      </x:c>
      <x:c r="M270" s="2"/>
      <x:c r="N270" s="2"/>
      <x:c r="O270" s="2">
        <x:v>100</x:v>
      </x:c>
      <x:c r="P270" s="2">
        <x:v>200</x:v>
      </x:c>
      <x:c r="Q270" s="2" t="s">
        <x:v>195</x:v>
      </x:c>
      <x:c r="R270" s="2"/>
      <x:c r="S270" s="2" t="s">
        <x:v>195</x:v>
      </x:c>
      <x:c r="T270" s="2"/>
      <x:c r="U270" s="2">
        <x:v>36</x:v>
      </x:c>
      <x:c r="V270" s="2"/>
      <x:c r="W270" s="2"/>
      <x:c r="X270" s="2" t="s">
        <x:v>196</x:v>
      </x:c>
      <x:c r="Y270" s="2" t="s">
        <x:v>123</x:v>
      </x:c>
      <x:c r="Z270" s="2" t="s">
        <x:v>254</x:v>
      </x:c>
    </x:row>
    <x:row r="271" ht="40.5">
      <x:c r="A271" s="2">
        <x:v>1436</x:v>
      </x:c>
      <x:c r="B271" s="2">
        <x:v>1078464</x:v>
      </x:c>
      <x:c r="C271" s="2">
        <x:v>231977</x:v>
      </x:c>
      <x:c r="D271" s="2">
        <x:v>6045</x:v>
      </x:c>
      <x:c r="E271" s="2" t="s">
        <x:v>10</x:v>
      </x:c>
      <x:c r="F271" s="2" t="s">
        <x:v>235</x:v>
      </x:c>
      <x:c r="G271" s="2" t="s">
        <x:v>134</x:v>
      </x:c>
      <x:c r="H271" s="2" t="s">
        <x:v>135</x:v>
      </x:c>
      <x:c r="I271" s="2"/>
      <x:c r="J271" s="2">
        <x:v>1</x:v>
      </x:c>
      <x:c r="K271" s="2" t="s">
        <x:v>117</x:v>
      </x:c>
      <x:c r="L271" s="2" t="s">
        <x:v>110</x:v>
      </x:c>
      <x:c r="M271" s="2"/>
      <x:c r="N271" s="2"/>
      <x:c r="O271" s="2">
        <x:v>300</x:v>
      </x:c>
      <x:c r="P271" s="2">
        <x:v>400</x:v>
      </x:c>
      <x:c r="Q271" s="2" t="s">
        <x:v>195</x:v>
      </x:c>
      <x:c r="R271" s="2"/>
      <x:c r="S271" s="2" t="s">
        <x:v>195</x:v>
      </x:c>
      <x:c r="T271" s="2"/>
      <x:c r="U271" s="2">
        <x:v>36</x:v>
      </x:c>
      <x:c r="V271" s="2"/>
      <x:c r="W271" s="2"/>
      <x:c r="X271" s="2" t="s">
        <x:v>196</x:v>
      </x:c>
      <x:c r="Y271" s="2" t="s">
        <x:v>123</x:v>
      </x:c>
      <x:c r="Z271" s="2" t="s">
        <x:v>254</x:v>
      </x:c>
    </x:row>
    <x:row r="272" ht="40.5">
      <x:c r="A272" s="2">
        <x:v>1439</x:v>
      </x:c>
      <x:c r="B272" s="2">
        <x:v>1300799</x:v>
      </x:c>
      <x:c r="C272" s="2">
        <x:v>756471</x:v>
      </x:c>
      <x:c r="D272" s="2">
        <x:v>115854</x:v>
      </x:c>
      <x:c r="E272" s="2" t="s">
        <x:v>10</x:v>
      </x:c>
      <x:c r="F272" s="2" t="s">
        <x:v>235</x:v>
      </x:c>
      <x:c r="G272" s="2" t="s">
        <x:v>106</x:v>
      </x:c>
      <x:c r="H272" s="2" t="s">
        <x:v>107</x:v>
      </x:c>
      <x:c r="I272" s="2" t="s">
        <x:v>108</x:v>
      </x:c>
      <x:c r="J272" s="2">
        <x:v>4</x:v>
      </x:c>
      <x:c r="K272" s="2" t="s">
        <x:v>126</x:v>
      </x:c>
      <x:c r="L272" s="2" t="s">
        <x:v>110</x:v>
      </x:c>
      <x:c r="M272" s="2"/>
      <x:c r="N272" s="2"/>
      <x:c r="O272" s="2">
        <x:v>400</x:v>
      </x:c>
      <x:c r="P272" s="2">
        <x:v>600</x:v>
      </x:c>
      <x:c r="Q272" s="2" t="s">
        <x:v>111</x:v>
      </x:c>
      <x:c r="R272" s="2">
        <x:v>0.43065500000000001</x:v>
      </x:c>
      <x:c r="S272" s="2" t="s">
        <x:v>121</x:v>
      </x:c>
      <x:c r="T272" s="2"/>
      <x:c r="U272" s="2"/>
      <x:c r="V272" s="2"/>
      <x:c r="W272" s="2"/>
      <x:c r="X272" s="2" t="s">
        <x:v>112</x:v>
      </x:c>
      <x:c r="Y272" s="2" t="s">
        <x:v>220</x:v>
      </x:c>
      <x:c r="Z272" s="2" t="s">
        <x:v>255</x:v>
      </x:c>
    </x:row>
    <x:row r="273" ht="40.5">
      <x:c r="A273" s="2">
        <x:v>1442</x:v>
      </x:c>
      <x:c r="B273" s="2">
        <x:v>1300788</x:v>
      </x:c>
      <x:c r="C273" s="2">
        <x:v>756460</x:v>
      </x:c>
      <x:c r="D273" s="2">
        <x:v>115854</x:v>
      </x:c>
      <x:c r="E273" s="2" t="s">
        <x:v>10</x:v>
      </x:c>
      <x:c r="F273" s="2" t="s">
        <x:v>235</x:v>
      </x:c>
      <x:c r="G273" s="2" t="s">
        <x:v>106</x:v>
      </x:c>
      <x:c r="H273" s="2" t="s">
        <x:v>107</x:v>
      </x:c>
      <x:c r="I273" s="2" t="s">
        <x:v>108</x:v>
      </x:c>
      <x:c r="J273" s="2">
        <x:v>4</x:v>
      </x:c>
      <x:c r="K273" s="2" t="s">
        <x:v>126</x:v>
      </x:c>
      <x:c r="L273" s="2" t="s">
        <x:v>110</x:v>
      </x:c>
      <x:c r="M273" s="2"/>
      <x:c r="N273" s="2">
        <x:v>585</x:v>
      </x:c>
      <x:c r="O273" s="2"/>
      <x:c r="P273" s="2"/>
      <x:c r="Q273" s="2" t="s">
        <x:v>111</x:v>
      </x:c>
      <x:c r="R273" s="2">
        <x:v>585</x:v>
      </x:c>
      <x:c r="S273" s="2" t="s">
        <x:v>111</x:v>
      </x:c>
      <x:c r="T273" s="2"/>
      <x:c r="U273" s="2"/>
      <x:c r="V273" s="2"/>
      <x:c r="W273" s="2"/>
      <x:c r="X273" s="2" t="s">
        <x:v>112</x:v>
      </x:c>
      <x:c r="Y273" s="2" t="s">
        <x:v>113</x:v>
      </x:c>
      <x:c r="Z273" s="2" t="s">
        <x:v>114</x:v>
      </x:c>
    </x:row>
    <x:row r="274" ht="40.5">
      <x:c r="A274" s="2">
        <x:v>1444</x:v>
      </x:c>
      <x:c r="B274" s="2">
        <x:v>1078470</x:v>
      </x:c>
      <x:c r="C274" s="2">
        <x:v>231983</x:v>
      </x:c>
      <x:c r="D274" s="2">
        <x:v>6045</x:v>
      </x:c>
      <x:c r="E274" s="2" t="s">
        <x:v>10</x:v>
      </x:c>
      <x:c r="F274" s="2" t="s">
        <x:v>235</x:v>
      </x:c>
      <x:c r="G274" s="2" t="s">
        <x:v>134</x:v>
      </x:c>
      <x:c r="H274" s="2" t="s">
        <x:v>135</x:v>
      </x:c>
      <x:c r="I274" s="2"/>
      <x:c r="J274" s="2">
        <x:v>1</x:v>
      </x:c>
      <x:c r="K274" s="2" t="s">
        <x:v>117</x:v>
      </x:c>
      <x:c r="L274" s="2" t="s">
        <x:v>110</x:v>
      </x:c>
      <x:c r="M274" s="2"/>
      <x:c r="N274" s="2"/>
      <x:c r="O274" s="2">
        <x:v>300</x:v>
      </x:c>
      <x:c r="P274" s="2">
        <x:v>400</x:v>
      </x:c>
      <x:c r="Q274" s="2" t="s">
        <x:v>195</x:v>
      </x:c>
      <x:c r="R274" s="2"/>
      <x:c r="S274" s="2" t="s">
        <x:v>195</x:v>
      </x:c>
      <x:c r="T274" s="2"/>
      <x:c r="U274" s="2">
        <x:v>36</x:v>
      </x:c>
      <x:c r="V274" s="2"/>
      <x:c r="W274" s="2"/>
      <x:c r="X274" s="2" t="s">
        <x:v>196</x:v>
      </x:c>
      <x:c r="Y274" s="2" t="s">
        <x:v>123</x:v>
      </x:c>
      <x:c r="Z274" s="2" t="s">
        <x:v>254</x:v>
      </x:c>
    </x:row>
    <x:row r="275" ht="27">
      <x:c r="A275" s="2">
        <x:v>1445</x:v>
      </x:c>
      <x:c r="B275" s="2">
        <x:v>1310606</x:v>
      </x:c>
      <x:c r="C275" s="2">
        <x:v>767787</x:v>
      </x:c>
      <x:c r="D275" s="2">
        <x:v>14474</x:v>
      </x:c>
      <x:c r="E275" s="2" t="s">
        <x:v>10</x:v>
      </x:c>
      <x:c r="F275" s="2" t="s">
        <x:v>235</x:v>
      </x:c>
      <x:c r="G275" s="2" t="s">
        <x:v>141</x:v>
      </x:c>
      <x:c r="H275" s="2" t="s">
        <x:v>135</x:v>
      </x:c>
      <x:c r="I275" s="2"/>
      <x:c r="J275" s="2">
        <x:v>2</x:v>
      </x:c>
      <x:c r="K275" s="2" t="s">
        <x:v>117</x:v>
      </x:c>
      <x:c r="L275" s="2" t="s">
        <x:v>110</x:v>
      </x:c>
      <x:c r="M275" s="2"/>
      <x:c r="N275" s="2">
        <x:v>8.2000000000000003E-2</x:v>
      </x:c>
      <x:c r="O275" s="2"/>
      <x:c r="P275" s="2"/>
      <x:c r="Q275" s="2" t="s">
        <x:v>121</x:v>
      </x:c>
      <x:c r="R275" s="2">
        <x:v>8.2000000000000003E-2</x:v>
      </x:c>
      <x:c r="S275" s="2" t="s">
        <x:v>121</x:v>
      </x:c>
      <x:c r="T275" s="2"/>
      <x:c r="U275" s="2"/>
      <x:c r="V275" s="2"/>
      <x:c r="W275" s="2"/>
      <x:c r="X275" s="2" t="s">
        <x:v>240</x:v>
      </x:c>
      <x:c r="Y275" s="2" t="s">
        <x:v>113</x:v>
      </x:c>
      <x:c r="Z275" s="2" t="s">
        <x:v>114</x:v>
      </x:c>
    </x:row>
    <x:row r="276" ht="27">
      <x:c r="A276" s="2">
        <x:v>1446</x:v>
      </x:c>
      <x:c r="B276" s="2">
        <x:v>2145987</x:v>
      </x:c>
      <x:c r="C276" s="2">
        <x:v>2276128</x:v>
      </x:c>
      <x:c r="D276" s="2">
        <x:v>169694</x:v>
      </x:c>
      <x:c r="E276" s="2" t="s">
        <x:v>10</x:v>
      </x:c>
      <x:c r="F276" s="2" t="s">
        <x:v>235</x:v>
      </x:c>
      <x:c r="G276" s="2" t="s">
        <x:v>106</x:v>
      </x:c>
      <x:c r="H276" s="2" t="s">
        <x:v>107</x:v>
      </x:c>
      <x:c r="I276" s="2" t="s">
        <x:v>108</x:v>
      </x:c>
      <x:c r="J276" s="2">
        <x:v>4</x:v>
      </x:c>
      <x:c r="K276" s="2" t="s">
        <x:v>117</x:v>
      </x:c>
      <x:c r="L276" s="2" t="s">
        <x:v>120</x:v>
      </x:c>
      <x:c r="M276" s="2"/>
      <x:c r="N276" s="2">
        <x:v>32.75</x:v>
      </x:c>
      <x:c r="O276" s="2">
        <x:v>31.85</x:v>
      </x:c>
      <x:c r="P276" s="2">
        <x:v>33.68</x:v>
      </x:c>
      <x:c r="Q276" s="2" t="s">
        <x:v>121</x:v>
      </x:c>
      <x:c r="R276" s="2">
        <x:v>32.75</x:v>
      </x:c>
      <x:c r="S276" s="2" t="s">
        <x:v>121</x:v>
      </x:c>
      <x:c r="T276" s="2">
        <x:v>20</x:v>
      </x:c>
      <x:c r="U276" s="2">
        <x:v>35</x:v>
      </x:c>
      <x:c r="V276" s="2">
        <x:v>8.65</x:v>
      </x:c>
      <x:c r="W276" s="2"/>
      <x:c r="X276" s="2" t="s">
        <x:v>122</x:v>
      </x:c>
      <x:c r="Y276" s="2" t="s">
        <x:v>113</x:v>
      </x:c>
      <x:c r="Z276" s="2" t="s">
        <x:v>114</x:v>
      </x:c>
    </x:row>
    <x:row r="277" ht="27">
      <x:c r="A277" s="2">
        <x:v>1447</x:v>
      </x:c>
      <x:c r="B277" s="2">
        <x:v>2140455</x:v>
      </x:c>
      <x:c r="C277" s="2">
        <x:v>2262926</x:v>
      </x:c>
      <x:c r="D277" s="2">
        <x:v>166160</x:v>
      </x:c>
      <x:c r="E277" s="2" t="s">
        <x:v>10</x:v>
      </x:c>
      <x:c r="F277" s="2" t="s">
        <x:v>235</x:v>
      </x:c>
      <x:c r="G277" s="2" t="s">
        <x:v>106</x:v>
      </x:c>
      <x:c r="H277" s="2" t="s">
        <x:v>107</x:v>
      </x:c>
      <x:c r="I277" s="2" t="s">
        <x:v>108</x:v>
      </x:c>
      <x:c r="J277" s="2">
        <x:v>4</x:v>
      </x:c>
      <x:c r="K277" s="2" t="s">
        <x:v>126</x:v>
      </x:c>
      <x:c r="L277" s="2" t="s">
        <x:v>110</x:v>
      </x:c>
      <x:c r="M277" s="2"/>
      <x:c r="N277" s="2">
        <x:v>330</x:v>
      </x:c>
      <x:c r="O277" s="2">
        <x:v>280</x:v>
      </x:c>
      <x:c r="P277" s="2">
        <x:v>390</x:v>
      </x:c>
      <x:c r="Q277" s="2" t="s">
        <x:v>111</x:v>
      </x:c>
      <x:c r="R277" s="2">
        <x:v>330</x:v>
      </x:c>
      <x:c r="S277" s="2" t="s">
        <x:v>111</x:v>
      </x:c>
      <x:c r="T277" s="2">
        <x:v>25</x:v>
      </x:c>
      <x:c r="U277" s="2">
        <x:v>33</x:v>
      </x:c>
      <x:c r="V277" s="2"/>
      <x:c r="W277" s="2"/>
      <x:c r="X277" s="2" t="s">
        <x:v>257</x:v>
      </x:c>
      <x:c r="Y277" s="2" t="s">
        <x:v>113</x:v>
      </x:c>
      <x:c r="Z277" s="2" t="s">
        <x:v>114</x:v>
      </x:c>
    </x:row>
    <x:row r="278" ht="27">
      <x:c r="A278" s="2">
        <x:v>1448</x:v>
      </x:c>
      <x:c r="B278" s="2">
        <x:v>2140455</x:v>
      </x:c>
      <x:c r="C278" s="2">
        <x:v>2262923</x:v>
      </x:c>
      <x:c r="D278" s="2">
        <x:v>166160</x:v>
      </x:c>
      <x:c r="E278" s="2" t="s">
        <x:v>10</x:v>
      </x:c>
      <x:c r="F278" s="2" t="s">
        <x:v>235</x:v>
      </x:c>
      <x:c r="G278" s="2" t="s">
        <x:v>106</x:v>
      </x:c>
      <x:c r="H278" s="2" t="s">
        <x:v>107</x:v>
      </x:c>
      <x:c r="I278" s="2" t="s">
        <x:v>108</x:v>
      </x:c>
      <x:c r="J278" s="2">
        <x:v>1</x:v>
      </x:c>
      <x:c r="K278" s="2" t="s">
        <x:v>126</x:v>
      </x:c>
      <x:c r="L278" s="2" t="s">
        <x:v>110</x:v>
      </x:c>
      <x:c r="M278" s="2" t="s">
        <x:v>161</x:v>
      </x:c>
      <x:c r="N278" s="2">
        <x:v>1000</x:v>
      </x:c>
      <x:c r="O278" s="2"/>
      <x:c r="P278" s="2"/>
      <x:c r="Q278" s="2" t="s">
        <x:v>111</x:v>
      </x:c>
      <x:c r="R278" s="2">
        <x:v>1000</x:v>
      </x:c>
      <x:c r="S278" s="2" t="s">
        <x:v>111</x:v>
      </x:c>
      <x:c r="T278" s="2">
        <x:v>25</x:v>
      </x:c>
      <x:c r="U278" s="2">
        <x:v>33</x:v>
      </x:c>
      <x:c r="V278" s="2"/>
      <x:c r="W278" s="2"/>
      <x:c r="X278" s="2" t="s">
        <x:v>257</x:v>
      </x:c>
      <x:c r="Y278" s="2" t="s">
        <x:v>123</x:v>
      </x:c>
      <x:c r="Z278" s="2" t="s">
        <x:v>162</x:v>
      </x:c>
    </x:row>
    <x:row r="279" ht="27">
      <x:c r="A279" s="2">
        <x:v>1450</x:v>
      </x:c>
      <x:c r="B279" s="2">
        <x:v>2140455</x:v>
      </x:c>
      <x:c r="C279" s="2">
        <x:v>2262924</x:v>
      </x:c>
      <x:c r="D279" s="2">
        <x:v>166160</x:v>
      </x:c>
      <x:c r="E279" s="2" t="s">
        <x:v>10</x:v>
      </x:c>
      <x:c r="F279" s="2" t="s">
        <x:v>235</x:v>
      </x:c>
      <x:c r="G279" s="2" t="s">
        <x:v>106</x:v>
      </x:c>
      <x:c r="H279" s="2" t="s">
        <x:v>107</x:v>
      </x:c>
      <x:c r="I279" s="2" t="s">
        <x:v>108</x:v>
      </x:c>
      <x:c r="J279" s="2">
        <x:v>2</x:v>
      </x:c>
      <x:c r="K279" s="2" t="s">
        <x:v>126</x:v>
      </x:c>
      <x:c r="L279" s="2" t="s">
        <x:v>110</x:v>
      </x:c>
      <x:c r="M279" s="2" t="s">
        <x:v>161</x:v>
      </x:c>
      <x:c r="N279" s="2">
        <x:v>1000</x:v>
      </x:c>
      <x:c r="O279" s="2"/>
      <x:c r="P279" s="2"/>
      <x:c r="Q279" s="2" t="s">
        <x:v>111</x:v>
      </x:c>
      <x:c r="R279" s="2">
        <x:v>1000</x:v>
      </x:c>
      <x:c r="S279" s="2" t="s">
        <x:v>111</x:v>
      </x:c>
      <x:c r="T279" s="2">
        <x:v>25</x:v>
      </x:c>
      <x:c r="U279" s="2">
        <x:v>33</x:v>
      </x:c>
      <x:c r="V279" s="2"/>
      <x:c r="W279" s="2"/>
      <x:c r="X279" s="2" t="s">
        <x:v>257</x:v>
      </x:c>
      <x:c r="Y279" s="2" t="s">
        <x:v>123</x:v>
      </x:c>
      <x:c r="Z279" s="2" t="s">
        <x:v>162</x:v>
      </x:c>
    </x:row>
    <x:row r="280" ht="27">
      <x:c r="A280" s="2">
        <x:v>1451</x:v>
      </x:c>
      <x:c r="B280" s="2">
        <x:v>2140455</x:v>
      </x:c>
      <x:c r="C280" s="2">
        <x:v>2262925</x:v>
      </x:c>
      <x:c r="D280" s="2">
        <x:v>166160</x:v>
      </x:c>
      <x:c r="E280" s="2" t="s">
        <x:v>10</x:v>
      </x:c>
      <x:c r="F280" s="2" t="s">
        <x:v>235</x:v>
      </x:c>
      <x:c r="G280" s="2" t="s">
        <x:v>106</x:v>
      </x:c>
      <x:c r="H280" s="2" t="s">
        <x:v>107</x:v>
      </x:c>
      <x:c r="I280" s="2" t="s">
        <x:v>108</x:v>
      </x:c>
      <x:c r="J280" s="2">
        <x:v>3</x:v>
      </x:c>
      <x:c r="K280" s="2" t="s">
        <x:v>126</x:v>
      </x:c>
      <x:c r="L280" s="2" t="s">
        <x:v>110</x:v>
      </x:c>
      <x:c r="M280" s="2"/>
      <x:c r="N280" s="2">
        <x:v>590</x:v>
      </x:c>
      <x:c r="O280" s="2">
        <x:v>510</x:v>
      </x:c>
      <x:c r="P280" s="2">
        <x:v>690</x:v>
      </x:c>
      <x:c r="Q280" s="2" t="s">
        <x:v>111</x:v>
      </x:c>
      <x:c r="R280" s="2">
        <x:v>590</x:v>
      </x:c>
      <x:c r="S280" s="2" t="s">
        <x:v>111</x:v>
      </x:c>
      <x:c r="T280" s="2">
        <x:v>25</x:v>
      </x:c>
      <x:c r="U280" s="2">
        <x:v>33</x:v>
      </x:c>
      <x:c r="V280" s="2"/>
      <x:c r="W280" s="2"/>
      <x:c r="X280" s="2" t="s">
        <x:v>257</x:v>
      </x:c>
      <x:c r="Y280" s="2" t="s">
        <x:v>113</x:v>
      </x:c>
      <x:c r="Z280" s="2" t="s">
        <x:v>114</x:v>
      </x:c>
    </x:row>
    <x:row r="281" ht="27">
      <x:c r="A281" s="2">
        <x:v>1453</x:v>
      </x:c>
      <x:c r="B281" s="2">
        <x:v>2135202</x:v>
      </x:c>
      <x:c r="C281" s="2">
        <x:v>2249959</x:v>
      </x:c>
      <x:c r="D281" s="2">
        <x:v>119554</x:v>
      </x:c>
      <x:c r="E281" s="2" t="s">
        <x:v>10</x:v>
      </x:c>
      <x:c r="F281" s="2" t="s">
        <x:v>235</x:v>
      </x:c>
      <x:c r="G281" s="2" t="s">
        <x:v>132</x:v>
      </x:c>
      <x:c r="H281" s="2" t="s">
        <x:v>107</x:v>
      </x:c>
      <x:c r="I281" s="2" t="s">
        <x:v>253</x:v>
      </x:c>
      <x:c r="J281" s="2">
        <x:v>2</x:v>
      </x:c>
      <x:c r="K281" s="2" t="s">
        <x:v>117</x:v>
      </x:c>
      <x:c r="L281" s="2" t="s">
        <x:v>120</x:v>
      </x:c>
      <x:c r="M281" s="2"/>
      <x:c r="N281" s="2">
        <x:v>256</x:v>
      </x:c>
      <x:c r="O281" s="2"/>
      <x:c r="P281" s="2"/>
      <x:c r="Q281" s="2" t="s">
        <x:v>111</x:v>
      </x:c>
      <x:c r="R281" s="2">
        <x:v>256</x:v>
      </x:c>
      <x:c r="S281" s="2" t="s">
        <x:v>111</x:v>
      </x:c>
      <x:c r="T281" s="2">
        <x:v>20</x:v>
      </x:c>
      <x:c r="U281" s="2">
        <x:v>35</x:v>
      </x:c>
      <x:c r="V281" s="2">
        <x:v>8.1999999999999993</x:v>
      </x:c>
      <x:c r="W281" s="2"/>
      <x:c r="X281" s="2" t="s">
        <x:v>252</x:v>
      </x:c>
      <x:c r="Y281" s="2" t="s">
        <x:v>113</x:v>
      </x:c>
      <x:c r="Z281" s="2" t="s">
        <x:v>114</x:v>
      </x:c>
    </x:row>
    <x:row r="282" ht="27">
      <x:c r="A282" s="2">
        <x:v>1475</x:v>
      </x:c>
      <x:c r="B282" s="2">
        <x:v>1053588</x:v>
      </x:c>
      <x:c r="C282" s="2">
        <x:v>126384</x:v>
      </x:c>
      <x:c r="D282" s="2">
        <x:v>3740</x:v>
      </x:c>
      <x:c r="E282" s="2" t="s">
        <x:v>27</x:v>
      </x:c>
      <x:c r="F282" s="2" t="s">
        <x:v>258</x:v>
      </x:c>
      <x:c r="G282" s="2" t="s">
        <x:v>134</x:v>
      </x:c>
      <x:c r="H282" s="2" t="s">
        <x:v>135</x:v>
      </x:c>
      <x:c r="I282" s="2"/>
      <x:c r="J282" s="2">
        <x:v>4</x:v>
      </x:c>
      <x:c r="K282" s="2" t="s">
        <x:v>117</x:v>
      </x:c>
      <x:c r="L282" s="2" t="s">
        <x:v>110</x:v>
      </x:c>
      <x:c r="M282" s="2"/>
      <x:c r="N282" s="2">
        <x:v>30.9</x:v>
      </x:c>
      <x:c r="O282" s="2">
        <x:v>22.3</x:v>
      </x:c>
      <x:c r="P282" s="2">
        <x:v>46.7</x:v>
      </x:c>
      <x:c r="Q282" s="2" t="s">
        <x:v>111</x:v>
      </x:c>
      <x:c r="R282" s="2">
        <x:v>30.9</x:v>
      </x:c>
      <x:c r="S282" s="2" t="s">
        <x:v>111</x:v>
      </x:c>
      <x:c r="T282" s="2">
        <x:v>22</x:v>
      </x:c>
      <x:c r="U282" s="2">
        <x:v>28</x:v>
      </x:c>
      <x:c r="V282" s="2"/>
      <x:c r="W282" s="2"/>
      <x:c r="X282" s="2" t="s">
        <x:v>259</x:v>
      </x:c>
      <x:c r="Y282" s="2" t="s">
        <x:v>113</x:v>
      </x:c>
      <x:c r="Z282" s="2" t="s">
        <x:v>114</x:v>
      </x:c>
    </x:row>
    <x:row r="283">
      <x:c r="A283" s="2">
        <x:v>1478</x:v>
      </x:c>
      <x:c r="B283" s="2">
        <x:v>1053718</x:v>
      </x:c>
      <x:c r="C283" s="2">
        <x:v>194909</x:v>
      </x:c>
      <x:c r="D283" s="2">
        <x:v>3751</x:v>
      </x:c>
      <x:c r="E283" s="2" t="s">
        <x:v>27</x:v>
      </x:c>
      <x:c r="F283" s="2" t="s">
        <x:v>258</x:v>
      </x:c>
      <x:c r="G283" s="2" t="s">
        <x:v>134</x:v>
      </x:c>
      <x:c r="H283" s="2" t="s">
        <x:v>135</x:v>
      </x:c>
      <x:c r="I283" s="2" t="s">
        <x:v>108</x:v>
      </x:c>
      <x:c r="J283" s="2">
        <x:v>4</x:v>
      </x:c>
      <x:c r="K283" s="2" t="s">
        <x:v>117</x:v>
      </x:c>
      <x:c r="L283" s="2" t="s">
        <x:v>110</x:v>
      </x:c>
      <x:c r="M283" s="2"/>
      <x:c r="N283" s="2">
        <x:v>36.299999999999997</x:v>
      </x:c>
      <x:c r="O283" s="2">
        <x:v>21.8</x:v>
      </x:c>
      <x:c r="P283" s="2">
        <x:v>102</x:v>
      </x:c>
      <x:c r="Q283" s="2" t="s">
        <x:v>111</x:v>
      </x:c>
      <x:c r="R283" s="2">
        <x:v>36.299999999999997</x:v>
      </x:c>
      <x:c r="S283" s="2" t="s">
        <x:v>111</x:v>
      </x:c>
      <x:c r="T283" s="2">
        <x:v>20</x:v>
      </x:c>
      <x:c r="U283" s="2">
        <x:v>30</x:v>
      </x:c>
      <x:c r="V283" s="2"/>
      <x:c r="W283" s="2"/>
      <x:c r="X283" s="2" t="s">
        <x:v>143</x:v>
      </x:c>
      <x:c r="Y283" s="2" t="s">
        <x:v>113</x:v>
      </x:c>
      <x:c r="Z283" s="2" t="s">
        <x:v>114</x:v>
      </x:c>
    </x:row>
    <x:row r="284" ht="27">
      <x:c r="A284" s="2">
        <x:v>1479</x:v>
      </x:c>
      <x:c r="B284" s="2">
        <x:v>1054942</x:v>
      </x:c>
      <x:c r="C284" s="2">
        <x:v>134343</x:v>
      </x:c>
      <x:c r="D284" s="2">
        <x:v>3825</x:v>
      </x:c>
      <x:c r="E284" s="2" t="s">
        <x:v>27</x:v>
      </x:c>
      <x:c r="F284" s="2" t="s">
        <x:v>258</x:v>
      </x:c>
      <x:c r="G284" s="2" t="s">
        <x:v>141</x:v>
      </x:c>
      <x:c r="H284" s="2" t="s">
        <x:v>135</x:v>
      </x:c>
      <x:c r="I284" s="2" t="s">
        <x:v>108</x:v>
      </x:c>
      <x:c r="J284" s="2">
        <x:v>4</x:v>
      </x:c>
      <x:c r="K284" s="2" t="s">
        <x:v>117</x:v>
      </x:c>
      <x:c r="L284" s="2" t="s">
        <x:v>110</x:v>
      </x:c>
      <x:c r="M284" s="2"/>
      <x:c r="N284" s="2">
        <x:v>43</x:v>
      </x:c>
      <x:c r="O284" s="2"/>
      <x:c r="P284" s="2"/>
      <x:c r="Q284" s="2" t="s">
        <x:v>111</x:v>
      </x:c>
      <x:c r="R284" s="2">
        <x:v>43</x:v>
      </x:c>
      <x:c r="S284" s="2" t="s">
        <x:v>111</x:v>
      </x:c>
      <x:c r="T284" s="2">
        <x:v>8</x:v>
      </x:c>
      <x:c r="U284" s="2">
        <x:v>30</x:v>
      </x:c>
      <x:c r="V284" s="2"/>
      <x:c r="W284" s="2"/>
      <x:c r="X284" s="2" t="s">
        <x:v>142</x:v>
      </x:c>
      <x:c r="Y284" s="2" t="s">
        <x:v>113</x:v>
      </x:c>
      <x:c r="Z284" s="2" t="s">
        <x:v>114</x:v>
      </x:c>
    </x:row>
    <x:row r="285" ht="40.5">
      <x:c r="A285" s="2">
        <x:v>1480</x:v>
      </x:c>
      <x:c r="B285" s="2">
        <x:v>1211481</x:v>
      </x:c>
      <x:c r="C285" s="2">
        <x:v>184788</x:v>
      </x:c>
      <x:c r="D285" s="2">
        <x:v>19538</x:v>
      </x:c>
      <x:c r="E285" s="2" t="s">
        <x:v>27</x:v>
      </x:c>
      <x:c r="F285" s="2" t="s">
        <x:v>258</x:v>
      </x:c>
      <x:c r="G285" s="2" t="s">
        <x:v>226</x:v>
      </x:c>
      <x:c r="H285" s="2" t="s">
        <x:v>107</x:v>
      </x:c>
      <x:c r="I285" s="2" t="s">
        <x:v>108</x:v>
      </x:c>
      <x:c r="J285" s="2">
        <x:v>4</x:v>
      </x:c>
      <x:c r="K285" s="2" t="s">
        <x:v>109</x:v>
      </x:c>
      <x:c r="L285" s="2" t="s">
        <x:v>110</x:v>
      </x:c>
      <x:c r="M285" s="2"/>
      <x:c r="N285" s="2">
        <x:v>87.5</x:v>
      </x:c>
      <x:c r="O285" s="2"/>
      <x:c r="P285" s="2"/>
      <x:c r="Q285" s="2" t="s">
        <x:v>111</x:v>
      </x:c>
      <x:c r="R285" s="2">
        <x:v>87.5</x:v>
      </x:c>
      <x:c r="S285" s="2" t="s">
        <x:v>111</x:v>
      </x:c>
      <x:c r="T285" s="2">
        <x:v>20</x:v>
      </x:c>
      <x:c r="U285" s="2"/>
      <x:c r="V285" s="2"/>
      <x:c r="W285" s="2"/>
      <x:c r="X285" s="2" t="s">
        <x:v>260</x:v>
      </x:c>
      <x:c r="Y285" s="2" t="s">
        <x:v>138</x:v>
      </x:c>
      <x:c r="Z285" s="2" t="s">
        <x:v>139</x:v>
      </x:c>
    </x:row>
    <x:row r="286" ht="54">
      <x:c r="A286" s="2">
        <x:v>1485</x:v>
      </x:c>
      <x:c r="B286" s="2">
        <x:v>1205927</x:v>
      </x:c>
      <x:c r="C286" s="2">
        <x:v>171318</x:v>
      </x:c>
      <x:c r="D286" s="2">
        <x:v>18833</x:v>
      </x:c>
      <x:c r="E286" s="2" t="s">
        <x:v>27</x:v>
      </x:c>
      <x:c r="F286" s="2" t="s">
        <x:v>258</x:v>
      </x:c>
      <x:c r="G286" s="2" t="s">
        <x:v>226</x:v>
      </x:c>
      <x:c r="H286" s="2" t="s">
        <x:v>107</x:v>
      </x:c>
      <x:c r="I286" s="2" t="s">
        <x:v>173</x:v>
      </x:c>
      <x:c r="J286" s="2">
        <x:v>4</x:v>
      </x:c>
      <x:c r="K286" s="2" t="s">
        <x:v>126</x:v>
      </x:c>
      <x:c r="L286" s="2" t="s">
        <x:v>110</x:v>
      </x:c>
      <x:c r="M286" s="2"/>
      <x:c r="N286" s="2">
        <x:v>55.66</x:v>
      </x:c>
      <x:c r="O286" s="2"/>
      <x:c r="P286" s="2"/>
      <x:c r="Q286" s="2" t="s">
        <x:v>111</x:v>
      </x:c>
      <x:c r="R286" s="2">
        <x:v>55.66</x:v>
      </x:c>
      <x:c r="S286" s="2" t="s">
        <x:v>111</x:v>
      </x:c>
      <x:c r="T286" s="2">
        <x:v>20</x:v>
      </x:c>
      <x:c r="U286" s="2">
        <x:v>37</x:v>
      </x:c>
      <x:c r="V286" s="2"/>
      <x:c r="W286" s="2"/>
      <x:c r="X286" s="2" t="s">
        <x:v>251</x:v>
      </x:c>
      <x:c r="Y286" s="2" t="s">
        <x:v>113</x:v>
      </x:c>
      <x:c r="Z286" s="2" t="s">
        <x:v>114</x:v>
      </x:c>
    </x:row>
    <x:row r="287" ht="54">
      <x:c r="A287" s="2">
        <x:v>1491</x:v>
      </x:c>
      <x:c r="B287" s="2">
        <x:v>1205928</x:v>
      </x:c>
      <x:c r="C287" s="2">
        <x:v>171319</x:v>
      </x:c>
      <x:c r="D287" s="2">
        <x:v>18833</x:v>
      </x:c>
      <x:c r="E287" s="2" t="s">
        <x:v>27</x:v>
      </x:c>
      <x:c r="F287" s="2" t="s">
        <x:v>258</x:v>
      </x:c>
      <x:c r="G287" s="2" t="s">
        <x:v>226</x:v>
      </x:c>
      <x:c r="H287" s="2" t="s">
        <x:v>107</x:v>
      </x:c>
      <x:c r="I287" s="2" t="s">
        <x:v>108</x:v>
      </x:c>
      <x:c r="J287" s="2">
        <x:v>4</x:v>
      </x:c>
      <x:c r="K287" s="2" t="s">
        <x:v>126</x:v>
      </x:c>
      <x:c r="L287" s="2" t="s">
        <x:v>110</x:v>
      </x:c>
      <x:c r="M287" s="2"/>
      <x:c r="N287" s="2">
        <x:v>120.81</x:v>
      </x:c>
      <x:c r="O287" s="2"/>
      <x:c r="P287" s="2"/>
      <x:c r="Q287" s="2" t="s">
        <x:v>111</x:v>
      </x:c>
      <x:c r="R287" s="2">
        <x:v>120.81</x:v>
      </x:c>
      <x:c r="S287" s="2" t="s">
        <x:v>111</x:v>
      </x:c>
      <x:c r="T287" s="2">
        <x:v>20</x:v>
      </x:c>
      <x:c r="U287" s="2">
        <x:v>37</x:v>
      </x:c>
      <x:c r="V287" s="2"/>
      <x:c r="W287" s="2"/>
      <x:c r="X287" s="2" t="s">
        <x:v>251</x:v>
      </x:c>
      <x:c r="Y287" s="2" t="s">
        <x:v>113</x:v>
      </x:c>
      <x:c r="Z287" s="2" t="s">
        <x:v>114</x:v>
      </x:c>
    </x:row>
    <x:row r="288" ht="54">
      <x:c r="A288" s="2">
        <x:v>1493</x:v>
      </x:c>
      <x:c r="B288" s="2">
        <x:v>1205926</x:v>
      </x:c>
      <x:c r="C288" s="2">
        <x:v>171317</x:v>
      </x:c>
      <x:c r="D288" s="2">
        <x:v>18833</x:v>
      </x:c>
      <x:c r="E288" s="2" t="s">
        <x:v>27</x:v>
      </x:c>
      <x:c r="F288" s="2" t="s">
        <x:v>258</x:v>
      </x:c>
      <x:c r="G288" s="2" t="s">
        <x:v>226</x:v>
      </x:c>
      <x:c r="H288" s="2" t="s">
        <x:v>107</x:v>
      </x:c>
      <x:c r="I288" s="2" t="s">
        <x:v>125</x:v>
      </x:c>
      <x:c r="J288" s="2">
        <x:v>4</x:v>
      </x:c>
      <x:c r="K288" s="2" t="s">
        <x:v>126</x:v>
      </x:c>
      <x:c r="L288" s="2" t="s">
        <x:v>110</x:v>
      </x:c>
      <x:c r="M288" s="2"/>
      <x:c r="N288" s="2">
        <x:v>36.369999999999997</x:v>
      </x:c>
      <x:c r="O288" s="2"/>
      <x:c r="P288" s="2"/>
      <x:c r="Q288" s="2" t="s">
        <x:v>111</x:v>
      </x:c>
      <x:c r="R288" s="2">
        <x:v>36.369999999999997</x:v>
      </x:c>
      <x:c r="S288" s="2" t="s">
        <x:v>111</x:v>
      </x:c>
      <x:c r="T288" s="2">
        <x:v>20</x:v>
      </x:c>
      <x:c r="U288" s="2">
        <x:v>37</x:v>
      </x:c>
      <x:c r="V288" s="2"/>
      <x:c r="W288" s="2"/>
      <x:c r="X288" s="2" t="s">
        <x:v>251</x:v>
      </x:c>
      <x:c r="Y288" s="2" t="s">
        <x:v>113</x:v>
      </x:c>
      <x:c r="Z288" s="2" t="s">
        <x:v>114</x:v>
      </x:c>
    </x:row>
    <x:row r="289" ht="40.5">
      <x:c r="A289" s="2">
        <x:v>1495</x:v>
      </x:c>
      <x:c r="B289" s="2">
        <x:v>1285255</x:v>
      </x:c>
      <x:c r="C289" s="2">
        <x:v>739335</x:v>
      </x:c>
      <x:c r="D289" s="2">
        <x:v>76315</x:v>
      </x:c>
      <x:c r="E289" s="2" t="s">
        <x:v>27</x:v>
      </x:c>
      <x:c r="F289" s="2" t="s">
        <x:v>258</x:v>
      </x:c>
      <x:c r="G289" s="2" t="s">
        <x:v>226</x:v>
      </x:c>
      <x:c r="H289" s="2" t="s">
        <x:v>107</x:v>
      </x:c>
      <x:c r="I289" s="2" t="s">
        <x:v>108</x:v>
      </x:c>
      <x:c r="J289" s="2">
        <x:v>4</x:v>
      </x:c>
      <x:c r="K289" s="2" t="s">
        <x:v>126</x:v>
      </x:c>
      <x:c r="L289" s="2" t="s">
        <x:v>110</x:v>
      </x:c>
      <x:c r="M289" s="2"/>
      <x:c r="N289" s="2">
        <x:v>95</x:v>
      </x:c>
      <x:c r="O289" s="2"/>
      <x:c r="P289" s="2"/>
      <x:c r="Q289" s="2" t="s">
        <x:v>111</x:v>
      </x:c>
      <x:c r="R289" s="2">
        <x:v>95</x:v>
      </x:c>
      <x:c r="S289" s="2" t="s">
        <x:v>111</x:v>
      </x:c>
      <x:c r="T289" s="2">
        <x:v>20</x:v>
      </x:c>
      <x:c r="U289" s="2">
        <x:v>34.5</x:v>
      </x:c>
      <x:c r="V289" s="2">
        <x:v>8.1999999999999993</x:v>
      </x:c>
      <x:c r="W289" s="2"/>
      <x:c r="X289" s="2" t="s">
        <x:v>261</x:v>
      </x:c>
      <x:c r="Y289" s="2" t="s">
        <x:v>113</x:v>
      </x:c>
      <x:c r="Z289" s="2" t="s">
        <x:v>114</x:v>
      </x:c>
    </x:row>
    <x:row r="290" ht="27">
      <x:c r="A290" s="2">
        <x:v>1497</x:v>
      </x:c>
      <x:c r="B290" s="2">
        <x:v>1054943</x:v>
      </x:c>
      <x:c r="C290" s="2">
        <x:v>134344</x:v>
      </x:c>
      <x:c r="D290" s="2">
        <x:v>3825</x:v>
      </x:c>
      <x:c r="E290" s="2" t="s">
        <x:v>27</x:v>
      </x:c>
      <x:c r="F290" s="2" t="s">
        <x:v>258</x:v>
      </x:c>
      <x:c r="G290" s="2" t="s">
        <x:v>134</x:v>
      </x:c>
      <x:c r="H290" s="2" t="s">
        <x:v>135</x:v>
      </x:c>
      <x:c r="I290" s="2" t="s">
        <x:v>108</x:v>
      </x:c>
      <x:c r="J290" s="2">
        <x:v>4</x:v>
      </x:c>
      <x:c r="K290" s="2" t="s">
        <x:v>117</x:v>
      </x:c>
      <x:c r="L290" s="2" t="s">
        <x:v>110</x:v>
      </x:c>
      <x:c r="M290" s="2"/>
      <x:c r="N290" s="2">
        <x:v>36.299999999999997</x:v>
      </x:c>
      <x:c r="O290" s="2"/>
      <x:c r="P290" s="2"/>
      <x:c r="Q290" s="2" t="s">
        <x:v>111</x:v>
      </x:c>
      <x:c r="R290" s="2">
        <x:v>36.299999999999997</x:v>
      </x:c>
      <x:c r="S290" s="2" t="s">
        <x:v>111</x:v>
      </x:c>
      <x:c r="T290" s="2">
        <x:v>20</x:v>
      </x:c>
      <x:c r="U290" s="2"/>
      <x:c r="V290" s="2"/>
      <x:c r="W290" s="2"/>
      <x:c r="X290" s="2" t="s">
        <x:v>142</x:v>
      </x:c>
      <x:c r="Y290" s="2" t="s">
        <x:v>113</x:v>
      </x:c>
      <x:c r="Z290" s="2" t="s">
        <x:v>114</x:v>
      </x:c>
    </x:row>
    <x:row r="291" ht="27">
      <x:c r="A291" s="2">
        <x:v>1501</x:v>
      </x:c>
      <x:c r="B291" s="2">
        <x:v>1053591</x:v>
      </x:c>
      <x:c r="C291" s="2">
        <x:v>126387</x:v>
      </x:c>
      <x:c r="D291" s="2">
        <x:v>3740</x:v>
      </x:c>
      <x:c r="E291" s="2" t="s">
        <x:v>27</x:v>
      </x:c>
      <x:c r="F291" s="2" t="s">
        <x:v>258</x:v>
      </x:c>
      <x:c r="G291" s="2" t="s">
        <x:v>134</x:v>
      </x:c>
      <x:c r="H291" s="2" t="s">
        <x:v>135</x:v>
      </x:c>
      <x:c r="I291" s="2"/>
      <x:c r="J291" s="2">
        <x:v>4</x:v>
      </x:c>
      <x:c r="K291" s="2" t="s">
        <x:v>117</x:v>
      </x:c>
      <x:c r="L291" s="2" t="s">
        <x:v>110</x:v>
      </x:c>
      <x:c r="M291" s="2"/>
      <x:c r="N291" s="2">
        <x:v>23.5</x:v>
      </x:c>
      <x:c r="O291" s="2">
        <x:v>17.2</x:v>
      </x:c>
      <x:c r="P291" s="2">
        <x:v>29.6</x:v>
      </x:c>
      <x:c r="Q291" s="2" t="s">
        <x:v>111</x:v>
      </x:c>
      <x:c r="R291" s="2">
        <x:v>23.5</x:v>
      </x:c>
      <x:c r="S291" s="2" t="s">
        <x:v>111</x:v>
      </x:c>
      <x:c r="T291" s="2">
        <x:v>22</x:v>
      </x:c>
      <x:c r="U291" s="2">
        <x:v>28</x:v>
      </x:c>
      <x:c r="V291" s="2"/>
      <x:c r="W291" s="2"/>
      <x:c r="X291" s="2" t="s">
        <x:v>259</x:v>
      </x:c>
      <x:c r="Y291" s="2" t="s">
        <x:v>113</x:v>
      </x:c>
      <x:c r="Z291" s="2" t="s">
        <x:v>114</x:v>
      </x:c>
    </x:row>
    <x:row r="292" ht="27">
      <x:c r="A292" s="2">
        <x:v>1503</x:v>
      </x:c>
      <x:c r="B292" s="2">
        <x:v>1053592</x:v>
      </x:c>
      <x:c r="C292" s="2">
        <x:v>126388</x:v>
      </x:c>
      <x:c r="D292" s="2">
        <x:v>3740</x:v>
      </x:c>
      <x:c r="E292" s="2" t="s">
        <x:v>27</x:v>
      </x:c>
      <x:c r="F292" s="2" t="s">
        <x:v>258</x:v>
      </x:c>
      <x:c r="G292" s="2" t="s">
        <x:v>134</x:v>
      </x:c>
      <x:c r="H292" s="2" t="s">
        <x:v>135</x:v>
      </x:c>
      <x:c r="I292" s="2"/>
      <x:c r="J292" s="2">
        <x:v>4</x:v>
      </x:c>
      <x:c r="K292" s="2" t="s">
        <x:v>117</x:v>
      </x:c>
      <x:c r="L292" s="2" t="s">
        <x:v>110</x:v>
      </x:c>
      <x:c r="M292" s="2"/>
      <x:c r="N292" s="2">
        <x:v>36.4</x:v>
      </x:c>
      <x:c r="O292" s="2">
        <x:v>29.4</x:v>
      </x:c>
      <x:c r="P292" s="2">
        <x:v>45.8</x:v>
      </x:c>
      <x:c r="Q292" s="2" t="s">
        <x:v>111</x:v>
      </x:c>
      <x:c r="R292" s="2">
        <x:v>36.4</x:v>
      </x:c>
      <x:c r="S292" s="2" t="s">
        <x:v>111</x:v>
      </x:c>
      <x:c r="T292" s="2">
        <x:v>22</x:v>
      </x:c>
      <x:c r="U292" s="2">
        <x:v>28</x:v>
      </x:c>
      <x:c r="V292" s="2"/>
      <x:c r="W292" s="2"/>
      <x:c r="X292" s="2" t="s">
        <x:v>259</x:v>
      </x:c>
      <x:c r="Y292" s="2" t="s">
        <x:v>113</x:v>
      </x:c>
      <x:c r="Z292" s="2" t="s">
        <x:v>114</x:v>
      </x:c>
    </x:row>
    <x:row r="293" ht="27">
      <x:c r="A293" s="2">
        <x:v>1506</x:v>
      </x:c>
      <x:c r="B293" s="2">
        <x:v>1326414</x:v>
      </x:c>
      <x:c r="C293" s="2">
        <x:v>785777</x:v>
      </x:c>
      <x:c r="D293" s="2">
        <x:v>107127</x:v>
      </x:c>
      <x:c r="E293" s="2" t="s">
        <x:v>27</x:v>
      </x:c>
      <x:c r="F293" s="2" t="s">
        <x:v>258</x:v>
      </x:c>
      <x:c r="G293" s="2" t="s">
        <x:v>106</x:v>
      </x:c>
      <x:c r="H293" s="2" t="s">
        <x:v>107</x:v>
      </x:c>
      <x:c r="I293" s="2" t="s">
        <x:v>108</x:v>
      </x:c>
      <x:c r="J293" s="2">
        <x:v>4</x:v>
      </x:c>
      <x:c r="K293" s="2" t="s">
        <x:v>126</x:v>
      </x:c>
      <x:c r="L293" s="2" t="s">
        <x:v>110</x:v>
      </x:c>
      <x:c r="M293" s="2"/>
      <x:c r="N293" s="2">
        <x:v>2.4E-2</x:v>
      </x:c>
      <x:c r="O293" s="2">
        <x:v>2.1999999999999999E-2</x:v>
      </x:c>
      <x:c r="P293" s="2">
        <x:v>2.8000000000000001E-2</x:v>
      </x:c>
      <x:c r="Q293" s="2" t="s">
        <x:v>121</x:v>
      </x:c>
      <x:c r="R293" s="2">
        <x:v>2.4E-2</x:v>
      </x:c>
      <x:c r="S293" s="2" t="s">
        <x:v>121</x:v>
      </x:c>
      <x:c r="T293" s="2">
        <x:v>20</x:v>
      </x:c>
      <x:c r="U293" s="2">
        <x:v>32</x:v>
      </x:c>
      <x:c r="V293" s="2"/>
      <x:c r="W293" s="2"/>
      <x:c r="X293" s="2" t="s">
        <x:v>262</x:v>
      </x:c>
      <x:c r="Y293" s="2" t="s">
        <x:v>113</x:v>
      </x:c>
      <x:c r="Z293" s="2" t="s">
        <x:v>114</x:v>
      </x:c>
    </x:row>
    <x:row r="294" ht="40.5">
      <x:c r="A294" s="2">
        <x:v>1507</x:v>
      </x:c>
      <x:c r="B294" s="2">
        <x:v>1211482</x:v>
      </x:c>
      <x:c r="C294" s="2">
        <x:v>184789</x:v>
      </x:c>
      <x:c r="D294" s="2">
        <x:v>19538</x:v>
      </x:c>
      <x:c r="E294" s="2" t="s">
        <x:v>27</x:v>
      </x:c>
      <x:c r="F294" s="2" t="s">
        <x:v>258</x:v>
      </x:c>
      <x:c r="G294" s="2" t="s">
        <x:v>226</x:v>
      </x:c>
      <x:c r="H294" s="2" t="s">
        <x:v>107</x:v>
      </x:c>
      <x:c r="I294" s="2" t="s">
        <x:v>108</x:v>
      </x:c>
      <x:c r="J294" s="2">
        <x:v>4</x:v>
      </x:c>
      <x:c r="K294" s="2" t="s">
        <x:v>109</x:v>
      </x:c>
      <x:c r="L294" s="2" t="s">
        <x:v>110</x:v>
      </x:c>
      <x:c r="M294" s="2"/>
      <x:c r="N294" s="2">
        <x:v>129.4</x:v>
      </x:c>
      <x:c r="O294" s="2"/>
      <x:c r="P294" s="2"/>
      <x:c r="Q294" s="2" t="s">
        <x:v>111</x:v>
      </x:c>
      <x:c r="R294" s="2">
        <x:v>129.4</x:v>
      </x:c>
      <x:c r="S294" s="2" t="s">
        <x:v>111</x:v>
      </x:c>
      <x:c r="T294" s="2">
        <x:v>20</x:v>
      </x:c>
      <x:c r="U294" s="2"/>
      <x:c r="V294" s="2"/>
      <x:c r="W294" s="2"/>
      <x:c r="X294" s="2" t="s">
        <x:v>260</x:v>
      </x:c>
      <x:c r="Y294" s="2" t="s">
        <x:v>138</x:v>
      </x:c>
      <x:c r="Z294" s="2" t="s">
        <x:v>139</x:v>
      </x:c>
    </x:row>
    <x:row r="295" ht="54">
      <x:c r="A295" s="2">
        <x:v>1510</x:v>
      </x:c>
      <x:c r="B295" s="2">
        <x:v>1205929</x:v>
      </x:c>
      <x:c r="C295" s="2">
        <x:v>171320</x:v>
      </x:c>
      <x:c r="D295" s="2">
        <x:v>18833</x:v>
      </x:c>
      <x:c r="E295" s="2" t="s">
        <x:v>27</x:v>
      </x:c>
      <x:c r="F295" s="2" t="s">
        <x:v>258</x:v>
      </x:c>
      <x:c r="G295" s="2" t="s">
        <x:v>226</x:v>
      </x:c>
      <x:c r="H295" s="2" t="s">
        <x:v>107</x:v>
      </x:c>
      <x:c r="I295" s="2" t="s">
        <x:v>108</x:v>
      </x:c>
      <x:c r="J295" s="2">
        <x:v>4</x:v>
      </x:c>
      <x:c r="K295" s="2" t="s">
        <x:v>126</x:v>
      </x:c>
      <x:c r="L295" s="2" t="s">
        <x:v>110</x:v>
      </x:c>
      <x:c r="M295" s="2"/>
      <x:c r="N295" s="2">
        <x:v>159</x:v>
      </x:c>
      <x:c r="O295" s="2"/>
      <x:c r="P295" s="2"/>
      <x:c r="Q295" s="2" t="s">
        <x:v>111</x:v>
      </x:c>
      <x:c r="R295" s="2">
        <x:v>159</x:v>
      </x:c>
      <x:c r="S295" s="2" t="s">
        <x:v>111</x:v>
      </x:c>
      <x:c r="T295" s="2">
        <x:v>20</x:v>
      </x:c>
      <x:c r="U295" s="2">
        <x:v>37</x:v>
      </x:c>
      <x:c r="V295" s="2"/>
      <x:c r="W295" s="2"/>
      <x:c r="X295" s="2" t="s">
        <x:v>251</x:v>
      </x:c>
      <x:c r="Y295" s="2" t="s">
        <x:v>113</x:v>
      </x:c>
      <x:c r="Z295" s="2" t="s">
        <x:v>114</x:v>
      </x:c>
    </x:row>
    <x:row r="296" ht="27">
      <x:c r="A296" s="2">
        <x:v>1511</x:v>
      </x:c>
      <x:c r="B296" s="2">
        <x:v>1053590</x:v>
      </x:c>
      <x:c r="C296" s="2">
        <x:v>126386</x:v>
      </x:c>
      <x:c r="D296" s="2">
        <x:v>3740</x:v>
      </x:c>
      <x:c r="E296" s="2" t="s">
        <x:v>27</x:v>
      </x:c>
      <x:c r="F296" s="2" t="s">
        <x:v>258</x:v>
      </x:c>
      <x:c r="G296" s="2" t="s">
        <x:v>134</x:v>
      </x:c>
      <x:c r="H296" s="2" t="s">
        <x:v>135</x:v>
      </x:c>
      <x:c r="I296" s="2"/>
      <x:c r="J296" s="2">
        <x:v>4</x:v>
      </x:c>
      <x:c r="K296" s="2" t="s">
        <x:v>117</x:v>
      </x:c>
      <x:c r="L296" s="2" t="s">
        <x:v>110</x:v>
      </x:c>
      <x:c r="M296" s="2"/>
      <x:c r="N296" s="2">
        <x:v>35.799999999999997</x:v>
      </x:c>
      <x:c r="O296" s="2">
        <x:v>30.5</x:v>
      </x:c>
      <x:c r="P296" s="2">
        <x:v>41.6</x:v>
      </x:c>
      <x:c r="Q296" s="2" t="s">
        <x:v>111</x:v>
      </x:c>
      <x:c r="R296" s="2">
        <x:v>35.799999999999997</x:v>
      </x:c>
      <x:c r="S296" s="2" t="s">
        <x:v>111</x:v>
      </x:c>
      <x:c r="T296" s="2">
        <x:v>22</x:v>
      </x:c>
      <x:c r="U296" s="2">
        <x:v>28</x:v>
      </x:c>
      <x:c r="V296" s="2"/>
      <x:c r="W296" s="2"/>
      <x:c r="X296" s="2" t="s">
        <x:v>259</x:v>
      </x:c>
      <x:c r="Y296" s="2" t="s">
        <x:v>113</x:v>
      </x:c>
      <x:c r="Z296" s="2" t="s">
        <x:v>114</x:v>
      </x:c>
    </x:row>
    <x:row r="297" ht="27">
      <x:c r="A297" s="2">
        <x:v>1512</x:v>
      </x:c>
      <x:c r="B297" s="2">
        <x:v>1053589</x:v>
      </x:c>
      <x:c r="C297" s="2">
        <x:v>126385</x:v>
      </x:c>
      <x:c r="D297" s="2">
        <x:v>3740</x:v>
      </x:c>
      <x:c r="E297" s="2" t="s">
        <x:v>27</x:v>
      </x:c>
      <x:c r="F297" s="2" t="s">
        <x:v>258</x:v>
      </x:c>
      <x:c r="G297" s="2" t="s">
        <x:v>134</x:v>
      </x:c>
      <x:c r="H297" s="2" t="s">
        <x:v>135</x:v>
      </x:c>
      <x:c r="I297" s="2"/>
      <x:c r="J297" s="2">
        <x:v>4</x:v>
      </x:c>
      <x:c r="K297" s="2" t="s">
        <x:v>117</x:v>
      </x:c>
      <x:c r="L297" s="2" t="s">
        <x:v>110</x:v>
      </x:c>
      <x:c r="M297" s="2"/>
      <x:c r="N297" s="2">
        <x:v>66</x:v>
      </x:c>
      <x:c r="O297" s="2">
        <x:v>59</x:v>
      </x:c>
      <x:c r="P297" s="2">
        <x:v>74</x:v>
      </x:c>
      <x:c r="Q297" s="2" t="s">
        <x:v>111</x:v>
      </x:c>
      <x:c r="R297" s="2">
        <x:v>66</x:v>
      </x:c>
      <x:c r="S297" s="2" t="s">
        <x:v>111</x:v>
      </x:c>
      <x:c r="T297" s="2">
        <x:v>22</x:v>
      </x:c>
      <x:c r="U297" s="2">
        <x:v>28</x:v>
      </x:c>
      <x:c r="V297" s="2"/>
      <x:c r="W297" s="2"/>
      <x:c r="X297" s="2" t="s">
        <x:v>259</x:v>
      </x:c>
      <x:c r="Y297" s="2" t="s">
        <x:v>113</x:v>
      </x:c>
      <x:c r="Z297" s="2" t="s">
        <x:v>114</x:v>
      </x:c>
    </x:row>
    <x:row r="298" ht="27">
      <x:c r="A298" s="2">
        <x:v>1513</x:v>
      </x:c>
      <x:c r="B298" s="2">
        <x:v>1054976</x:v>
      </x:c>
      <x:c r="C298" s="2">
        <x:v>220863</x:v>
      </x:c>
      <x:c r="D298" s="2">
        <x:v>3825</x:v>
      </x:c>
      <x:c r="E298" s="2" t="s">
        <x:v>27</x:v>
      </x:c>
      <x:c r="F298" s="2" t="s">
        <x:v>258</x:v>
      </x:c>
      <x:c r="G298" s="2" t="s">
        <x:v>134</x:v>
      </x:c>
      <x:c r="H298" s="2" t="s">
        <x:v>135</x:v>
      </x:c>
      <x:c r="I298" s="2" t="s">
        <x:v>108</x:v>
      </x:c>
      <x:c r="J298" s="2">
        <x:v>4</x:v>
      </x:c>
      <x:c r="K298" s="2" t="s">
        <x:v>117</x:v>
      </x:c>
      <x:c r="L298" s="2" t="s">
        <x:v>110</x:v>
      </x:c>
      <x:c r="M298" s="2"/>
      <x:c r="N298" s="2">
        <x:v>36.299999999999997</x:v>
      </x:c>
      <x:c r="O298" s="2">
        <x:v>21.8</x:v>
      </x:c>
      <x:c r="P298" s="2">
        <x:v>102</x:v>
      </x:c>
      <x:c r="Q298" s="2" t="s">
        <x:v>195</x:v>
      </x:c>
      <x:c r="R298" s="2">
        <x:v>36.299999999999997</x:v>
      </x:c>
      <x:c r="S298" s="2" t="s">
        <x:v>195</x:v>
      </x:c>
      <x:c r="T298" s="2">
        <x:v>20</x:v>
      </x:c>
      <x:c r="U298" s="2">
        <x:v>30</x:v>
      </x:c>
      <x:c r="V298" s="2"/>
      <x:c r="W298" s="2"/>
      <x:c r="X298" s="2" t="s">
        <x:v>142</x:v>
      </x:c>
      <x:c r="Y298" s="2" t="s">
        <x:v>113</x:v>
      </x:c>
      <x:c r="Z298" s="2" t="s">
        <x:v>114</x:v>
      </x:c>
    </x:row>
    <x:row r="299" ht="40.5">
      <x:c r="A299" s="2">
        <x:v>1523</x:v>
      </x:c>
      <x:c r="B299" s="2">
        <x:v>2114337</x:v>
      </x:c>
      <x:c r="C299" s="2">
        <x:v>2208951</x:v>
      </x:c>
      <x:c r="D299" s="2">
        <x:v>52250</x:v>
      </x:c>
      <x:c r="E299" s="2" t="s">
        <x:v>163</x:v>
      </x:c>
      <x:c r="F299" s="2" t="s">
        <x:v>263</x:v>
      </x:c>
      <x:c r="G299" s="2" t="s">
        <x:v>116</x:v>
      </x:c>
      <x:c r="H299" s="2" t="s">
        <x:v>107</x:v>
      </x:c>
      <x:c r="I299" s="2" t="s">
        <x:v>264</x:v>
      </x:c>
      <x:c r="J299" s="2">
        <x:v>2</x:v>
      </x:c>
      <x:c r="K299" s="2" t="s">
        <x:v>117</x:v>
      </x:c>
      <x:c r="L299" s="2" t="s">
        <x:v>110</x:v>
      </x:c>
      <x:c r="M299" s="2"/>
      <x:c r="N299" s="2">
        <x:v>9.6</x:v>
      </x:c>
      <x:c r="O299" s="2">
        <x:v>7.0469999999999997</x:v>
      </x:c>
      <x:c r="P299" s="2">
        <x:v>13.497</x:v>
      </x:c>
      <x:c r="Q299" s="2" t="s">
        <x:v>207</x:v>
      </x:c>
      <x:c r="R299" s="2">
        <x:v>9.6</x:v>
      </x:c>
      <x:c r="S299" s="2" t="s">
        <x:v>207</x:v>
      </x:c>
      <x:c r="T299" s="2">
        <x:v>19</x:v>
      </x:c>
      <x:c r="U299" s="2">
        <x:v>38</x:v>
      </x:c>
      <x:c r="V299" s="2"/>
      <x:c r="W299" s="2"/>
      <x:c r="X299" s="2" t="s">
        <x:v>265</x:v>
      </x:c>
      <x:c r="Y299" s="2" t="s">
        <x:v>113</x:v>
      </x:c>
      <x:c r="Z299" s="2" t="s">
        <x:v>114</x:v>
      </x:c>
    </x:row>
    <x:row r="300" ht="40.5">
      <x:c r="A300" s="2">
        <x:v>1525</x:v>
      </x:c>
      <x:c r="B300" s="2">
        <x:v>2114334</x:v>
      </x:c>
      <x:c r="C300" s="2">
        <x:v>2208948</x:v>
      </x:c>
      <x:c r="D300" s="2">
        <x:v>52250</x:v>
      </x:c>
      <x:c r="E300" s="2" t="s">
        <x:v>163</x:v>
      </x:c>
      <x:c r="F300" s="2" t="s">
        <x:v>263</x:v>
      </x:c>
      <x:c r="G300" s="2" t="s">
        <x:v>116</x:v>
      </x:c>
      <x:c r="H300" s="2" t="s">
        <x:v>107</x:v>
      </x:c>
      <x:c r="I300" s="2" t="s">
        <x:v>264</x:v>
      </x:c>
      <x:c r="J300" s="2">
        <x:v>2</x:v>
      </x:c>
      <x:c r="K300" s="2" t="s">
        <x:v>117</x:v>
      </x:c>
      <x:c r="L300" s="2" t="s">
        <x:v>110</x:v>
      </x:c>
      <x:c r="M300" s="2"/>
      <x:c r="N300" s="2">
        <x:v>2.8370000000000002</x:v>
      </x:c>
      <x:c r="O300" s="2">
        <x:v>1.07</x:v>
      </x:c>
      <x:c r="P300" s="2">
        <x:v>4.2240000000000002</x:v>
      </x:c>
      <x:c r="Q300" s="2" t="s">
        <x:v>207</x:v>
      </x:c>
      <x:c r="R300" s="2">
        <x:v>2.8370000000000002</x:v>
      </x:c>
      <x:c r="S300" s="2" t="s">
        <x:v>207</x:v>
      </x:c>
      <x:c r="T300" s="2">
        <x:v>19</x:v>
      </x:c>
      <x:c r="U300" s="2">
        <x:v>38</x:v>
      </x:c>
      <x:c r="V300" s="2"/>
      <x:c r="W300" s="2"/>
      <x:c r="X300" s="2" t="s">
        <x:v>265</x:v>
      </x:c>
      <x:c r="Y300" s="2" t="s">
        <x:v>113</x:v>
      </x:c>
      <x:c r="Z300" s="2" t="s">
        <x:v>114</x:v>
      </x:c>
    </x:row>
    <x:row r="301" ht="27">
      <x:c r="A301" s="2">
        <x:v>1529</x:v>
      </x:c>
      <x:c r="B301" s="2">
        <x:v>1179973</x:v>
      </x:c>
      <x:c r="C301" s="2">
        <x:v>82439</x:v>
      </x:c>
      <x:c r="D301" s="2">
        <x:v>15726</x:v>
      </x:c>
      <x:c r="E301" s="2" t="s">
        <x:v>163</x:v>
      </x:c>
      <x:c r="F301" s="2" t="s">
        <x:v>263</x:v>
      </x:c>
      <x:c r="G301" s="2" t="s">
        <x:v>116</x:v>
      </x:c>
      <x:c r="H301" s="2" t="s">
        <x:v>107</x:v>
      </x:c>
      <x:c r="I301" s="2" t="s">
        <x:v>108</x:v>
      </x:c>
      <x:c r="J301" s="2">
        <x:v>2</x:v>
      </x:c>
      <x:c r="K301" s="2" t="s">
        <x:v>117</x:v>
      </x:c>
      <x:c r="L301" s="2" t="s">
        <x:v>110</x:v>
      </x:c>
      <x:c r="M301" s="2"/>
      <x:c r="N301" s="2">
        <x:v>8140</x:v>
      </x:c>
      <x:c r="O301" s="2"/>
      <x:c r="P301" s="2"/>
      <x:c r="Q301" s="2" t="s">
        <x:v>111</x:v>
      </x:c>
      <x:c r="R301" s="2">
        <x:v>8140</x:v>
      </x:c>
      <x:c r="S301" s="2" t="s">
        <x:v>111</x:v>
      </x:c>
      <x:c r="T301" s="2">
        <x:v>24</x:v>
      </x:c>
      <x:c r="U301" s="2"/>
      <x:c r="V301" s="2"/>
      <x:c r="W301" s="2"/>
      <x:c r="X301" s="2" t="s">
        <x:v>248</x:v>
      </x:c>
      <x:c r="Y301" s="2" t="s">
        <x:v>113</x:v>
      </x:c>
      <x:c r="Z301" s="2" t="s">
        <x:v>114</x:v>
      </x:c>
    </x:row>
    <x:row r="302" ht="40.5">
      <x:c r="A302" s="2">
        <x:v>1533</x:v>
      </x:c>
      <x:c r="B302" s="2">
        <x:v>2114335</x:v>
      </x:c>
      <x:c r="C302" s="2">
        <x:v>2208949</x:v>
      </x:c>
      <x:c r="D302" s="2">
        <x:v>52250</x:v>
      </x:c>
      <x:c r="E302" s="2" t="s">
        <x:v>163</x:v>
      </x:c>
      <x:c r="F302" s="2" t="s">
        <x:v>263</x:v>
      </x:c>
      <x:c r="G302" s="2" t="s">
        <x:v>116</x:v>
      </x:c>
      <x:c r="H302" s="2" t="s">
        <x:v>107</x:v>
      </x:c>
      <x:c r="I302" s="2" t="s">
        <x:v>264</x:v>
      </x:c>
      <x:c r="J302" s="2">
        <x:v>2</x:v>
      </x:c>
      <x:c r="K302" s="2" t="s">
        <x:v>117</x:v>
      </x:c>
      <x:c r="L302" s="2" t="s">
        <x:v>110</x:v>
      </x:c>
      <x:c r="M302" s="2"/>
      <x:c r="N302" s="2">
        <x:v>1.6990000000000001</x:v>
      </x:c>
      <x:c r="O302" s="2">
        <x:v>7.1999999999999995E-2</x:v>
      </x:c>
      <x:c r="P302" s="2">
        <x:v>2.8860000000000001</x:v>
      </x:c>
      <x:c r="Q302" s="2" t="s">
        <x:v>207</x:v>
      </x:c>
      <x:c r="R302" s="2">
        <x:v>1.6990000000000001</x:v>
      </x:c>
      <x:c r="S302" s="2" t="s">
        <x:v>207</x:v>
      </x:c>
      <x:c r="T302" s="2">
        <x:v>19</x:v>
      </x:c>
      <x:c r="U302" s="2">
        <x:v>38</x:v>
      </x:c>
      <x:c r="V302" s="2"/>
      <x:c r="W302" s="2"/>
      <x:c r="X302" s="2" t="s">
        <x:v>265</x:v>
      </x:c>
      <x:c r="Y302" s="2" t="s">
        <x:v>113</x:v>
      </x:c>
      <x:c r="Z302" s="2" t="s">
        <x:v>114</x:v>
      </x:c>
    </x:row>
    <x:row r="303" ht="40.5">
      <x:c r="A303" s="2">
        <x:v>1534</x:v>
      </x:c>
      <x:c r="B303" s="2">
        <x:v>2114336</x:v>
      </x:c>
      <x:c r="C303" s="2">
        <x:v>2208950</x:v>
      </x:c>
      <x:c r="D303" s="2">
        <x:v>52250</x:v>
      </x:c>
      <x:c r="E303" s="2" t="s">
        <x:v>163</x:v>
      </x:c>
      <x:c r="F303" s="2" t="s">
        <x:v>263</x:v>
      </x:c>
      <x:c r="G303" s="2" t="s">
        <x:v>116</x:v>
      </x:c>
      <x:c r="H303" s="2" t="s">
        <x:v>107</x:v>
      </x:c>
      <x:c r="I303" s="2" t="s">
        <x:v>264</x:v>
      </x:c>
      <x:c r="J303" s="2">
        <x:v>2</x:v>
      </x:c>
      <x:c r="K303" s="2" t="s">
        <x:v>117</x:v>
      </x:c>
      <x:c r="L303" s="2" t="s">
        <x:v>110</x:v>
      </x:c>
      <x:c r="M303" s="2"/>
      <x:c r="N303" s="2">
        <x:v>7.327</x:v>
      </x:c>
      <x:c r="O303" s="2">
        <x:v>3.01</x:v>
      </x:c>
      <x:c r="P303" s="2">
        <x:v>12.49</x:v>
      </x:c>
      <x:c r="Q303" s="2" t="s">
        <x:v>207</x:v>
      </x:c>
      <x:c r="R303" s="2">
        <x:v>7.327</x:v>
      </x:c>
      <x:c r="S303" s="2" t="s">
        <x:v>207</x:v>
      </x:c>
      <x:c r="T303" s="2">
        <x:v>19</x:v>
      </x:c>
      <x:c r="U303" s="2">
        <x:v>38</x:v>
      </x:c>
      <x:c r="V303" s="2"/>
      <x:c r="W303" s="2"/>
      <x:c r="X303" s="2" t="s">
        <x:v>265</x:v>
      </x:c>
      <x:c r="Y303" s="2" t="s">
        <x:v>113</x:v>
      </x:c>
      <x:c r="Z303" s="2" t="s">
        <x:v>114</x:v>
      </x:c>
    </x:row>
    <x:row r="304" ht="27">
      <x:c r="A304" s="2">
        <x:v>1539</x:v>
      </x:c>
      <x:c r="B304" s="2">
        <x:v>1140048</x:v>
      </x:c>
      <x:c r="C304" s="2">
        <x:v>94094</x:v>
      </x:c>
      <x:c r="D304" s="2">
        <x:v>11673</x:v>
      </x:c>
      <x:c r="E304" s="2" t="s">
        <x:v>163</x:v>
      </x:c>
      <x:c r="F304" s="2" t="s">
        <x:v>263</x:v>
      </x:c>
      <x:c r="G304" s="2" t="s">
        <x:v>141</x:v>
      </x:c>
      <x:c r="H304" s="2" t="s">
        <x:v>135</x:v>
      </x:c>
      <x:c r="I304" s="2" t="s">
        <x:v>108</x:v>
      </x:c>
      <x:c r="J304" s="2">
        <x:v>2</x:v>
      </x:c>
      <x:c r="K304" s="2" t="s">
        <x:v>126</x:v>
      </x:c>
      <x:c r="L304" s="2" t="s">
        <x:v>110</x:v>
      </x:c>
      <x:c r="M304" s="2"/>
      <x:c r="N304" s="2">
        <x:v>12260</x:v>
      </x:c>
      <x:c r="O304" s="2"/>
      <x:c r="P304" s="2"/>
      <x:c r="Q304" s="2" t="s">
        <x:v>111</x:v>
      </x:c>
      <x:c r="R304" s="2">
        <x:v>12260</x:v>
      </x:c>
      <x:c r="S304" s="2" t="s">
        <x:v>111</x:v>
      </x:c>
      <x:c r="T304" s="2">
        <x:v>14</x:v>
      </x:c>
      <x:c r="U304" s="2"/>
      <x:c r="V304" s="2"/>
      <x:c r="W304" s="2"/>
      <x:c r="X304" s="2" t="s">
        <x:v>266</x:v>
      </x:c>
      <x:c r="Y304" s="2" t="s">
        <x:v>113</x:v>
      </x:c>
      <x:c r="Z304" s="2" t="s">
        <x:v>114</x:v>
      </x:c>
    </x:row>
    <x:row r="305" ht="27">
      <x:c r="A305" s="2">
        <x:v>1541</x:v>
      </x:c>
      <x:c r="B305" s="2">
        <x:v>1140047</x:v>
      </x:c>
      <x:c r="C305" s="2">
        <x:v>94093</x:v>
      </x:c>
      <x:c r="D305" s="2">
        <x:v>11673</x:v>
      </x:c>
      <x:c r="E305" s="2" t="s">
        <x:v>163</x:v>
      </x:c>
      <x:c r="F305" s="2" t="s">
        <x:v>263</x:v>
      </x:c>
      <x:c r="G305" s="2" t="s">
        <x:v>141</x:v>
      </x:c>
      <x:c r="H305" s="2" t="s">
        <x:v>135</x:v>
      </x:c>
      <x:c r="I305" s="2" t="s">
        <x:v>108</x:v>
      </x:c>
      <x:c r="J305" s="2">
        <x:v>2</x:v>
      </x:c>
      <x:c r="K305" s="2" t="s">
        <x:v>126</x:v>
      </x:c>
      <x:c r="L305" s="2" t="s">
        <x:v>110</x:v>
      </x:c>
      <x:c r="M305" s="2"/>
      <x:c r="N305" s="2">
        <x:v>16370</x:v>
      </x:c>
      <x:c r="O305" s="2"/>
      <x:c r="P305" s="2"/>
      <x:c r="Q305" s="2" t="s">
        <x:v>111</x:v>
      </x:c>
      <x:c r="R305" s="2">
        <x:v>16370</x:v>
      </x:c>
      <x:c r="S305" s="2" t="s">
        <x:v>111</x:v>
      </x:c>
      <x:c r="T305" s="2">
        <x:v>14</x:v>
      </x:c>
      <x:c r="U305" s="2"/>
      <x:c r="V305" s="2"/>
      <x:c r="W305" s="2"/>
      <x:c r="X305" s="2" t="s">
        <x:v>266</x:v>
      </x:c>
      <x:c r="Y305" s="2" t="s">
        <x:v>113</x:v>
      </x:c>
      <x:c r="Z305" s="2" t="s">
        <x:v>114</x:v>
      </x:c>
    </x:row>
    <x:row r="306" ht="27">
      <x:c r="A306" s="2">
        <x:v>1544</x:v>
      </x:c>
      <x:c r="B306" s="2">
        <x:v>1140045</x:v>
      </x:c>
      <x:c r="C306" s="2">
        <x:v>94091</x:v>
      </x:c>
      <x:c r="D306" s="2">
        <x:v>11673</x:v>
      </x:c>
      <x:c r="E306" s="2" t="s">
        <x:v>163</x:v>
      </x:c>
      <x:c r="F306" s="2" t="s">
        <x:v>263</x:v>
      </x:c>
      <x:c r="G306" s="2" t="s">
        <x:v>141</x:v>
      </x:c>
      <x:c r="H306" s="2" t="s">
        <x:v>135</x:v>
      </x:c>
      <x:c r="I306" s="2" t="s">
        <x:v>108</x:v>
      </x:c>
      <x:c r="J306" s="2">
        <x:v>2</x:v>
      </x:c>
      <x:c r="K306" s="2" t="s">
        <x:v>126</x:v>
      </x:c>
      <x:c r="L306" s="2" t="s">
        <x:v>110</x:v>
      </x:c>
      <x:c r="M306" s="2"/>
      <x:c r="N306" s="2">
        <x:v>11470</x:v>
      </x:c>
      <x:c r="O306" s="2"/>
      <x:c r="P306" s="2"/>
      <x:c r="Q306" s="2" t="s">
        <x:v>111</x:v>
      </x:c>
      <x:c r="R306" s="2">
        <x:v>11470</x:v>
      </x:c>
      <x:c r="S306" s="2" t="s">
        <x:v>111</x:v>
      </x:c>
      <x:c r="T306" s="2">
        <x:v>18</x:v>
      </x:c>
      <x:c r="U306" s="2"/>
      <x:c r="V306" s="2"/>
      <x:c r="W306" s="2"/>
      <x:c r="X306" s="2" t="s">
        <x:v>266</x:v>
      </x:c>
      <x:c r="Y306" s="2" t="s">
        <x:v>113</x:v>
      </x:c>
      <x:c r="Z306" s="2" t="s">
        <x:v>114</x:v>
      </x:c>
    </x:row>
    <x:row r="307" ht="27">
      <x:c r="A307" s="2">
        <x:v>1546</x:v>
      </x:c>
      <x:c r="B307" s="2">
        <x:v>1140046</x:v>
      </x:c>
      <x:c r="C307" s="2">
        <x:v>94092</x:v>
      </x:c>
      <x:c r="D307" s="2">
        <x:v>11673</x:v>
      </x:c>
      <x:c r="E307" s="2" t="s">
        <x:v>163</x:v>
      </x:c>
      <x:c r="F307" s="2" t="s">
        <x:v>263</x:v>
      </x:c>
      <x:c r="G307" s="2" t="s">
        <x:v>141</x:v>
      </x:c>
      <x:c r="H307" s="2" t="s">
        <x:v>135</x:v>
      </x:c>
      <x:c r="I307" s="2" t="s">
        <x:v>108</x:v>
      </x:c>
      <x:c r="J307" s="2">
        <x:v>2</x:v>
      </x:c>
      <x:c r="K307" s="2" t="s">
        <x:v>126</x:v>
      </x:c>
      <x:c r="L307" s="2" t="s">
        <x:v>110</x:v>
      </x:c>
      <x:c r="M307" s="2"/>
      <x:c r="N307" s="2">
        <x:v>8830</x:v>
      </x:c>
      <x:c r="O307" s="2"/>
      <x:c r="P307" s="2"/>
      <x:c r="Q307" s="2" t="s">
        <x:v>111</x:v>
      </x:c>
      <x:c r="R307" s="2">
        <x:v>8830</x:v>
      </x:c>
      <x:c r="S307" s="2" t="s">
        <x:v>111</x:v>
      </x:c>
      <x:c r="T307" s="2">
        <x:v>22</x:v>
      </x:c>
      <x:c r="U307" s="2"/>
      <x:c r="V307" s="2"/>
      <x:c r="W307" s="2"/>
      <x:c r="X307" s="2" t="s">
        <x:v>266</x:v>
      </x:c>
      <x:c r="Y307" s="2" t="s">
        <x:v>113</x:v>
      </x:c>
      <x:c r="Z307" s="2" t="s">
        <x:v>114</x:v>
      </x:c>
    </x:row>
    <x:row r="308" ht="27">
      <x:c r="A308" s="2">
        <x:v>1547</x:v>
      </x:c>
      <x:c r="B308" s="2">
        <x:v>1140044</x:v>
      </x:c>
      <x:c r="C308" s="2">
        <x:v>94090</x:v>
      </x:c>
      <x:c r="D308" s="2">
        <x:v>11673</x:v>
      </x:c>
      <x:c r="E308" s="2" t="s">
        <x:v>163</x:v>
      </x:c>
      <x:c r="F308" s="2" t="s">
        <x:v>263</x:v>
      </x:c>
      <x:c r="G308" s="2" t="s">
        <x:v>141</x:v>
      </x:c>
      <x:c r="H308" s="2" t="s">
        <x:v>135</x:v>
      </x:c>
      <x:c r="I308" s="2" t="s">
        <x:v>108</x:v>
      </x:c>
      <x:c r="J308" s="2">
        <x:v>2</x:v>
      </x:c>
      <x:c r="K308" s="2" t="s">
        <x:v>126</x:v>
      </x:c>
      <x:c r="L308" s="2" t="s">
        <x:v>110</x:v>
      </x:c>
      <x:c r="M308" s="2"/>
      <x:c r="N308" s="2">
        <x:v>16990</x:v>
      </x:c>
      <x:c r="O308" s="2"/>
      <x:c r="P308" s="2"/>
      <x:c r="Q308" s="2" t="s">
        <x:v>111</x:v>
      </x:c>
      <x:c r="R308" s="2">
        <x:v>16990</x:v>
      </x:c>
      <x:c r="S308" s="2" t="s">
        <x:v>111</x:v>
      </x:c>
      <x:c r="T308" s="2">
        <x:v>14</x:v>
      </x:c>
      <x:c r="U308" s="2"/>
      <x:c r="V308" s="2"/>
      <x:c r="W308" s="2"/>
      <x:c r="X308" s="2" t="s">
        <x:v>266</x:v>
      </x:c>
      <x:c r="Y308" s="2" t="s">
        <x:v>113</x:v>
      </x:c>
      <x:c r="Z308" s="2" t="s">
        <x:v>114</x:v>
      </x:c>
    </x:row>
    <x:row r="309" ht="27">
      <x:c r="A309" s="2">
        <x:v>1559</x:v>
      </x:c>
      <x:c r="B309" s="2">
        <x:v>1212438</x:v>
      </x:c>
      <x:c r="C309" s="2">
        <x:v>192568</x:v>
      </x:c>
      <x:c r="D309" s="2">
        <x:v>19811</x:v>
      </x:c>
      <x:c r="E309" s="2" t="s">
        <x:v>163</x:v>
      </x:c>
      <x:c r="F309" s="2" t="s">
        <x:v>267</x:v>
      </x:c>
      <x:c r="G309" s="2" t="s">
        <x:v>268</x:v>
      </x:c>
      <x:c r="H309" s="2" t="s">
        <x:v>107</x:v>
      </x:c>
      <x:c r="I309" s="2" t="s">
        <x:v>108</x:v>
      </x:c>
      <x:c r="J309" s="2">
        <x:v>2</x:v>
      </x:c>
      <x:c r="K309" s="2" t="s">
        <x:v>109</x:v>
      </x:c>
      <x:c r="L309" s="2" t="s">
        <x:v>110</x:v>
      </x:c>
      <x:c r="M309" s="2"/>
      <x:c r="N309" s="2"/>
      <x:c r="O309" s="2">
        <x:v>25000</x:v>
      </x:c>
      <x:c r="P309" s="2">
        <x:v>30000</x:v>
      </x:c>
      <x:c r="Q309" s="2" t="s">
        <x:v>111</x:v>
      </x:c>
      <x:c r="R309" s="2"/>
      <x:c r="S309" s="2" t="s">
        <x:v>111</x:v>
      </x:c>
      <x:c r="T309" s="2">
        <x:v>13</x:v>
      </x:c>
      <x:c r="U309" s="2"/>
      <x:c r="V309" s="2"/>
      <x:c r="W309" s="2"/>
      <x:c r="X309" s="2" t="s">
        <x:v>269</x:v>
      </x:c>
      <x:c r="Y309" s="2" t="s">
        <x:v>270</x:v>
      </x:c>
      <x:c r="Z309" s="2" t="s">
        <x:v>271</x:v>
      </x:c>
    </x:row>
    <x:row r="310" ht="27">
      <x:c r="A310" s="2">
        <x:v>1566</x:v>
      </x:c>
      <x:c r="B310" s="2">
        <x:v>1212449</x:v>
      </x:c>
      <x:c r="C310" s="2">
        <x:v>192579</x:v>
      </x:c>
      <x:c r="D310" s="2">
        <x:v>19811</x:v>
      </x:c>
      <x:c r="E310" s="2" t="s">
        <x:v>163</x:v>
      </x:c>
      <x:c r="F310" s="2" t="s">
        <x:v>267</x:v>
      </x:c>
      <x:c r="G310" s="2" t="s">
        <x:v>268</x:v>
      </x:c>
      <x:c r="H310" s="2" t="s">
        <x:v>107</x:v>
      </x:c>
      <x:c r="I310" s="2" t="s">
        <x:v>108</x:v>
      </x:c>
      <x:c r="J310" s="2">
        <x:v>2</x:v>
      </x:c>
      <x:c r="K310" s="2" t="s">
        <x:v>109</x:v>
      </x:c>
      <x:c r="L310" s="2" t="s">
        <x:v>110</x:v>
      </x:c>
      <x:c r="M310" s="2"/>
      <x:c r="N310" s="2"/>
      <x:c r="O310" s="2">
        <x:v>5000</x:v>
      </x:c>
      <x:c r="P310" s="2">
        <x:v>10000</x:v>
      </x:c>
      <x:c r="Q310" s="2" t="s">
        <x:v>111</x:v>
      </x:c>
      <x:c r="R310" s="2"/>
      <x:c r="S310" s="2" t="s">
        <x:v>111</x:v>
      </x:c>
      <x:c r="T310" s="2">
        <x:v>20</x:v>
      </x:c>
      <x:c r="U310" s="2"/>
      <x:c r="V310" s="2"/>
      <x:c r="W310" s="2"/>
      <x:c r="X310" s="2" t="s">
        <x:v>269</x:v>
      </x:c>
      <x:c r="Y310" s="2" t="s">
        <x:v>270</x:v>
      </x:c>
      <x:c r="Z310" s="2" t="s">
        <x:v>271</x:v>
      </x:c>
    </x:row>
    <x:row r="311" ht="27">
      <x:c r="A311" s="2">
        <x:v>1568</x:v>
      </x:c>
      <x:c r="B311" s="2">
        <x:v>1212454</x:v>
      </x:c>
      <x:c r="C311" s="2">
        <x:v>192584</x:v>
      </x:c>
      <x:c r="D311" s="2">
        <x:v>19811</x:v>
      </x:c>
      <x:c r="E311" s="2" t="s">
        <x:v>163</x:v>
      </x:c>
      <x:c r="F311" s="2" t="s">
        <x:v>267</x:v>
      </x:c>
      <x:c r="G311" s="2" t="s">
        <x:v>268</x:v>
      </x:c>
      <x:c r="H311" s="2" t="s">
        <x:v>107</x:v>
      </x:c>
      <x:c r="I311" s="2" t="s">
        <x:v>108</x:v>
      </x:c>
      <x:c r="J311" s="2">
        <x:v>2</x:v>
      </x:c>
      <x:c r="K311" s="2" t="s">
        <x:v>109</x:v>
      </x:c>
      <x:c r="L311" s="2" t="s">
        <x:v>110</x:v>
      </x:c>
      <x:c r="M311" s="2"/>
      <x:c r="N311" s="2"/>
      <x:c r="O311" s="2">
        <x:v>5000</x:v>
      </x:c>
      <x:c r="P311" s="2">
        <x:v>10000</x:v>
      </x:c>
      <x:c r="Q311" s="2" t="s">
        <x:v>111</x:v>
      </x:c>
      <x:c r="R311" s="2"/>
      <x:c r="S311" s="2" t="s">
        <x:v>111</x:v>
      </x:c>
      <x:c r="T311" s="2">
        <x:v>20</x:v>
      </x:c>
      <x:c r="U311" s="2"/>
      <x:c r="V311" s="2"/>
      <x:c r="W311" s="2"/>
      <x:c r="X311" s="2" t="s">
        <x:v>269</x:v>
      </x:c>
      <x:c r="Y311" s="2" t="s">
        <x:v>270</x:v>
      </x:c>
      <x:c r="Z311" s="2" t="s">
        <x:v>271</x:v>
      </x:c>
    </x:row>
    <x:row r="312" ht="27">
      <x:c r="A312" s="2">
        <x:v>1579</x:v>
      </x:c>
      <x:c r="B312" s="2">
        <x:v>1212453</x:v>
      </x:c>
      <x:c r="C312" s="2">
        <x:v>192583</x:v>
      </x:c>
      <x:c r="D312" s="2">
        <x:v>19811</x:v>
      </x:c>
      <x:c r="E312" s="2" t="s">
        <x:v>163</x:v>
      </x:c>
      <x:c r="F312" s="2" t="s">
        <x:v>267</x:v>
      </x:c>
      <x:c r="G312" s="2" t="s">
        <x:v>268</x:v>
      </x:c>
      <x:c r="H312" s="2" t="s">
        <x:v>107</x:v>
      </x:c>
      <x:c r="I312" s="2" t="s">
        <x:v>108</x:v>
      </x:c>
      <x:c r="J312" s="2">
        <x:v>2</x:v>
      </x:c>
      <x:c r="K312" s="2" t="s">
        <x:v>109</x:v>
      </x:c>
      <x:c r="L312" s="2" t="s">
        <x:v>110</x:v>
      </x:c>
      <x:c r="M312" s="2"/>
      <x:c r="N312" s="2"/>
      <x:c r="O312" s="2">
        <x:v>5000</x:v>
      </x:c>
      <x:c r="P312" s="2">
        <x:v>10000</x:v>
      </x:c>
      <x:c r="Q312" s="2" t="s">
        <x:v>111</x:v>
      </x:c>
      <x:c r="R312" s="2"/>
      <x:c r="S312" s="2" t="s">
        <x:v>111</x:v>
      </x:c>
      <x:c r="T312" s="2">
        <x:v>20</x:v>
      </x:c>
      <x:c r="U312" s="2"/>
      <x:c r="V312" s="2"/>
      <x:c r="W312" s="2"/>
      <x:c r="X312" s="2" t="s">
        <x:v>269</x:v>
      </x:c>
      <x:c r="Y312" s="2" t="s">
        <x:v>270</x:v>
      </x:c>
      <x:c r="Z312" s="2" t="s">
        <x:v>271</x:v>
      </x:c>
    </x:row>
    <x:row r="313" ht="27">
      <x:c r="A313" s="2">
        <x:v>1581</x:v>
      </x:c>
      <x:c r="B313" s="2">
        <x:v>1212439</x:v>
      </x:c>
      <x:c r="C313" s="2">
        <x:v>192569</x:v>
      </x:c>
      <x:c r="D313" s="2">
        <x:v>19811</x:v>
      </x:c>
      <x:c r="E313" s="2" t="s">
        <x:v>163</x:v>
      </x:c>
      <x:c r="F313" s="2" t="s">
        <x:v>267</x:v>
      </x:c>
      <x:c r="G313" s="2" t="s">
        <x:v>268</x:v>
      </x:c>
      <x:c r="H313" s="2" t="s">
        <x:v>107</x:v>
      </x:c>
      <x:c r="I313" s="2" t="s">
        <x:v>108</x:v>
      </x:c>
      <x:c r="J313" s="2">
        <x:v>2</x:v>
      </x:c>
      <x:c r="K313" s="2" t="s">
        <x:v>109</x:v>
      </x:c>
      <x:c r="L313" s="2" t="s">
        <x:v>110</x:v>
      </x:c>
      <x:c r="M313" s="2"/>
      <x:c r="N313" s="2"/>
      <x:c r="O313" s="2">
        <x:v>25000</x:v>
      </x:c>
      <x:c r="P313" s="2">
        <x:v>30000</x:v>
      </x:c>
      <x:c r="Q313" s="2" t="s">
        <x:v>111</x:v>
      </x:c>
      <x:c r="R313" s="2"/>
      <x:c r="S313" s="2" t="s">
        <x:v>111</x:v>
      </x:c>
      <x:c r="T313" s="2">
        <x:v>13</x:v>
      </x:c>
      <x:c r="U313" s="2"/>
      <x:c r="V313" s="2"/>
      <x:c r="W313" s="2"/>
      <x:c r="X313" s="2" t="s">
        <x:v>269</x:v>
      </x:c>
      <x:c r="Y313" s="2" t="s">
        <x:v>270</x:v>
      </x:c>
      <x:c r="Z313" s="2" t="s">
        <x:v>271</x:v>
      </x:c>
    </x:row>
    <x:row r="314" ht="27">
      <x:c r="A314" s="2">
        <x:v>1591</x:v>
      </x:c>
      <x:c r="B314" s="2">
        <x:v>1212445</x:v>
      </x:c>
      <x:c r="C314" s="2">
        <x:v>192575</x:v>
      </x:c>
      <x:c r="D314" s="2">
        <x:v>19811</x:v>
      </x:c>
      <x:c r="E314" s="2" t="s">
        <x:v>163</x:v>
      </x:c>
      <x:c r="F314" s="2" t="s">
        <x:v>267</x:v>
      </x:c>
      <x:c r="G314" s="2" t="s">
        <x:v>268</x:v>
      </x:c>
      <x:c r="H314" s="2" t="s">
        <x:v>107</x:v>
      </x:c>
      <x:c r="I314" s="2" t="s">
        <x:v>108</x:v>
      </x:c>
      <x:c r="J314" s="2">
        <x:v>2</x:v>
      </x:c>
      <x:c r="K314" s="2" t="s">
        <x:v>109</x:v>
      </x:c>
      <x:c r="L314" s="2" t="s">
        <x:v>110</x:v>
      </x:c>
      <x:c r="M314" s="2"/>
      <x:c r="N314" s="2"/>
      <x:c r="O314" s="2">
        <x:v>15000</x:v>
      </x:c>
      <x:c r="P314" s="2">
        <x:v>20000</x:v>
      </x:c>
      <x:c r="Q314" s="2" t="s">
        <x:v>111</x:v>
      </x:c>
      <x:c r="R314" s="2"/>
      <x:c r="S314" s="2" t="s">
        <x:v>111</x:v>
      </x:c>
      <x:c r="T314" s="2">
        <x:v>16.5</x:v>
      </x:c>
      <x:c r="U314" s="2"/>
      <x:c r="V314" s="2"/>
      <x:c r="W314" s="2"/>
      <x:c r="X314" s="2" t="s">
        <x:v>269</x:v>
      </x:c>
      <x:c r="Y314" s="2" t="s">
        <x:v>270</x:v>
      </x:c>
      <x:c r="Z314" s="2" t="s">
        <x:v>271</x:v>
      </x:c>
    </x:row>
    <x:row r="315" ht="27">
      <x:c r="A315" s="2">
        <x:v>1607</x:v>
      </x:c>
      <x:c r="B315" s="2">
        <x:v>1212440</x:v>
      </x:c>
      <x:c r="C315" s="2">
        <x:v>192570</x:v>
      </x:c>
      <x:c r="D315" s="2">
        <x:v>19811</x:v>
      </x:c>
      <x:c r="E315" s="2" t="s">
        <x:v>163</x:v>
      </x:c>
      <x:c r="F315" s="2" t="s">
        <x:v>267</x:v>
      </x:c>
      <x:c r="G315" s="2" t="s">
        <x:v>268</x:v>
      </x:c>
      <x:c r="H315" s="2" t="s">
        <x:v>107</x:v>
      </x:c>
      <x:c r="I315" s="2" t="s">
        <x:v>108</x:v>
      </x:c>
      <x:c r="J315" s="2">
        <x:v>2</x:v>
      </x:c>
      <x:c r="K315" s="2" t="s">
        <x:v>109</x:v>
      </x:c>
      <x:c r="L315" s="2" t="s">
        <x:v>110</x:v>
      </x:c>
      <x:c r="M315" s="2"/>
      <x:c r="N315" s="2"/>
      <x:c r="O315" s="2">
        <x:v>25000</x:v>
      </x:c>
      <x:c r="P315" s="2">
        <x:v>30000</x:v>
      </x:c>
      <x:c r="Q315" s="2" t="s">
        <x:v>111</x:v>
      </x:c>
      <x:c r="R315" s="2"/>
      <x:c r="S315" s="2" t="s">
        <x:v>111</x:v>
      </x:c>
      <x:c r="T315" s="2">
        <x:v>13</x:v>
      </x:c>
      <x:c r="U315" s="2"/>
      <x:c r="V315" s="2"/>
      <x:c r="W315" s="2"/>
      <x:c r="X315" s="2" t="s">
        <x:v>269</x:v>
      </x:c>
      <x:c r="Y315" s="2" t="s">
        <x:v>270</x:v>
      </x:c>
      <x:c r="Z315" s="2" t="s">
        <x:v>271</x:v>
      </x:c>
    </x:row>
    <x:row r="316" ht="27">
      <x:c r="A316" s="2">
        <x:v>1613</x:v>
      </x:c>
      <x:c r="B316" s="2">
        <x:v>1212443</x:v>
      </x:c>
      <x:c r="C316" s="2">
        <x:v>192573</x:v>
      </x:c>
      <x:c r="D316" s="2">
        <x:v>19811</x:v>
      </x:c>
      <x:c r="E316" s="2" t="s">
        <x:v>163</x:v>
      </x:c>
      <x:c r="F316" s="2" t="s">
        <x:v>267</x:v>
      </x:c>
      <x:c r="G316" s="2" t="s">
        <x:v>268</x:v>
      </x:c>
      <x:c r="H316" s="2" t="s">
        <x:v>107</x:v>
      </x:c>
      <x:c r="I316" s="2" t="s">
        <x:v>108</x:v>
      </x:c>
      <x:c r="J316" s="2">
        <x:v>2</x:v>
      </x:c>
      <x:c r="K316" s="2" t="s">
        <x:v>109</x:v>
      </x:c>
      <x:c r="L316" s="2" t="s">
        <x:v>110</x:v>
      </x:c>
      <x:c r="M316" s="2"/>
      <x:c r="N316" s="2"/>
      <x:c r="O316" s="2">
        <x:v>15000</x:v>
      </x:c>
      <x:c r="P316" s="2">
        <x:v>20000</x:v>
      </x:c>
      <x:c r="Q316" s="2" t="s">
        <x:v>111</x:v>
      </x:c>
      <x:c r="R316" s="2"/>
      <x:c r="S316" s="2" t="s">
        <x:v>111</x:v>
      </x:c>
      <x:c r="T316" s="2">
        <x:v>16.5</x:v>
      </x:c>
      <x:c r="U316" s="2"/>
      <x:c r="V316" s="2"/>
      <x:c r="W316" s="2"/>
      <x:c r="X316" s="2" t="s">
        <x:v>269</x:v>
      </x:c>
      <x:c r="Y316" s="2" t="s">
        <x:v>270</x:v>
      </x:c>
      <x:c r="Z316" s="2" t="s">
        <x:v>271</x:v>
      </x:c>
    </x:row>
    <x:row r="317" ht="27">
      <x:c r="A317" s="2">
        <x:v>1615</x:v>
      </x:c>
      <x:c r="B317" s="2">
        <x:v>1212446</x:v>
      </x:c>
      <x:c r="C317" s="2">
        <x:v>192576</x:v>
      </x:c>
      <x:c r="D317" s="2">
        <x:v>19811</x:v>
      </x:c>
      <x:c r="E317" s="2" t="s">
        <x:v>163</x:v>
      </x:c>
      <x:c r="F317" s="2" t="s">
        <x:v>267</x:v>
      </x:c>
      <x:c r="G317" s="2" t="s">
        <x:v>268</x:v>
      </x:c>
      <x:c r="H317" s="2" t="s">
        <x:v>107</x:v>
      </x:c>
      <x:c r="I317" s="2" t="s">
        <x:v>108</x:v>
      </x:c>
      <x:c r="J317" s="2">
        <x:v>2</x:v>
      </x:c>
      <x:c r="K317" s="2" t="s">
        <x:v>109</x:v>
      </x:c>
      <x:c r="L317" s="2" t="s">
        <x:v>110</x:v>
      </x:c>
      <x:c r="M317" s="2"/>
      <x:c r="N317" s="2"/>
      <x:c r="O317" s="2">
        <x:v>15000</x:v>
      </x:c>
      <x:c r="P317" s="2">
        <x:v>20000</x:v>
      </x:c>
      <x:c r="Q317" s="2" t="s">
        <x:v>111</x:v>
      </x:c>
      <x:c r="R317" s="2"/>
      <x:c r="S317" s="2" t="s">
        <x:v>111</x:v>
      </x:c>
      <x:c r="T317" s="2">
        <x:v>16.5</x:v>
      </x:c>
      <x:c r="U317" s="2"/>
      <x:c r="V317" s="2"/>
      <x:c r="W317" s="2"/>
      <x:c r="X317" s="2" t="s">
        <x:v>269</x:v>
      </x:c>
      <x:c r="Y317" s="2" t="s">
        <x:v>270</x:v>
      </x:c>
      <x:c r="Z317" s="2" t="s">
        <x:v>271</x:v>
      </x:c>
    </x:row>
    <x:row r="318" ht="27">
      <x:c r="A318" s="2">
        <x:v>1617</x:v>
      </x:c>
      <x:c r="B318" s="2">
        <x:v>1212442</x:v>
      </x:c>
      <x:c r="C318" s="2">
        <x:v>192572</x:v>
      </x:c>
      <x:c r="D318" s="2">
        <x:v>19811</x:v>
      </x:c>
      <x:c r="E318" s="2" t="s">
        <x:v>163</x:v>
      </x:c>
      <x:c r="F318" s="2" t="s">
        <x:v>267</x:v>
      </x:c>
      <x:c r="G318" s="2" t="s">
        <x:v>268</x:v>
      </x:c>
      <x:c r="H318" s="2" t="s">
        <x:v>107</x:v>
      </x:c>
      <x:c r="I318" s="2" t="s">
        <x:v>108</x:v>
      </x:c>
      <x:c r="J318" s="2">
        <x:v>2</x:v>
      </x:c>
      <x:c r="K318" s="2" t="s">
        <x:v>109</x:v>
      </x:c>
      <x:c r="L318" s="2" t="s">
        <x:v>110</x:v>
      </x:c>
      <x:c r="M318" s="2" t="s">
        <x:v>184</x:v>
      </x:c>
      <x:c r="N318" s="2">
        <x:v>25000</x:v>
      </x:c>
      <x:c r="O318" s="2"/>
      <x:c r="P318" s="2"/>
      <x:c r="Q318" s="2" t="s">
        <x:v>111</x:v>
      </x:c>
      <x:c r="R318" s="2">
        <x:v>25000</x:v>
      </x:c>
      <x:c r="S318" s="2" t="s">
        <x:v>111</x:v>
      </x:c>
      <x:c r="T318" s="2">
        <x:v>13</x:v>
      </x:c>
      <x:c r="U318" s="2"/>
      <x:c r="V318" s="2"/>
      <x:c r="W318" s="2"/>
      <x:c r="X318" s="2" t="s">
        <x:v>269</x:v>
      </x:c>
      <x:c r="Y318" s="2" t="s">
        <x:v>270</x:v>
      </x:c>
      <x:c r="Z318" s="2" t="s">
        <x:v>271</x:v>
      </x:c>
    </x:row>
    <x:row r="319" ht="27">
      <x:c r="A319" s="2">
        <x:v>1628</x:v>
      </x:c>
      <x:c r="B319" s="2">
        <x:v>1212450</x:v>
      </x:c>
      <x:c r="C319" s="2">
        <x:v>192580</x:v>
      </x:c>
      <x:c r="D319" s="2">
        <x:v>19811</x:v>
      </x:c>
      <x:c r="E319" s="2" t="s">
        <x:v>163</x:v>
      </x:c>
      <x:c r="F319" s="2" t="s">
        <x:v>267</x:v>
      </x:c>
      <x:c r="G319" s="2" t="s">
        <x:v>268</x:v>
      </x:c>
      <x:c r="H319" s="2" t="s">
        <x:v>107</x:v>
      </x:c>
      <x:c r="I319" s="2" t="s">
        <x:v>108</x:v>
      </x:c>
      <x:c r="J319" s="2">
        <x:v>2</x:v>
      </x:c>
      <x:c r="K319" s="2" t="s">
        <x:v>109</x:v>
      </x:c>
      <x:c r="L319" s="2" t="s">
        <x:v>110</x:v>
      </x:c>
      <x:c r="M319" s="2"/>
      <x:c r="N319" s="2"/>
      <x:c r="O319" s="2">
        <x:v>5000</x:v>
      </x:c>
      <x:c r="P319" s="2">
        <x:v>10000</x:v>
      </x:c>
      <x:c r="Q319" s="2" t="s">
        <x:v>111</x:v>
      </x:c>
      <x:c r="R319" s="2"/>
      <x:c r="S319" s="2" t="s">
        <x:v>111</x:v>
      </x:c>
      <x:c r="T319" s="2">
        <x:v>20</x:v>
      </x:c>
      <x:c r="U319" s="2"/>
      <x:c r="V319" s="2"/>
      <x:c r="W319" s="2"/>
      <x:c r="X319" s="2" t="s">
        <x:v>269</x:v>
      </x:c>
      <x:c r="Y319" s="2" t="s">
        <x:v>270</x:v>
      </x:c>
      <x:c r="Z319" s="2" t="s">
        <x:v>271</x:v>
      </x:c>
    </x:row>
    <x:row r="320" ht="27">
      <x:c r="A320" s="2">
        <x:v>1634</x:v>
      </x:c>
      <x:c r="B320" s="2">
        <x:v>1212448</x:v>
      </x:c>
      <x:c r="C320" s="2">
        <x:v>192578</x:v>
      </x:c>
      <x:c r="D320" s="2">
        <x:v>19811</x:v>
      </x:c>
      <x:c r="E320" s="2" t="s">
        <x:v>163</x:v>
      </x:c>
      <x:c r="F320" s="2" t="s">
        <x:v>267</x:v>
      </x:c>
      <x:c r="G320" s="2" t="s">
        <x:v>268</x:v>
      </x:c>
      <x:c r="H320" s="2" t="s">
        <x:v>107</x:v>
      </x:c>
      <x:c r="I320" s="2" t="s">
        <x:v>108</x:v>
      </x:c>
      <x:c r="J320" s="2">
        <x:v>2</x:v>
      </x:c>
      <x:c r="K320" s="2" t="s">
        <x:v>109</x:v>
      </x:c>
      <x:c r="L320" s="2" t="s">
        <x:v>110</x:v>
      </x:c>
      <x:c r="M320" s="2"/>
      <x:c r="N320" s="2"/>
      <x:c r="O320" s="2">
        <x:v>15000</x:v>
      </x:c>
      <x:c r="P320" s="2">
        <x:v>20000</x:v>
      </x:c>
      <x:c r="Q320" s="2" t="s">
        <x:v>111</x:v>
      </x:c>
      <x:c r="R320" s="2"/>
      <x:c r="S320" s="2" t="s">
        <x:v>111</x:v>
      </x:c>
      <x:c r="T320" s="2">
        <x:v>16.5</x:v>
      </x:c>
      <x:c r="U320" s="2"/>
      <x:c r="V320" s="2"/>
      <x:c r="W320" s="2"/>
      <x:c r="X320" s="2" t="s">
        <x:v>269</x:v>
      </x:c>
      <x:c r="Y320" s="2" t="s">
        <x:v>270</x:v>
      </x:c>
      <x:c r="Z320" s="2" t="s">
        <x:v>271</x:v>
      </x:c>
    </x:row>
    <x:row r="321" ht="27">
      <x:c r="A321" s="2">
        <x:v>1635</x:v>
      </x:c>
      <x:c r="B321" s="2">
        <x:v>1212447</x:v>
      </x:c>
      <x:c r="C321" s="2">
        <x:v>192577</x:v>
      </x:c>
      <x:c r="D321" s="2">
        <x:v>19811</x:v>
      </x:c>
      <x:c r="E321" s="2" t="s">
        <x:v>163</x:v>
      </x:c>
      <x:c r="F321" s="2" t="s">
        <x:v>267</x:v>
      </x:c>
      <x:c r="G321" s="2" t="s">
        <x:v>268</x:v>
      </x:c>
      <x:c r="H321" s="2" t="s">
        <x:v>107</x:v>
      </x:c>
      <x:c r="I321" s="2" t="s">
        <x:v>108</x:v>
      </x:c>
      <x:c r="J321" s="2">
        <x:v>2</x:v>
      </x:c>
      <x:c r="K321" s="2" t="s">
        <x:v>109</x:v>
      </x:c>
      <x:c r="L321" s="2" t="s">
        <x:v>110</x:v>
      </x:c>
      <x:c r="M321" s="2"/>
      <x:c r="N321" s="2"/>
      <x:c r="O321" s="2">
        <x:v>15000</x:v>
      </x:c>
      <x:c r="P321" s="2">
        <x:v>20000</x:v>
      </x:c>
      <x:c r="Q321" s="2" t="s">
        <x:v>111</x:v>
      </x:c>
      <x:c r="R321" s="2"/>
      <x:c r="S321" s="2" t="s">
        <x:v>111</x:v>
      </x:c>
      <x:c r="T321" s="2">
        <x:v>16.5</x:v>
      </x:c>
      <x:c r="U321" s="2"/>
      <x:c r="V321" s="2"/>
      <x:c r="W321" s="2"/>
      <x:c r="X321" s="2" t="s">
        <x:v>269</x:v>
      </x:c>
      <x:c r="Y321" s="2" t="s">
        <x:v>270</x:v>
      </x:c>
      <x:c r="Z321" s="2" t="s">
        <x:v>271</x:v>
      </x:c>
    </x:row>
    <x:row r="322" ht="27">
      <x:c r="A322" s="2">
        <x:v>1639</x:v>
      </x:c>
      <x:c r="B322" s="2">
        <x:v>1212441</x:v>
      </x:c>
      <x:c r="C322" s="2">
        <x:v>192571</x:v>
      </x:c>
      <x:c r="D322" s="2">
        <x:v>19811</x:v>
      </x:c>
      <x:c r="E322" s="2" t="s">
        <x:v>163</x:v>
      </x:c>
      <x:c r="F322" s="2" t="s">
        <x:v>267</x:v>
      </x:c>
      <x:c r="G322" s="2" t="s">
        <x:v>268</x:v>
      </x:c>
      <x:c r="H322" s="2" t="s">
        <x:v>107</x:v>
      </x:c>
      <x:c r="I322" s="2" t="s">
        <x:v>108</x:v>
      </x:c>
      <x:c r="J322" s="2">
        <x:v>2</x:v>
      </x:c>
      <x:c r="K322" s="2" t="s">
        <x:v>109</x:v>
      </x:c>
      <x:c r="L322" s="2" t="s">
        <x:v>110</x:v>
      </x:c>
      <x:c r="M322" s="2"/>
      <x:c r="N322" s="2"/>
      <x:c r="O322" s="2">
        <x:v>25000</x:v>
      </x:c>
      <x:c r="P322" s="2">
        <x:v>30000</x:v>
      </x:c>
      <x:c r="Q322" s="2" t="s">
        <x:v>111</x:v>
      </x:c>
      <x:c r="R322" s="2"/>
      <x:c r="S322" s="2" t="s">
        <x:v>111</x:v>
      </x:c>
      <x:c r="T322" s="2">
        <x:v>13</x:v>
      </x:c>
      <x:c r="U322" s="2"/>
      <x:c r="V322" s="2"/>
      <x:c r="W322" s="2"/>
      <x:c r="X322" s="2" t="s">
        <x:v>269</x:v>
      </x:c>
      <x:c r="Y322" s="2" t="s">
        <x:v>270</x:v>
      </x:c>
      <x:c r="Z322" s="2" t="s">
        <x:v>271</x:v>
      </x:c>
    </x:row>
    <x:row r="323" ht="27">
      <x:c r="A323" s="2">
        <x:v>1650</x:v>
      </x:c>
      <x:c r="B323" s="2">
        <x:v>1212437</x:v>
      </x:c>
      <x:c r="C323" s="2">
        <x:v>192567</x:v>
      </x:c>
      <x:c r="D323" s="2">
        <x:v>19811</x:v>
      </x:c>
      <x:c r="E323" s="2" t="s">
        <x:v>163</x:v>
      </x:c>
      <x:c r="F323" s="2" t="s">
        <x:v>267</x:v>
      </x:c>
      <x:c r="G323" s="2" t="s">
        <x:v>268</x:v>
      </x:c>
      <x:c r="H323" s="2" t="s">
        <x:v>107</x:v>
      </x:c>
      <x:c r="I323" s="2" t="s">
        <x:v>108</x:v>
      </x:c>
      <x:c r="J323" s="2">
        <x:v>2</x:v>
      </x:c>
      <x:c r="K323" s="2" t="s">
        <x:v>109</x:v>
      </x:c>
      <x:c r="L323" s="2" t="s">
        <x:v>110</x:v>
      </x:c>
      <x:c r="M323" s="2"/>
      <x:c r="N323" s="2"/>
      <x:c r="O323" s="2">
        <x:v>20000</x:v>
      </x:c>
      <x:c r="P323" s="2">
        <x:v>25000</x:v>
      </x:c>
      <x:c r="Q323" s="2" t="s">
        <x:v>111</x:v>
      </x:c>
      <x:c r="R323" s="2"/>
      <x:c r="S323" s="2" t="s">
        <x:v>111</x:v>
      </x:c>
      <x:c r="T323" s="2">
        <x:v>13</x:v>
      </x:c>
      <x:c r="U323" s="2"/>
      <x:c r="V323" s="2"/>
      <x:c r="W323" s="2"/>
      <x:c r="X323" s="2" t="s">
        <x:v>269</x:v>
      </x:c>
      <x:c r="Y323" s="2" t="s">
        <x:v>270</x:v>
      </x:c>
      <x:c r="Z323" s="2" t="s">
        <x:v>271</x:v>
      </x:c>
    </x:row>
    <x:row r="324" ht="27">
      <x:c r="A324" s="2">
        <x:v>1656</x:v>
      </x:c>
      <x:c r="B324" s="2">
        <x:v>1212444</x:v>
      </x:c>
      <x:c r="C324" s="2">
        <x:v>192574</x:v>
      </x:c>
      <x:c r="D324" s="2">
        <x:v>19811</x:v>
      </x:c>
      <x:c r="E324" s="2" t="s">
        <x:v>163</x:v>
      </x:c>
      <x:c r="F324" s="2" t="s">
        <x:v>267</x:v>
      </x:c>
      <x:c r="G324" s="2" t="s">
        <x:v>268</x:v>
      </x:c>
      <x:c r="H324" s="2" t="s">
        <x:v>107</x:v>
      </x:c>
      <x:c r="I324" s="2" t="s">
        <x:v>108</x:v>
      </x:c>
      <x:c r="J324" s="2">
        <x:v>2</x:v>
      </x:c>
      <x:c r="K324" s="2" t="s">
        <x:v>109</x:v>
      </x:c>
      <x:c r="L324" s="2" t="s">
        <x:v>110</x:v>
      </x:c>
      <x:c r="M324" s="2"/>
      <x:c r="N324" s="2"/>
      <x:c r="O324" s="2">
        <x:v>15000</x:v>
      </x:c>
      <x:c r="P324" s="2">
        <x:v>20000</x:v>
      </x:c>
      <x:c r="Q324" s="2" t="s">
        <x:v>111</x:v>
      </x:c>
      <x:c r="R324" s="2"/>
      <x:c r="S324" s="2" t="s">
        <x:v>111</x:v>
      </x:c>
      <x:c r="T324" s="2">
        <x:v>16.5</x:v>
      </x:c>
      <x:c r="U324" s="2"/>
      <x:c r="V324" s="2"/>
      <x:c r="W324" s="2"/>
      <x:c r="X324" s="2" t="s">
        <x:v>269</x:v>
      </x:c>
      <x:c r="Y324" s="2" t="s">
        <x:v>270</x:v>
      </x:c>
      <x:c r="Z324" s="2" t="s">
        <x:v>271</x:v>
      </x:c>
    </x:row>
    <x:row r="325" ht="27">
      <x:c r="A325" s="2">
        <x:v>1664</x:v>
      </x:c>
      <x:c r="B325" s="2">
        <x:v>1212451</x:v>
      </x:c>
      <x:c r="C325" s="2">
        <x:v>192581</x:v>
      </x:c>
      <x:c r="D325" s="2">
        <x:v>19811</x:v>
      </x:c>
      <x:c r="E325" s="2" t="s">
        <x:v>163</x:v>
      </x:c>
      <x:c r="F325" s="2" t="s">
        <x:v>267</x:v>
      </x:c>
      <x:c r="G325" s="2" t="s">
        <x:v>268</x:v>
      </x:c>
      <x:c r="H325" s="2" t="s">
        <x:v>107</x:v>
      </x:c>
      <x:c r="I325" s="2" t="s">
        <x:v>108</x:v>
      </x:c>
      <x:c r="J325" s="2">
        <x:v>2</x:v>
      </x:c>
      <x:c r="K325" s="2" t="s">
        <x:v>109</x:v>
      </x:c>
      <x:c r="L325" s="2" t="s">
        <x:v>110</x:v>
      </x:c>
      <x:c r="M325" s="2" t="s">
        <x:v>184</x:v>
      </x:c>
      <x:c r="N325" s="2">
        <x:v>10000</x:v>
      </x:c>
      <x:c r="O325" s="2"/>
      <x:c r="P325" s="2"/>
      <x:c r="Q325" s="2" t="s">
        <x:v>111</x:v>
      </x:c>
      <x:c r="R325" s="2">
        <x:v>10000</x:v>
      </x:c>
      <x:c r="S325" s="2" t="s">
        <x:v>111</x:v>
      </x:c>
      <x:c r="T325" s="2">
        <x:v>20</x:v>
      </x:c>
      <x:c r="U325" s="2"/>
      <x:c r="V325" s="2"/>
      <x:c r="W325" s="2"/>
      <x:c r="X325" s="2" t="s">
        <x:v>269</x:v>
      </x:c>
      <x:c r="Y325" s="2" t="s">
        <x:v>270</x:v>
      </x:c>
      <x:c r="Z325" s="2" t="s">
        <x:v>271</x:v>
      </x:c>
    </x:row>
    <x:row r="326" ht="27">
      <x:c r="A326" s="2">
        <x:v>1669</x:v>
      </x:c>
      <x:c r="B326" s="2">
        <x:v>1212452</x:v>
      </x:c>
      <x:c r="C326" s="2">
        <x:v>192582</x:v>
      </x:c>
      <x:c r="D326" s="2">
        <x:v>19811</x:v>
      </x:c>
      <x:c r="E326" s="2" t="s">
        <x:v>163</x:v>
      </x:c>
      <x:c r="F326" s="2" t="s">
        <x:v>267</x:v>
      </x:c>
      <x:c r="G326" s="2" t="s">
        <x:v>268</x:v>
      </x:c>
      <x:c r="H326" s="2" t="s">
        <x:v>107</x:v>
      </x:c>
      <x:c r="I326" s="2" t="s">
        <x:v>108</x:v>
      </x:c>
      <x:c r="J326" s="2">
        <x:v>2</x:v>
      </x:c>
      <x:c r="K326" s="2" t="s">
        <x:v>109</x:v>
      </x:c>
      <x:c r="L326" s="2" t="s">
        <x:v>110</x:v>
      </x:c>
      <x:c r="M326" s="2"/>
      <x:c r="N326" s="2"/>
      <x:c r="O326" s="2">
        <x:v>5000</x:v>
      </x:c>
      <x:c r="P326" s="2">
        <x:v>10000</x:v>
      </x:c>
      <x:c r="Q326" s="2" t="s">
        <x:v>111</x:v>
      </x:c>
      <x:c r="R326" s="2"/>
      <x:c r="S326" s="2" t="s">
        <x:v>111</x:v>
      </x:c>
      <x:c r="T326" s="2">
        <x:v>20</x:v>
      </x:c>
      <x:c r="U326" s="2"/>
      <x:c r="V326" s="2"/>
      <x:c r="W326" s="2"/>
      <x:c r="X326" s="2" t="s">
        <x:v>269</x:v>
      </x:c>
      <x:c r="Y326" s="2" t="s">
        <x:v>270</x:v>
      </x:c>
      <x:c r="Z326" s="2" t="s">
        <x:v>271</x:v>
      </x:c>
    </x:row>
    <x:row r="327" ht="40.5">
      <x:c r="A327" s="2">
        <x:v>1687</x:v>
      </x:c>
      <x:c r="B327" s="2">
        <x:v>1201121</x:v>
      </x:c>
      <x:c r="C327" s="2">
        <x:v>160584</x:v>
      </x:c>
      <x:c r="D327" s="2">
        <x:v>18307</x:v>
      </x:c>
      <x:c r="E327" s="2" t="s">
        <x:v>163</x:v>
      </x:c>
      <x:c r="F327" s="2" t="s">
        <x:v>267</x:v>
      </x:c>
      <x:c r="G327" s="2" t="s">
        <x:v>129</x:v>
      </x:c>
      <x:c r="H327" s="2" t="s">
        <x:v>107</x:v>
      </x:c>
      <x:c r="I327" s="2" t="s">
        <x:v>167</x:v>
      </x:c>
      <x:c r="J327" s="2">
        <x:v>4</x:v>
      </x:c>
      <x:c r="K327" s="2" t="s">
        <x:v>109</x:v>
      </x:c>
      <x:c r="L327" s="2" t="s">
        <x:v>110</x:v>
      </x:c>
      <x:c r="M327" s="2"/>
      <x:c r="N327" s="2">
        <x:v>22000</x:v>
      </x:c>
      <x:c r="O327" s="2"/>
      <x:c r="P327" s="2"/>
      <x:c r="Q327" s="2" t="s">
        <x:v>111</x:v>
      </x:c>
      <x:c r="R327" s="2">
        <x:v>22000</x:v>
      </x:c>
      <x:c r="S327" s="2" t="s">
        <x:v>111</x:v>
      </x:c>
      <x:c r="T327" s="2">
        <x:v>20</x:v>
      </x:c>
      <x:c r="U327" s="2">
        <x:v>9</x:v>
      </x:c>
      <x:c r="V327" s="2"/>
      <x:c r="W327" s="2"/>
      <x:c r="X327" s="2" t="s">
        <x:v>272</x:v>
      </x:c>
      <x:c r="Y327" s="2" t="s">
        <x:v>113</x:v>
      </x:c>
      <x:c r="Z327" s="2" t="s">
        <x:v>114</x:v>
      </x:c>
    </x:row>
    <x:row r="328" ht="40.5">
      <x:c r="A328" s="2">
        <x:v>1690</x:v>
      </x:c>
      <x:c r="B328" s="2">
        <x:v>1201115</x:v>
      </x:c>
      <x:c r="C328" s="2">
        <x:v>160578</x:v>
      </x:c>
      <x:c r="D328" s="2">
        <x:v>18307</x:v>
      </x:c>
      <x:c r="E328" s="2" t="s">
        <x:v>163</x:v>
      </x:c>
      <x:c r="F328" s="2" t="s">
        <x:v>267</x:v>
      </x:c>
      <x:c r="G328" s="2" t="s">
        <x:v>129</x:v>
      </x:c>
      <x:c r="H328" s="2" t="s">
        <x:v>107</x:v>
      </x:c>
      <x:c r="I328" s="2" t="s">
        <x:v>167</x:v>
      </x:c>
      <x:c r="J328" s="2">
        <x:v>3</x:v>
      </x:c>
      <x:c r="K328" s="2" t="s">
        <x:v>109</x:v>
      </x:c>
      <x:c r="L328" s="2" t="s">
        <x:v>110</x:v>
      </x:c>
      <x:c r="M328" s="2" t="s">
        <x:v>161</x:v>
      </x:c>
      <x:c r="N328" s="2">
        <x:v>80000</x:v>
      </x:c>
      <x:c r="O328" s="2"/>
      <x:c r="P328" s="2"/>
      <x:c r="Q328" s="2" t="s">
        <x:v>111</x:v>
      </x:c>
      <x:c r="R328" s="2">
        <x:v>80000</x:v>
      </x:c>
      <x:c r="S328" s="2" t="s">
        <x:v>111</x:v>
      </x:c>
      <x:c r="T328" s="2">
        <x:v>20</x:v>
      </x:c>
      <x:c r="U328" s="2">
        <x:v>27</x:v>
      </x:c>
      <x:c r="V328" s="2"/>
      <x:c r="W328" s="2"/>
      <x:c r="X328" s="2" t="s">
        <x:v>272</x:v>
      </x:c>
      <x:c r="Y328" s="2" t="s">
        <x:v>123</x:v>
      </x:c>
      <x:c r="Z328" s="2" t="s">
        <x:v>162</x:v>
      </x:c>
    </x:row>
    <x:row r="329" ht="40.5">
      <x:c r="A329" s="2">
        <x:v>1691</x:v>
      </x:c>
      <x:c r="B329" s="2">
        <x:v>1201116</x:v>
      </x:c>
      <x:c r="C329" s="2">
        <x:v>160579</x:v>
      </x:c>
      <x:c r="D329" s="2">
        <x:v>18307</x:v>
      </x:c>
      <x:c r="E329" s="2" t="s">
        <x:v>163</x:v>
      </x:c>
      <x:c r="F329" s="2" t="s">
        <x:v>267</x:v>
      </x:c>
      <x:c r="G329" s="2" t="s">
        <x:v>129</x:v>
      </x:c>
      <x:c r="H329" s="2" t="s">
        <x:v>107</x:v>
      </x:c>
      <x:c r="I329" s="2" t="s">
        <x:v>167</x:v>
      </x:c>
      <x:c r="J329" s="2">
        <x:v>4</x:v>
      </x:c>
      <x:c r="K329" s="2" t="s">
        <x:v>109</x:v>
      </x:c>
      <x:c r="L329" s="2" t="s">
        <x:v>110</x:v>
      </x:c>
      <x:c r="M329" s="2"/>
      <x:c r="N329" s="2">
        <x:v>50000</x:v>
      </x:c>
      <x:c r="O329" s="2">
        <x:v>38000</x:v>
      </x:c>
      <x:c r="P329" s="2">
        <x:v>77000</x:v>
      </x:c>
      <x:c r="Q329" s="2" t="s">
        <x:v>111</x:v>
      </x:c>
      <x:c r="R329" s="2">
        <x:v>50000</x:v>
      </x:c>
      <x:c r="S329" s="2" t="s">
        <x:v>111</x:v>
      </x:c>
      <x:c r="T329" s="2">
        <x:v>20</x:v>
      </x:c>
      <x:c r="U329" s="2">
        <x:v>27</x:v>
      </x:c>
      <x:c r="V329" s="2"/>
      <x:c r="W329" s="2"/>
      <x:c r="X329" s="2" t="s">
        <x:v>272</x:v>
      </x:c>
      <x:c r="Y329" s="2" t="s">
        <x:v>113</x:v>
      </x:c>
      <x:c r="Z329" s="2" t="s">
        <x:v>114</x:v>
      </x:c>
    </x:row>
    <x:row r="330" ht="40.5">
      <x:c r="A330" s="2">
        <x:v>1692</x:v>
      </x:c>
      <x:c r="B330" s="2">
        <x:v>1201130</x:v>
      </x:c>
      <x:c r="C330" s="2">
        <x:v>160593</x:v>
      </x:c>
      <x:c r="D330" s="2">
        <x:v>18307</x:v>
      </x:c>
      <x:c r="E330" s="2" t="s">
        <x:v>163</x:v>
      </x:c>
      <x:c r="F330" s="2" t="s">
        <x:v>267</x:v>
      </x:c>
      <x:c r="G330" s="2" t="s">
        <x:v>129</x:v>
      </x:c>
      <x:c r="H330" s="2" t="s">
        <x:v>107</x:v>
      </x:c>
      <x:c r="I330" s="2" t="s">
        <x:v>167</x:v>
      </x:c>
      <x:c r="J330" s="2">
        <x:v>4</x:v>
      </x:c>
      <x:c r="K330" s="2" t="s">
        <x:v>109</x:v>
      </x:c>
      <x:c r="L330" s="2" t="s">
        <x:v>110</x:v>
      </x:c>
      <x:c r="M330" s="2"/>
      <x:c r="N330" s="2">
        <x:v>34000</x:v>
      </x:c>
      <x:c r="O330" s="2"/>
      <x:c r="P330" s="2"/>
      <x:c r="Q330" s="2" t="s">
        <x:v>111</x:v>
      </x:c>
      <x:c r="R330" s="2">
        <x:v>34000</x:v>
      </x:c>
      <x:c r="S330" s="2" t="s">
        <x:v>111</x:v>
      </x:c>
      <x:c r="T330" s="2">
        <x:v>20</x:v>
      </x:c>
      <x:c r="U330" s="2">
        <x:v>16</x:v>
      </x:c>
      <x:c r="V330" s="2"/>
      <x:c r="W330" s="2"/>
      <x:c r="X330" s="2" t="s">
        <x:v>272</x:v>
      </x:c>
      <x:c r="Y330" s="2" t="s">
        <x:v>113</x:v>
      </x:c>
      <x:c r="Z330" s="2" t="s">
        <x:v>114</x:v>
      </x:c>
    </x:row>
    <x:row r="331" ht="40.5">
      <x:c r="A331" s="2">
        <x:v>1696</x:v>
      </x:c>
      <x:c r="B331" s="2">
        <x:v>1201119</x:v>
      </x:c>
      <x:c r="C331" s="2">
        <x:v>160582</x:v>
      </x:c>
      <x:c r="D331" s="2">
        <x:v>18307</x:v>
      </x:c>
      <x:c r="E331" s="2" t="s">
        <x:v>163</x:v>
      </x:c>
      <x:c r="F331" s="2" t="s">
        <x:v>267</x:v>
      </x:c>
      <x:c r="G331" s="2" t="s">
        <x:v>129</x:v>
      </x:c>
      <x:c r="H331" s="2" t="s">
        <x:v>107</x:v>
      </x:c>
      <x:c r="I331" s="2" t="s">
        <x:v>167</x:v>
      </x:c>
      <x:c r="J331" s="2">
        <x:v>4</x:v>
      </x:c>
      <x:c r="K331" s="2" t="s">
        <x:v>109</x:v>
      </x:c>
      <x:c r="L331" s="2" t="s">
        <x:v>110</x:v>
      </x:c>
      <x:c r="M331" s="2"/>
      <x:c r="N331" s="2">
        <x:v>22700</x:v>
      </x:c>
      <x:c r="O331" s="2"/>
      <x:c r="P331" s="2"/>
      <x:c r="Q331" s="2" t="s">
        <x:v>111</x:v>
      </x:c>
      <x:c r="R331" s="2">
        <x:v>22700</x:v>
      </x:c>
      <x:c r="S331" s="2" t="s">
        <x:v>111</x:v>
      </x:c>
      <x:c r="T331" s="2">
        <x:v>20</x:v>
      </x:c>
      <x:c r="U331" s="2">
        <x:v>9</x:v>
      </x:c>
      <x:c r="V331" s="2"/>
      <x:c r="W331" s="2"/>
      <x:c r="X331" s="2" t="s">
        <x:v>272</x:v>
      </x:c>
      <x:c r="Y331" s="2" t="s">
        <x:v>113</x:v>
      </x:c>
      <x:c r="Z331" s="2" t="s">
        <x:v>114</x:v>
      </x:c>
    </x:row>
    <x:row r="332" ht="40.5">
      <x:c r="A332" s="2">
        <x:v>1699</x:v>
      </x:c>
      <x:c r="B332" s="2">
        <x:v>1201120</x:v>
      </x:c>
      <x:c r="C332" s="2">
        <x:v>160583</x:v>
      </x:c>
      <x:c r="D332" s="2">
        <x:v>18307</x:v>
      </x:c>
      <x:c r="E332" s="2" t="s">
        <x:v>163</x:v>
      </x:c>
      <x:c r="F332" s="2" t="s">
        <x:v>267</x:v>
      </x:c>
      <x:c r="G332" s="2" t="s">
        <x:v>129</x:v>
      </x:c>
      <x:c r="H332" s="2" t="s">
        <x:v>107</x:v>
      </x:c>
      <x:c r="I332" s="2" t="s">
        <x:v>167</x:v>
      </x:c>
      <x:c r="J332" s="2">
        <x:v>4</x:v>
      </x:c>
      <x:c r="K332" s="2" t="s">
        <x:v>109</x:v>
      </x:c>
      <x:c r="L332" s="2" t="s">
        <x:v>110</x:v>
      </x:c>
      <x:c r="M332" s="2"/>
      <x:c r="N332" s="2">
        <x:v>15500</x:v>
      </x:c>
      <x:c r="O332" s="2"/>
      <x:c r="P332" s="2"/>
      <x:c r="Q332" s="2" t="s">
        <x:v>111</x:v>
      </x:c>
      <x:c r="R332" s="2">
        <x:v>15500</x:v>
      </x:c>
      <x:c r="S332" s="2" t="s">
        <x:v>111</x:v>
      </x:c>
      <x:c r="T332" s="2">
        <x:v>20</x:v>
      </x:c>
      <x:c r="U332" s="2">
        <x:v>9</x:v>
      </x:c>
      <x:c r="V332" s="2"/>
      <x:c r="W332" s="2"/>
      <x:c r="X332" s="2" t="s">
        <x:v>272</x:v>
      </x:c>
      <x:c r="Y332" s="2" t="s">
        <x:v>113</x:v>
      </x:c>
      <x:c r="Z332" s="2" t="s">
        <x:v>114</x:v>
      </x:c>
    </x:row>
    <x:row r="333" ht="40.5">
      <x:c r="A333" s="2">
        <x:v>1702</x:v>
      </x:c>
      <x:c r="B333" s="2">
        <x:v>1201107</x:v>
      </x:c>
      <x:c r="C333" s="2">
        <x:v>160570</x:v>
      </x:c>
      <x:c r="D333" s="2">
        <x:v>18307</x:v>
      </x:c>
      <x:c r="E333" s="2" t="s">
        <x:v>163</x:v>
      </x:c>
      <x:c r="F333" s="2" t="s">
        <x:v>267</x:v>
      </x:c>
      <x:c r="G333" s="2" t="s">
        <x:v>129</x:v>
      </x:c>
      <x:c r="H333" s="2" t="s">
        <x:v>107</x:v>
      </x:c>
      <x:c r="I333" s="2" t="s">
        <x:v>167</x:v>
      </x:c>
      <x:c r="J333" s="2">
        <x:v>3</x:v>
      </x:c>
      <x:c r="K333" s="2" t="s">
        <x:v>109</x:v>
      </x:c>
      <x:c r="L333" s="2" t="s">
        <x:v>110</x:v>
      </x:c>
      <x:c r="M333" s="2"/>
      <x:c r="N333" s="2">
        <x:v>16000</x:v>
      </x:c>
      <x:c r="O333" s="2">
        <x:v>12000</x:v>
      </x:c>
      <x:c r="P333" s="2">
        <x:v>21000</x:v>
      </x:c>
      <x:c r="Q333" s="2" t="s">
        <x:v>111</x:v>
      </x:c>
      <x:c r="R333" s="2">
        <x:v>16000</x:v>
      </x:c>
      <x:c r="S333" s="2" t="s">
        <x:v>111</x:v>
      </x:c>
      <x:c r="T333" s="2">
        <x:v>20</x:v>
      </x:c>
      <x:c r="U333" s="2">
        <x:v>6.8</x:v>
      </x:c>
      <x:c r="V333" s="2"/>
      <x:c r="W333" s="2"/>
      <x:c r="X333" s="2" t="s">
        <x:v>272</x:v>
      </x:c>
      <x:c r="Y333" s="2" t="s">
        <x:v>113</x:v>
      </x:c>
      <x:c r="Z333" s="2" t="s">
        <x:v>114</x:v>
      </x:c>
    </x:row>
    <x:row r="334" ht="27">
      <x:c r="A334" s="2">
        <x:v>1705</x:v>
      </x:c>
      <x:c r="B334" s="2">
        <x:v>2314542</x:v>
      </x:c>
      <x:c r="C334" s="2">
        <x:v>2781646</x:v>
      </x:c>
      <x:c r="D334" s="2">
        <x:v>52818</x:v>
      </x:c>
      <x:c r="E334" s="2" t="s">
        <x:v>163</x:v>
      </x:c>
      <x:c r="F334" s="2" t="s">
        <x:v>267</x:v>
      </x:c>
      <x:c r="G334" s="2" t="s">
        <x:v>134</x:v>
      </x:c>
      <x:c r="H334" s="2" t="s">
        <x:v>135</x:v>
      </x:c>
      <x:c r="I334" s="2" t="s">
        <x:v>108</x:v>
      </x:c>
      <x:c r="J334" s="2">
        <x:v>1</x:v>
      </x:c>
      <x:c r="K334" s="2" t="s">
        <x:v>117</x:v>
      </x:c>
      <x:c r="L334" s="2" t="s">
        <x:v>110</x:v>
      </x:c>
      <x:c r="M334" s="2"/>
      <x:c r="N334" s="2">
        <x:v>47</x:v>
      </x:c>
      <x:c r="O334" s="2">
        <x:v>38</x:v>
      </x:c>
      <x:c r="P334" s="2">
        <x:v>63</x:v>
      </x:c>
      <x:c r="Q334" s="2" t="s">
        <x:v>121</x:v>
      </x:c>
      <x:c r="R334" s="2">
        <x:v>47</x:v>
      </x:c>
      <x:c r="S334" s="2" t="s">
        <x:v>121</x:v>
      </x:c>
      <x:c r="T334" s="2">
        <x:v>20</x:v>
      </x:c>
      <x:c r="U334" s="2">
        <x:v>18</x:v>
      </x:c>
      <x:c r="V334" s="2"/>
      <x:c r="W334" s="2"/>
      <x:c r="X334" s="2" t="s">
        <x:v>273</x:v>
      </x:c>
      <x:c r="Y334" s="2" t="s">
        <x:v>113</x:v>
      </x:c>
      <x:c r="Z334" s="2" t="s">
        <x:v>114</x:v>
      </x:c>
    </x:row>
    <x:row r="335" ht="27">
      <x:c r="A335" s="2">
        <x:v>1706</x:v>
      </x:c>
      <x:c r="B335" s="2">
        <x:v>2314542</x:v>
      </x:c>
      <x:c r="C335" s="2">
        <x:v>2781647</x:v>
      </x:c>
      <x:c r="D335" s="2">
        <x:v>52818</x:v>
      </x:c>
      <x:c r="E335" s="2" t="s">
        <x:v>163</x:v>
      </x:c>
      <x:c r="F335" s="2" t="s">
        <x:v>267</x:v>
      </x:c>
      <x:c r="G335" s="2" t="s">
        <x:v>134</x:v>
      </x:c>
      <x:c r="H335" s="2" t="s">
        <x:v>135</x:v>
      </x:c>
      <x:c r="I335" s="2" t="s">
        <x:v>108</x:v>
      </x:c>
      <x:c r="J335" s="2">
        <x:v>2</x:v>
      </x:c>
      <x:c r="K335" s="2" t="s">
        <x:v>117</x:v>
      </x:c>
      <x:c r="L335" s="2" t="s">
        <x:v>110</x:v>
      </x:c>
      <x:c r="M335" s="2"/>
      <x:c r="N335" s="2">
        <x:v>16</x:v>
      </x:c>
      <x:c r="O335" s="2">
        <x:v>13</x:v>
      </x:c>
      <x:c r="P335" s="2">
        <x:v>21</x:v>
      </x:c>
      <x:c r="Q335" s="2" t="s">
        <x:v>121</x:v>
      </x:c>
      <x:c r="R335" s="2">
        <x:v>16</x:v>
      </x:c>
      <x:c r="S335" s="2" t="s">
        <x:v>121</x:v>
      </x:c>
      <x:c r="T335" s="2">
        <x:v>20</x:v>
      </x:c>
      <x:c r="U335" s="2">
        <x:v>18</x:v>
      </x:c>
      <x:c r="V335" s="2"/>
      <x:c r="W335" s="2"/>
      <x:c r="X335" s="2" t="s">
        <x:v>273</x:v>
      </x:c>
      <x:c r="Y335" s="2" t="s">
        <x:v>113</x:v>
      </x:c>
      <x:c r="Z335" s="2" t="s">
        <x:v>114</x:v>
      </x:c>
    </x:row>
    <x:row r="336" ht="40.5">
      <x:c r="A336" s="2">
        <x:v>1709</x:v>
      </x:c>
      <x:c r="B336" s="2">
        <x:v>1159875</x:v>
      </x:c>
      <x:c r="C336" s="2">
        <x:v>142884</x:v>
      </x:c>
      <x:c r="D336" s="2">
        <x:v>14137</x:v>
      </x:c>
      <x:c r="E336" s="2" t="s">
        <x:v>163</x:v>
      </x:c>
      <x:c r="F336" s="2" t="s">
        <x:v>267</x:v>
      </x:c>
      <x:c r="G336" s="2" t="s">
        <x:v>132</x:v>
      </x:c>
      <x:c r="H336" s="2" t="s">
        <x:v>107</x:v>
      </x:c>
      <x:c r="I336" s="2" t="s">
        <x:v>108</x:v>
      </x:c>
      <x:c r="J336" s="2">
        <x:v>4</x:v>
      </x:c>
      <x:c r="K336" s="2" t="s">
        <x:v>126</x:v>
      </x:c>
      <x:c r="L336" s="2" t="s">
        <x:v>110</x:v>
      </x:c>
      <x:c r="M336" s="2"/>
      <x:c r="N336" s="2">
        <x:v>5900</x:v>
      </x:c>
      <x:c r="O336" s="2"/>
      <x:c r="P336" s="2"/>
      <x:c r="Q336" s="2" t="s">
        <x:v>111</x:v>
      </x:c>
      <x:c r="R336" s="2">
        <x:v>5900</x:v>
      </x:c>
      <x:c r="S336" s="2" t="s">
        <x:v>111</x:v>
      </x:c>
      <x:c r="T336" s="2"/>
      <x:c r="U336" s="2"/>
      <x:c r="V336" s="2"/>
      <x:c r="W336" s="2"/>
      <x:c r="X336" s="2" t="s">
        <x:v>133</x:v>
      </x:c>
      <x:c r="Y336" s="2" t="s">
        <x:v>113</x:v>
      </x:c>
      <x:c r="Z336" s="2" t="s">
        <x:v>114</x:v>
      </x:c>
    </x:row>
    <x:row r="337" ht="27">
      <x:c r="A337" s="2">
        <x:v>1712</x:v>
      </x:c>
      <x:c r="B337" s="2">
        <x:v>2314544</x:v>
      </x:c>
      <x:c r="C337" s="2">
        <x:v>2781653</x:v>
      </x:c>
      <x:c r="D337" s="2">
        <x:v>52818</x:v>
      </x:c>
      <x:c r="E337" s="2" t="s">
        <x:v>163</x:v>
      </x:c>
      <x:c r="F337" s="2" t="s">
        <x:v>267</x:v>
      </x:c>
      <x:c r="G337" s="2" t="s">
        <x:v>134</x:v>
      </x:c>
      <x:c r="H337" s="2" t="s">
        <x:v>135</x:v>
      </x:c>
      <x:c r="I337" s="2" t="s">
        <x:v>108</x:v>
      </x:c>
      <x:c r="J337" s="2">
        <x:v>2</x:v>
      </x:c>
      <x:c r="K337" s="2" t="s">
        <x:v>117</x:v>
      </x:c>
      <x:c r="L337" s="2" t="s">
        <x:v>110</x:v>
      </x:c>
      <x:c r="M337" s="2"/>
      <x:c r="N337" s="2">
        <x:v>10</x:v>
      </x:c>
      <x:c r="O337" s="2">
        <x:v>8.6999999999999993</x:v>
      </x:c>
      <x:c r="P337" s="2">
        <x:v>12</x:v>
      </x:c>
      <x:c r="Q337" s="2" t="s">
        <x:v>121</x:v>
      </x:c>
      <x:c r="R337" s="2">
        <x:v>10</x:v>
      </x:c>
      <x:c r="S337" s="2" t="s">
        <x:v>121</x:v>
      </x:c>
      <x:c r="T337" s="2">
        <x:v>20</x:v>
      </x:c>
      <x:c r="U337" s="2">
        <x:v>18</x:v>
      </x:c>
      <x:c r="V337" s="2"/>
      <x:c r="W337" s="2"/>
      <x:c r="X337" s="2" t="s">
        <x:v>273</x:v>
      </x:c>
      <x:c r="Y337" s="2" t="s">
        <x:v>113</x:v>
      </x:c>
      <x:c r="Z337" s="2" t="s">
        <x:v>114</x:v>
      </x:c>
    </x:row>
    <x:row r="338" ht="27">
      <x:c r="A338" s="2">
        <x:v>1713</x:v>
      </x:c>
      <x:c r="B338" s="2">
        <x:v>2314544</x:v>
      </x:c>
      <x:c r="C338" s="2">
        <x:v>2781652</x:v>
      </x:c>
      <x:c r="D338" s="2">
        <x:v>52818</x:v>
      </x:c>
      <x:c r="E338" s="2" t="s">
        <x:v>163</x:v>
      </x:c>
      <x:c r="F338" s="2" t="s">
        <x:v>267</x:v>
      </x:c>
      <x:c r="G338" s="2" t="s">
        <x:v>134</x:v>
      </x:c>
      <x:c r="H338" s="2" t="s">
        <x:v>135</x:v>
      </x:c>
      <x:c r="I338" s="2" t="s">
        <x:v>108</x:v>
      </x:c>
      <x:c r="J338" s="2">
        <x:v>1</x:v>
      </x:c>
      <x:c r="K338" s="2" t="s">
        <x:v>117</x:v>
      </x:c>
      <x:c r="L338" s="2" t="s">
        <x:v>110</x:v>
      </x:c>
      <x:c r="M338" s="2"/>
      <x:c r="N338" s="2">
        <x:v>20</x:v>
      </x:c>
      <x:c r="O338" s="2">
        <x:v>17</x:v>
      </x:c>
      <x:c r="P338" s="2">
        <x:v>23</x:v>
      </x:c>
      <x:c r="Q338" s="2" t="s">
        <x:v>121</x:v>
      </x:c>
      <x:c r="R338" s="2">
        <x:v>20</x:v>
      </x:c>
      <x:c r="S338" s="2" t="s">
        <x:v>121</x:v>
      </x:c>
      <x:c r="T338" s="2">
        <x:v>20</x:v>
      </x:c>
      <x:c r="U338" s="2">
        <x:v>18</x:v>
      </x:c>
      <x:c r="V338" s="2"/>
      <x:c r="W338" s="2"/>
      <x:c r="X338" s="2" t="s">
        <x:v>273</x:v>
      </x:c>
      <x:c r="Y338" s="2" t="s">
        <x:v>113</x:v>
      </x:c>
      <x:c r="Z338" s="2" t="s">
        <x:v>114</x:v>
      </x:c>
    </x:row>
    <x:row r="339" ht="27">
      <x:c r="A339" s="2">
        <x:v>1715</x:v>
      </x:c>
      <x:c r="B339" s="2">
        <x:v>2114272</x:v>
      </x:c>
      <x:c r="C339" s="2">
        <x:v>2208825</x:v>
      </x:c>
      <x:c r="D339" s="2">
        <x:v>167149</x:v>
      </x:c>
      <x:c r="E339" s="2" t="s">
        <x:v>163</x:v>
      </x:c>
      <x:c r="F339" s="2" t="s">
        <x:v>267</x:v>
      </x:c>
      <x:c r="G339" s="2" t="s">
        <x:v>134</x:v>
      </x:c>
      <x:c r="H339" s="2" t="s">
        <x:v>135</x:v>
      </x:c>
      <x:c r="I339" s="2" t="s">
        <x:v>159</x:v>
      </x:c>
      <x:c r="J339" s="2">
        <x:v>2</x:v>
      </x:c>
      <x:c r="K339" s="2" t="s">
        <x:v>117</x:v>
      </x:c>
      <x:c r="L339" s="2" t="s">
        <x:v>110</x:v>
      </x:c>
      <x:c r="M339" s="2"/>
      <x:c r="N339" s="2">
        <x:v>10.6</x:v>
      </x:c>
      <x:c r="O339" s="2">
        <x:v>7.2</x:v>
      </x:c>
      <x:c r="P339" s="2">
        <x:v>26</x:v>
      </x:c>
      <x:c r="Q339" s="2" t="s">
        <x:v>121</x:v>
      </x:c>
      <x:c r="R339" s="2">
        <x:v>10.6</x:v>
      </x:c>
      <x:c r="S339" s="2" t="s">
        <x:v>121</x:v>
      </x:c>
      <x:c r="T339" s="2">
        <x:v>25</x:v>
      </x:c>
      <x:c r="U339" s="2"/>
      <x:c r="V339" s="2">
        <x:v>8.1</x:v>
      </x:c>
      <x:c r="W339" s="2"/>
      <x:c r="X339" s="2" t="s">
        <x:v>274</x:v>
      </x:c>
      <x:c r="Y339" s="2" t="s">
        <x:v>113</x:v>
      </x:c>
      <x:c r="Z339" s="2" t="s">
        <x:v>114</x:v>
      </x:c>
    </x:row>
    <x:row r="340" ht="27">
      <x:c r="A340" s="2">
        <x:v>1716</x:v>
      </x:c>
      <x:c r="B340" s="2">
        <x:v>2114255</x:v>
      </x:c>
      <x:c r="C340" s="2">
        <x:v>2208798</x:v>
      </x:c>
      <x:c r="D340" s="2">
        <x:v>167149</x:v>
      </x:c>
      <x:c r="E340" s="2" t="s">
        <x:v>163</x:v>
      </x:c>
      <x:c r="F340" s="2" t="s">
        <x:v>267</x:v>
      </x:c>
      <x:c r="G340" s="2" t="s">
        <x:v>134</x:v>
      </x:c>
      <x:c r="H340" s="2" t="s">
        <x:v>135</x:v>
      </x:c>
      <x:c r="I340" s="2" t="s">
        <x:v>159</x:v>
      </x:c>
      <x:c r="J340" s="2">
        <x:v>2</x:v>
      </x:c>
      <x:c r="K340" s="2" t="s">
        <x:v>117</x:v>
      </x:c>
      <x:c r="L340" s="2" t="s">
        <x:v>110</x:v>
      </x:c>
      <x:c r="M340" s="2"/>
      <x:c r="N340" s="2">
        <x:v>11.9</x:v>
      </x:c>
      <x:c r="O340" s="2">
        <x:v>7.2</x:v>
      </x:c>
      <x:c r="P340" s="2">
        <x:v>26</x:v>
      </x:c>
      <x:c r="Q340" s="2" t="s">
        <x:v>121</x:v>
      </x:c>
      <x:c r="R340" s="2">
        <x:v>11.9</x:v>
      </x:c>
      <x:c r="S340" s="2" t="s">
        <x:v>121</x:v>
      </x:c>
      <x:c r="T340" s="2">
        <x:v>25</x:v>
      </x:c>
      <x:c r="U340" s="2"/>
      <x:c r="V340" s="2"/>
      <x:c r="W340" s="2"/>
      <x:c r="X340" s="2" t="s">
        <x:v>274</x:v>
      </x:c>
      <x:c r="Y340" s="2" t="s">
        <x:v>113</x:v>
      </x:c>
      <x:c r="Z340" s="2" t="s">
        <x:v>114</x:v>
      </x:c>
    </x:row>
    <x:row r="341" ht="40.5">
      <x:c r="A341" s="2">
        <x:v>1717</x:v>
      </x:c>
      <x:c r="B341" s="2">
        <x:v>1201124</x:v>
      </x:c>
      <x:c r="C341" s="2">
        <x:v>160587</x:v>
      </x:c>
      <x:c r="D341" s="2">
        <x:v>18307</x:v>
      </x:c>
      <x:c r="E341" s="2" t="s">
        <x:v>163</x:v>
      </x:c>
      <x:c r="F341" s="2" t="s">
        <x:v>267</x:v>
      </x:c>
      <x:c r="G341" s="2" t="s">
        <x:v>129</x:v>
      </x:c>
      <x:c r="H341" s="2" t="s">
        <x:v>107</x:v>
      </x:c>
      <x:c r="I341" s="2" t="s">
        <x:v>167</x:v>
      </x:c>
      <x:c r="J341" s="2">
        <x:v>4</x:v>
      </x:c>
      <x:c r="K341" s="2" t="s">
        <x:v>109</x:v>
      </x:c>
      <x:c r="L341" s="2" t="s">
        <x:v>110</x:v>
      </x:c>
      <x:c r="M341" s="2"/>
      <x:c r="N341" s="2">
        <x:v>21000</x:v>
      </x:c>
      <x:c r="O341" s="2"/>
      <x:c r="P341" s="2"/>
      <x:c r="Q341" s="2" t="s">
        <x:v>111</x:v>
      </x:c>
      <x:c r="R341" s="2">
        <x:v>21000</x:v>
      </x:c>
      <x:c r="S341" s="2" t="s">
        <x:v>111</x:v>
      </x:c>
      <x:c r="T341" s="2">
        <x:v>20</x:v>
      </x:c>
      <x:c r="U341" s="2">
        <x:v>9</x:v>
      </x:c>
      <x:c r="V341" s="2"/>
      <x:c r="W341" s="2"/>
      <x:c r="X341" s="2" t="s">
        <x:v>272</x:v>
      </x:c>
      <x:c r="Y341" s="2" t="s">
        <x:v>113</x:v>
      </x:c>
      <x:c r="Z341" s="2" t="s">
        <x:v>114</x:v>
      </x:c>
    </x:row>
    <x:row r="342" ht="40.5">
      <x:c r="A342" s="2">
        <x:v>1723</x:v>
      </x:c>
      <x:c r="B342" s="2">
        <x:v>2299146</x:v>
      </x:c>
      <x:c r="C342" s="2">
        <x:v>2706683</x:v>
      </x:c>
      <x:c r="D342" s="2">
        <x:v>5185</x:v>
      </x:c>
      <x:c r="E342" s="2" t="s">
        <x:v>163</x:v>
      </x:c>
      <x:c r="F342" s="2" t="s">
        <x:v>267</x:v>
      </x:c>
      <x:c r="G342" s="2" t="s">
        <x:v>129</x:v>
      </x:c>
      <x:c r="H342" s="2" t="s">
        <x:v>107</x:v>
      </x:c>
      <x:c r="I342" s="2" t="s">
        <x:v>108</x:v>
      </x:c>
      <x:c r="J342" s="2">
        <x:v>4</x:v>
      </x:c>
      <x:c r="K342" s="2" t="s">
        <x:v>117</x:v>
      </x:c>
      <x:c r="L342" s="2" t="s">
        <x:v>110</x:v>
      </x:c>
      <x:c r="M342" s="2"/>
      <x:c r="N342" s="2">
        <x:v>16</x:v>
      </x:c>
      <x:c r="O342" s="2">
        <x:v>11</x:v>
      </x:c>
      <x:c r="P342" s="2">
        <x:v>23</x:v>
      </x:c>
      <x:c r="Q342" s="2" t="s">
        <x:v>121</x:v>
      </x:c>
      <x:c r="R342" s="2">
        <x:v>16</x:v>
      </x:c>
      <x:c r="S342" s="2" t="s">
        <x:v>121</x:v>
      </x:c>
      <x:c r="T342" s="2">
        <x:v>21</x:v>
      </x:c>
      <x:c r="U342" s="2">
        <x:v>7</x:v>
      </x:c>
      <x:c r="V342" s="2">
        <x:v>7.8</x:v>
      </x:c>
      <x:c r="W342" s="2"/>
      <x:c r="X342" s="2" t="s">
        <x:v>225</x:v>
      </x:c>
      <x:c r="Y342" s="2" t="s">
        <x:v>113</x:v>
      </x:c>
      <x:c r="Z342" s="2" t="s">
        <x:v>114</x:v>
      </x:c>
    </x:row>
    <x:row r="343" ht="40.5">
      <x:c r="A343" s="2">
        <x:v>1724</x:v>
      </x:c>
      <x:c r="B343" s="2">
        <x:v>1201105</x:v>
      </x:c>
      <x:c r="C343" s="2">
        <x:v>160568</x:v>
      </x:c>
      <x:c r="D343" s="2">
        <x:v>18307</x:v>
      </x:c>
      <x:c r="E343" s="2" t="s">
        <x:v>163</x:v>
      </x:c>
      <x:c r="F343" s="2" t="s">
        <x:v>267</x:v>
      </x:c>
      <x:c r="G343" s="2" t="s">
        <x:v>129</x:v>
      </x:c>
      <x:c r="H343" s="2" t="s">
        <x:v>107</x:v>
      </x:c>
      <x:c r="I343" s="2" t="s">
        <x:v>167</x:v>
      </x:c>
      <x:c r="J343" s="2">
        <x:v>1</x:v>
      </x:c>
      <x:c r="K343" s="2" t="s">
        <x:v>109</x:v>
      </x:c>
      <x:c r="L343" s="2" t="s">
        <x:v>110</x:v>
      </x:c>
      <x:c r="M343" s="2"/>
      <x:c r="N343" s="2">
        <x:v>51000</x:v>
      </x:c>
      <x:c r="O343" s="2">
        <x:v>36000</x:v>
      </x:c>
      <x:c r="P343" s="2">
        <x:v>94000</x:v>
      </x:c>
      <x:c r="Q343" s="2" t="s">
        <x:v>111</x:v>
      </x:c>
      <x:c r="R343" s="2">
        <x:v>51000</x:v>
      </x:c>
      <x:c r="S343" s="2" t="s">
        <x:v>111</x:v>
      </x:c>
      <x:c r="T343" s="2">
        <x:v>20</x:v>
      </x:c>
      <x:c r="U343" s="2">
        <x:v>6.8</x:v>
      </x:c>
      <x:c r="V343" s="2"/>
      <x:c r="W343" s="2"/>
      <x:c r="X343" s="2" t="s">
        <x:v>272</x:v>
      </x:c>
      <x:c r="Y343" s="2" t="s">
        <x:v>113</x:v>
      </x:c>
      <x:c r="Z343" s="2" t="s">
        <x:v>114</x:v>
      </x:c>
    </x:row>
    <x:row r="344" ht="40.5">
      <x:c r="A344" s="2">
        <x:v>1726</x:v>
      </x:c>
      <x:c r="B344" s="2">
        <x:v>1201129</x:v>
      </x:c>
      <x:c r="C344" s="2">
        <x:v>160592</x:v>
      </x:c>
      <x:c r="D344" s="2">
        <x:v>18307</x:v>
      </x:c>
      <x:c r="E344" s="2" t="s">
        <x:v>163</x:v>
      </x:c>
      <x:c r="F344" s="2" t="s">
        <x:v>267</x:v>
      </x:c>
      <x:c r="G344" s="2" t="s">
        <x:v>129</x:v>
      </x:c>
      <x:c r="H344" s="2" t="s">
        <x:v>107</x:v>
      </x:c>
      <x:c r="I344" s="2" t="s">
        <x:v>167</x:v>
      </x:c>
      <x:c r="J344" s="2">
        <x:v>4</x:v>
      </x:c>
      <x:c r="K344" s="2" t="s">
        <x:v>109</x:v>
      </x:c>
      <x:c r="L344" s="2" t="s">
        <x:v>110</x:v>
      </x:c>
      <x:c r="M344" s="2"/>
      <x:c r="N344" s="2">
        <x:v>54600</x:v>
      </x:c>
      <x:c r="O344" s="2"/>
      <x:c r="P344" s="2"/>
      <x:c r="Q344" s="2" t="s">
        <x:v>111</x:v>
      </x:c>
      <x:c r="R344" s="2">
        <x:v>54600</x:v>
      </x:c>
      <x:c r="S344" s="2" t="s">
        <x:v>111</x:v>
      </x:c>
      <x:c r="T344" s="2">
        <x:v>20</x:v>
      </x:c>
      <x:c r="U344" s="2">
        <x:v>15</x:v>
      </x:c>
      <x:c r="V344" s="2"/>
      <x:c r="W344" s="2"/>
      <x:c r="X344" s="2" t="s">
        <x:v>272</x:v>
      </x:c>
      <x:c r="Y344" s="2" t="s">
        <x:v>113</x:v>
      </x:c>
      <x:c r="Z344" s="2" t="s">
        <x:v>114</x:v>
      </x:c>
    </x:row>
    <x:row r="345" ht="40.5">
      <x:c r="A345" s="2">
        <x:v>1735</x:v>
      </x:c>
      <x:c r="B345" s="2">
        <x:v>1201131</x:v>
      </x:c>
      <x:c r="C345" s="2">
        <x:v>160594</x:v>
      </x:c>
      <x:c r="D345" s="2">
        <x:v>18307</x:v>
      </x:c>
      <x:c r="E345" s="2" t="s">
        <x:v>163</x:v>
      </x:c>
      <x:c r="F345" s="2" t="s">
        <x:v>267</x:v>
      </x:c>
      <x:c r="G345" s="2" t="s">
        <x:v>129</x:v>
      </x:c>
      <x:c r="H345" s="2" t="s">
        <x:v>107</x:v>
      </x:c>
      <x:c r="I345" s="2" t="s">
        <x:v>167</x:v>
      </x:c>
      <x:c r="J345" s="2">
        <x:v>4</x:v>
      </x:c>
      <x:c r="K345" s="2" t="s">
        <x:v>109</x:v>
      </x:c>
      <x:c r="L345" s="2" t="s">
        <x:v>110</x:v>
      </x:c>
      <x:c r="M345" s="2"/>
      <x:c r="N345" s="2">
        <x:v>15000</x:v>
      </x:c>
      <x:c r="O345" s="2"/>
      <x:c r="P345" s="2"/>
      <x:c r="Q345" s="2" t="s">
        <x:v>111</x:v>
      </x:c>
      <x:c r="R345" s="2">
        <x:v>15000</x:v>
      </x:c>
      <x:c r="S345" s="2" t="s">
        <x:v>111</x:v>
      </x:c>
      <x:c r="T345" s="2">
        <x:v>20</x:v>
      </x:c>
      <x:c r="U345" s="2">
        <x:v>16</x:v>
      </x:c>
      <x:c r="V345" s="2"/>
      <x:c r="W345" s="2"/>
      <x:c r="X345" s="2" t="s">
        <x:v>272</x:v>
      </x:c>
      <x:c r="Y345" s="2" t="s">
        <x:v>113</x:v>
      </x:c>
      <x:c r="Z345" s="2" t="s">
        <x:v>114</x:v>
      </x:c>
    </x:row>
    <x:row r="346" ht="40.5">
      <x:c r="A346" s="2">
        <x:v>1737</x:v>
      </x:c>
      <x:c r="B346" s="2">
        <x:v>1201118</x:v>
      </x:c>
      <x:c r="C346" s="2">
        <x:v>160581</x:v>
      </x:c>
      <x:c r="D346" s="2">
        <x:v>18307</x:v>
      </x:c>
      <x:c r="E346" s="2" t="s">
        <x:v>163</x:v>
      </x:c>
      <x:c r="F346" s="2" t="s">
        <x:v>267</x:v>
      </x:c>
      <x:c r="G346" s="2" t="s">
        <x:v>129</x:v>
      </x:c>
      <x:c r="H346" s="2" t="s">
        <x:v>107</x:v>
      </x:c>
      <x:c r="I346" s="2" t="s">
        <x:v>167</x:v>
      </x:c>
      <x:c r="J346" s="2">
        <x:v>4</x:v>
      </x:c>
      <x:c r="K346" s="2" t="s">
        <x:v>109</x:v>
      </x:c>
      <x:c r="L346" s="2" t="s">
        <x:v>110</x:v>
      </x:c>
      <x:c r="M346" s="2"/>
      <x:c r="N346" s="2">
        <x:v>20500</x:v>
      </x:c>
      <x:c r="O346" s="2"/>
      <x:c r="P346" s="2"/>
      <x:c r="Q346" s="2" t="s">
        <x:v>111</x:v>
      </x:c>
      <x:c r="R346" s="2">
        <x:v>20500</x:v>
      </x:c>
      <x:c r="S346" s="2" t="s">
        <x:v>111</x:v>
      </x:c>
      <x:c r="T346" s="2">
        <x:v>20</x:v>
      </x:c>
      <x:c r="U346" s="2">
        <x:v>7</x:v>
      </x:c>
      <x:c r="V346" s="2"/>
      <x:c r="W346" s="2"/>
      <x:c r="X346" s="2" t="s">
        <x:v>272</x:v>
      </x:c>
      <x:c r="Y346" s="2" t="s">
        <x:v>113</x:v>
      </x:c>
      <x:c r="Z346" s="2" t="s">
        <x:v>114</x:v>
      </x:c>
    </x:row>
    <x:row r="347" ht="40.5">
      <x:c r="A347" s="2">
        <x:v>1738</x:v>
      </x:c>
      <x:c r="B347" s="2">
        <x:v>1201114</x:v>
      </x:c>
      <x:c r="C347" s="2">
        <x:v>160577</x:v>
      </x:c>
      <x:c r="D347" s="2">
        <x:v>18307</x:v>
      </x:c>
      <x:c r="E347" s="2" t="s">
        <x:v>163</x:v>
      </x:c>
      <x:c r="F347" s="2" t="s">
        <x:v>267</x:v>
      </x:c>
      <x:c r="G347" s="2" t="s">
        <x:v>129</x:v>
      </x:c>
      <x:c r="H347" s="2" t="s">
        <x:v>107</x:v>
      </x:c>
      <x:c r="I347" s="2" t="s">
        <x:v>167</x:v>
      </x:c>
      <x:c r="J347" s="2">
        <x:v>2</x:v>
      </x:c>
      <x:c r="K347" s="2" t="s">
        <x:v>109</x:v>
      </x:c>
      <x:c r="L347" s="2" t="s">
        <x:v>110</x:v>
      </x:c>
      <x:c r="M347" s="2" t="s">
        <x:v>161</x:v>
      </x:c>
      <x:c r="N347" s="2">
        <x:v>80000</x:v>
      </x:c>
      <x:c r="O347" s="2"/>
      <x:c r="P347" s="2"/>
      <x:c r="Q347" s="2" t="s">
        <x:v>111</x:v>
      </x:c>
      <x:c r="R347" s="2">
        <x:v>80000</x:v>
      </x:c>
      <x:c r="S347" s="2" t="s">
        <x:v>111</x:v>
      </x:c>
      <x:c r="T347" s="2">
        <x:v>20</x:v>
      </x:c>
      <x:c r="U347" s="2">
        <x:v>27</x:v>
      </x:c>
      <x:c r="V347" s="2"/>
      <x:c r="W347" s="2"/>
      <x:c r="X347" s="2" t="s">
        <x:v>272</x:v>
      </x:c>
      <x:c r="Y347" s="2" t="s">
        <x:v>123</x:v>
      </x:c>
      <x:c r="Z347" s="2" t="s">
        <x:v>162</x:v>
      </x:c>
    </x:row>
    <x:row r="348" ht="27">
      <x:c r="A348" s="2">
        <x:v>1741</x:v>
      </x:c>
      <x:c r="B348" s="2">
        <x:v>2314543</x:v>
      </x:c>
      <x:c r="C348" s="2">
        <x:v>2781649</x:v>
      </x:c>
      <x:c r="D348" s="2">
        <x:v>52818</x:v>
      </x:c>
      <x:c r="E348" s="2" t="s">
        <x:v>163</x:v>
      </x:c>
      <x:c r="F348" s="2" t="s">
        <x:v>267</x:v>
      </x:c>
      <x:c r="G348" s="2" t="s">
        <x:v>134</x:v>
      </x:c>
      <x:c r="H348" s="2" t="s">
        <x:v>135</x:v>
      </x:c>
      <x:c r="I348" s="2" t="s">
        <x:v>108</x:v>
      </x:c>
      <x:c r="J348" s="2">
        <x:v>1</x:v>
      </x:c>
      <x:c r="K348" s="2" t="s">
        <x:v>117</x:v>
      </x:c>
      <x:c r="L348" s="2" t="s">
        <x:v>110</x:v>
      </x:c>
      <x:c r="M348" s="2"/>
      <x:c r="N348" s="2">
        <x:v>49</x:v>
      </x:c>
      <x:c r="O348" s="2">
        <x:v>41</x:v>
      </x:c>
      <x:c r="P348" s="2">
        <x:v>61</x:v>
      </x:c>
      <x:c r="Q348" s="2" t="s">
        <x:v>121</x:v>
      </x:c>
      <x:c r="R348" s="2">
        <x:v>49</x:v>
      </x:c>
      <x:c r="S348" s="2" t="s">
        <x:v>121</x:v>
      </x:c>
      <x:c r="T348" s="2">
        <x:v>20</x:v>
      </x:c>
      <x:c r="U348" s="2">
        <x:v>18</x:v>
      </x:c>
      <x:c r="V348" s="2"/>
      <x:c r="W348" s="2"/>
      <x:c r="X348" s="2" t="s">
        <x:v>273</x:v>
      </x:c>
      <x:c r="Y348" s="2" t="s">
        <x:v>113</x:v>
      </x:c>
      <x:c r="Z348" s="2" t="s">
        <x:v>114</x:v>
      </x:c>
    </x:row>
    <x:row r="349" ht="27">
      <x:c r="A349" s="2">
        <x:v>1743</x:v>
      </x:c>
      <x:c r="B349" s="2">
        <x:v>2314543</x:v>
      </x:c>
      <x:c r="C349" s="2">
        <x:v>2781650</x:v>
      </x:c>
      <x:c r="D349" s="2">
        <x:v>52818</x:v>
      </x:c>
      <x:c r="E349" s="2" t="s">
        <x:v>163</x:v>
      </x:c>
      <x:c r="F349" s="2" t="s">
        <x:v>267</x:v>
      </x:c>
      <x:c r="G349" s="2" t="s">
        <x:v>134</x:v>
      </x:c>
      <x:c r="H349" s="2" t="s">
        <x:v>135</x:v>
      </x:c>
      <x:c r="I349" s="2" t="s">
        <x:v>108</x:v>
      </x:c>
      <x:c r="J349" s="2">
        <x:v>2</x:v>
      </x:c>
      <x:c r="K349" s="2" t="s">
        <x:v>117</x:v>
      </x:c>
      <x:c r="L349" s="2" t="s">
        <x:v>110</x:v>
      </x:c>
      <x:c r="M349" s="2"/>
      <x:c r="N349" s="2">
        <x:v>18</x:v>
      </x:c>
      <x:c r="O349" s="2">
        <x:v>15</x:v>
      </x:c>
      <x:c r="P349" s="2">
        <x:v>23</x:v>
      </x:c>
      <x:c r="Q349" s="2" t="s">
        <x:v>121</x:v>
      </x:c>
      <x:c r="R349" s="2">
        <x:v>18</x:v>
      </x:c>
      <x:c r="S349" s="2" t="s">
        <x:v>121</x:v>
      </x:c>
      <x:c r="T349" s="2">
        <x:v>20</x:v>
      </x:c>
      <x:c r="U349" s="2">
        <x:v>18</x:v>
      </x:c>
      <x:c r="V349" s="2"/>
      <x:c r="W349" s="2"/>
      <x:c r="X349" s="2" t="s">
        <x:v>273</x:v>
      </x:c>
      <x:c r="Y349" s="2" t="s">
        <x:v>113</x:v>
      </x:c>
      <x:c r="Z349" s="2" t="s">
        <x:v>114</x:v>
      </x:c>
    </x:row>
    <x:row r="350" ht="40.5">
      <x:c r="A350" s="2">
        <x:v>1746</x:v>
      </x:c>
      <x:c r="B350" s="2">
        <x:v>1201108</x:v>
      </x:c>
      <x:c r="C350" s="2">
        <x:v>160571</x:v>
      </x:c>
      <x:c r="D350" s="2">
        <x:v>18307</x:v>
      </x:c>
      <x:c r="E350" s="2" t="s">
        <x:v>163</x:v>
      </x:c>
      <x:c r="F350" s="2" t="s">
        <x:v>267</x:v>
      </x:c>
      <x:c r="G350" s="2" t="s">
        <x:v>129</x:v>
      </x:c>
      <x:c r="H350" s="2" t="s">
        <x:v>107</x:v>
      </x:c>
      <x:c r="I350" s="2" t="s">
        <x:v>167</x:v>
      </x:c>
      <x:c r="J350" s="2">
        <x:v>4</x:v>
      </x:c>
      <x:c r="K350" s="2" t="s">
        <x:v>109</x:v>
      </x:c>
      <x:c r="L350" s="2" t="s">
        <x:v>110</x:v>
      </x:c>
      <x:c r="M350" s="2"/>
      <x:c r="N350" s="2">
        <x:v>14000</x:v>
      </x:c>
      <x:c r="O350" s="2">
        <x:v>11000</x:v>
      </x:c>
      <x:c r="P350" s="2">
        <x:v>18000</x:v>
      </x:c>
      <x:c r="Q350" s="2" t="s">
        <x:v>111</x:v>
      </x:c>
      <x:c r="R350" s="2">
        <x:v>14000</x:v>
      </x:c>
      <x:c r="S350" s="2" t="s">
        <x:v>111</x:v>
      </x:c>
      <x:c r="T350" s="2">
        <x:v>20</x:v>
      </x:c>
      <x:c r="U350" s="2">
        <x:v>6.8</x:v>
      </x:c>
      <x:c r="V350" s="2"/>
      <x:c r="W350" s="2"/>
      <x:c r="X350" s="2" t="s">
        <x:v>272</x:v>
      </x:c>
      <x:c r="Y350" s="2" t="s">
        <x:v>113</x:v>
      </x:c>
      <x:c r="Z350" s="2" t="s">
        <x:v>114</x:v>
      </x:c>
    </x:row>
    <x:row r="351" ht="40.5">
      <x:c r="A351" s="2">
        <x:v>1748</x:v>
      </x:c>
      <x:c r="B351" s="2">
        <x:v>1201122</x:v>
      </x:c>
      <x:c r="C351" s="2">
        <x:v>160585</x:v>
      </x:c>
      <x:c r="D351" s="2">
        <x:v>18307</x:v>
      </x:c>
      <x:c r="E351" s="2" t="s">
        <x:v>163</x:v>
      </x:c>
      <x:c r="F351" s="2" t="s">
        <x:v>267</x:v>
      </x:c>
      <x:c r="G351" s="2" t="s">
        <x:v>129</x:v>
      </x:c>
      <x:c r="H351" s="2" t="s">
        <x:v>107</x:v>
      </x:c>
      <x:c r="I351" s="2" t="s">
        <x:v>167</x:v>
      </x:c>
      <x:c r="J351" s="2">
        <x:v>4</x:v>
      </x:c>
      <x:c r="K351" s="2" t="s">
        <x:v>109</x:v>
      </x:c>
      <x:c r="L351" s="2" t="s">
        <x:v>110</x:v>
      </x:c>
      <x:c r="M351" s="2"/>
      <x:c r="N351" s="2">
        <x:v>11500</x:v>
      </x:c>
      <x:c r="O351" s="2"/>
      <x:c r="P351" s="2"/>
      <x:c r="Q351" s="2" t="s">
        <x:v>111</x:v>
      </x:c>
      <x:c r="R351" s="2">
        <x:v>11500</x:v>
      </x:c>
      <x:c r="S351" s="2" t="s">
        <x:v>111</x:v>
      </x:c>
      <x:c r="T351" s="2">
        <x:v>20</x:v>
      </x:c>
      <x:c r="U351" s="2">
        <x:v>9</x:v>
      </x:c>
      <x:c r="V351" s="2"/>
      <x:c r="W351" s="2"/>
      <x:c r="X351" s="2" t="s">
        <x:v>272</x:v>
      </x:c>
      <x:c r="Y351" s="2" t="s">
        <x:v>113</x:v>
      </x:c>
      <x:c r="Z351" s="2" t="s">
        <x:v>114</x:v>
      </x:c>
    </x:row>
    <x:row r="352" ht="40.5">
      <x:c r="A352" s="2">
        <x:v>1752</x:v>
      </x:c>
      <x:c r="B352" s="2">
        <x:v>1159874</x:v>
      </x:c>
      <x:c r="C352" s="2">
        <x:v>142883</x:v>
      </x:c>
      <x:c r="D352" s="2">
        <x:v>14137</x:v>
      </x:c>
      <x:c r="E352" s="2" t="s">
        <x:v>163</x:v>
      </x:c>
      <x:c r="F352" s="2" t="s">
        <x:v>267</x:v>
      </x:c>
      <x:c r="G352" s="2" t="s">
        <x:v>132</x:v>
      </x:c>
      <x:c r="H352" s="2" t="s">
        <x:v>107</x:v>
      </x:c>
      <x:c r="I352" s="2" t="s">
        <x:v>125</x:v>
      </x:c>
      <x:c r="J352" s="2">
        <x:v>4</x:v>
      </x:c>
      <x:c r="K352" s="2" t="s">
        <x:v>126</x:v>
      </x:c>
      <x:c r="L352" s="2" t="s">
        <x:v>110</x:v>
      </x:c>
      <x:c r="M352" s="2"/>
      <x:c r="N352" s="2">
        <x:v>1600</x:v>
      </x:c>
      <x:c r="O352" s="2"/>
      <x:c r="P352" s="2"/>
      <x:c r="Q352" s="2" t="s">
        <x:v>111</x:v>
      </x:c>
      <x:c r="R352" s="2">
        <x:v>1600</x:v>
      </x:c>
      <x:c r="S352" s="2" t="s">
        <x:v>111</x:v>
      </x:c>
      <x:c r="T352" s="2"/>
      <x:c r="U352" s="2"/>
      <x:c r="V352" s="2"/>
      <x:c r="W352" s="2"/>
      <x:c r="X352" s="2" t="s">
        <x:v>133</x:v>
      </x:c>
      <x:c r="Y352" s="2" t="s">
        <x:v>113</x:v>
      </x:c>
      <x:c r="Z352" s="2" t="s">
        <x:v>114</x:v>
      </x:c>
    </x:row>
    <x:row r="353" ht="40.5">
      <x:c r="A353" s="2">
        <x:v>1759</x:v>
      </x:c>
      <x:c r="B353" s="2">
        <x:v>1201106</x:v>
      </x:c>
      <x:c r="C353" s="2">
        <x:v>160569</x:v>
      </x:c>
      <x:c r="D353" s="2">
        <x:v>18307</x:v>
      </x:c>
      <x:c r="E353" s="2" t="s">
        <x:v>163</x:v>
      </x:c>
      <x:c r="F353" s="2" t="s">
        <x:v>267</x:v>
      </x:c>
      <x:c r="G353" s="2" t="s">
        <x:v>129</x:v>
      </x:c>
      <x:c r="H353" s="2" t="s">
        <x:v>107</x:v>
      </x:c>
      <x:c r="I353" s="2" t="s">
        <x:v>167</x:v>
      </x:c>
      <x:c r="J353" s="2">
        <x:v>2</x:v>
      </x:c>
      <x:c r="K353" s="2" t="s">
        <x:v>109</x:v>
      </x:c>
      <x:c r="L353" s="2" t="s">
        <x:v>110</x:v>
      </x:c>
      <x:c r="M353" s="2"/>
      <x:c r="N353" s="2">
        <x:v>21000</x:v>
      </x:c>
      <x:c r="O353" s="2">
        <x:v>14000</x:v>
      </x:c>
      <x:c r="P353" s="2">
        <x:v>31000</x:v>
      </x:c>
      <x:c r="Q353" s="2" t="s">
        <x:v>111</x:v>
      </x:c>
      <x:c r="R353" s="2">
        <x:v>21000</x:v>
      </x:c>
      <x:c r="S353" s="2" t="s">
        <x:v>111</x:v>
      </x:c>
      <x:c r="T353" s="2">
        <x:v>20</x:v>
      </x:c>
      <x:c r="U353" s="2">
        <x:v>6.8</x:v>
      </x:c>
      <x:c r="V353" s="2"/>
      <x:c r="W353" s="2"/>
      <x:c r="X353" s="2" t="s">
        <x:v>272</x:v>
      </x:c>
      <x:c r="Y353" s="2" t="s">
        <x:v>113</x:v>
      </x:c>
      <x:c r="Z353" s="2" t="s">
        <x:v>114</x:v>
      </x:c>
    </x:row>
    <x:row r="354" ht="40.5">
      <x:c r="A354" s="2">
        <x:v>1761</x:v>
      </x:c>
      <x:c r="B354" s="2">
        <x:v>1201112</x:v>
      </x:c>
      <x:c r="C354" s="2">
        <x:v>160575</x:v>
      </x:c>
      <x:c r="D354" s="2">
        <x:v>18307</x:v>
      </x:c>
      <x:c r="E354" s="2" t="s">
        <x:v>163</x:v>
      </x:c>
      <x:c r="F354" s="2" t="s">
        <x:v>267</x:v>
      </x:c>
      <x:c r="G354" s="2" t="s">
        <x:v>129</x:v>
      </x:c>
      <x:c r="H354" s="2" t="s">
        <x:v>107</x:v>
      </x:c>
      <x:c r="I354" s="2" t="s">
        <x:v>167</x:v>
      </x:c>
      <x:c r="J354" s="2">
        <x:v>4</x:v>
      </x:c>
      <x:c r="K354" s="2" t="s">
        <x:v>109</x:v>
      </x:c>
      <x:c r="L354" s="2" t="s">
        <x:v>110</x:v>
      </x:c>
      <x:c r="M354" s="2"/>
      <x:c r="N354" s="2">
        <x:v>29000</x:v>
      </x:c>
      <x:c r="O354" s="2">
        <x:v>22000</x:v>
      </x:c>
      <x:c r="P354" s="2">
        <x:v>41000</x:v>
      </x:c>
      <x:c r="Q354" s="2" t="s">
        <x:v>111</x:v>
      </x:c>
      <x:c r="R354" s="2">
        <x:v>29000</x:v>
      </x:c>
      <x:c r="S354" s="2" t="s">
        <x:v>111</x:v>
      </x:c>
      <x:c r="T354" s="2">
        <x:v>20</x:v>
      </x:c>
      <x:c r="U354" s="2">
        <x:v>13.5</x:v>
      </x:c>
      <x:c r="V354" s="2"/>
      <x:c r="W354" s="2"/>
      <x:c r="X354" s="2" t="s">
        <x:v>272</x:v>
      </x:c>
      <x:c r="Y354" s="2" t="s">
        <x:v>113</x:v>
      </x:c>
      <x:c r="Z354" s="2" t="s">
        <x:v>114</x:v>
      </x:c>
    </x:row>
    <x:row r="355" ht="40.5">
      <x:c r="A355" s="2">
        <x:v>1765</x:v>
      </x:c>
      <x:c r="B355" s="2">
        <x:v>1201113</x:v>
      </x:c>
      <x:c r="C355" s="2">
        <x:v>160576</x:v>
      </x:c>
      <x:c r="D355" s="2">
        <x:v>18307</x:v>
      </x:c>
      <x:c r="E355" s="2" t="s">
        <x:v>163</x:v>
      </x:c>
      <x:c r="F355" s="2" t="s">
        <x:v>267</x:v>
      </x:c>
      <x:c r="G355" s="2" t="s">
        <x:v>129</x:v>
      </x:c>
      <x:c r="H355" s="2" t="s">
        <x:v>107</x:v>
      </x:c>
      <x:c r="I355" s="2" t="s">
        <x:v>167</x:v>
      </x:c>
      <x:c r="J355" s="2">
        <x:v>1</x:v>
      </x:c>
      <x:c r="K355" s="2" t="s">
        <x:v>109</x:v>
      </x:c>
      <x:c r="L355" s="2" t="s">
        <x:v>110</x:v>
      </x:c>
      <x:c r="M355" s="2" t="s">
        <x:v>161</x:v>
      </x:c>
      <x:c r="N355" s="2">
        <x:v>80000</x:v>
      </x:c>
      <x:c r="O355" s="2"/>
      <x:c r="P355" s="2"/>
      <x:c r="Q355" s="2" t="s">
        <x:v>111</x:v>
      </x:c>
      <x:c r="R355" s="2">
        <x:v>80000</x:v>
      </x:c>
      <x:c r="S355" s="2" t="s">
        <x:v>111</x:v>
      </x:c>
      <x:c r="T355" s="2">
        <x:v>20</x:v>
      </x:c>
      <x:c r="U355" s="2">
        <x:v>27</x:v>
      </x:c>
      <x:c r="V355" s="2"/>
      <x:c r="W355" s="2"/>
      <x:c r="X355" s="2" t="s">
        <x:v>272</x:v>
      </x:c>
      <x:c r="Y355" s="2" t="s">
        <x:v>123</x:v>
      </x:c>
      <x:c r="Z355" s="2" t="s">
        <x:v>162</x:v>
      </x:c>
    </x:row>
    <x:row r="356" ht="27">
      <x:c r="A356" s="2">
        <x:v>1769</x:v>
      </x:c>
      <x:c r="B356" s="2">
        <x:v>2114271</x:v>
      </x:c>
      <x:c r="C356" s="2">
        <x:v>2208824</x:v>
      </x:c>
      <x:c r="D356" s="2">
        <x:v>167149</x:v>
      </x:c>
      <x:c r="E356" s="2" t="s">
        <x:v>163</x:v>
      </x:c>
      <x:c r="F356" s="2" t="s">
        <x:v>267</x:v>
      </x:c>
      <x:c r="G356" s="2" t="s">
        <x:v>134</x:v>
      </x:c>
      <x:c r="H356" s="2" t="s">
        <x:v>135</x:v>
      </x:c>
      <x:c r="I356" s="2" t="s">
        <x:v>159</x:v>
      </x:c>
      <x:c r="J356" s="2">
        <x:v>2</x:v>
      </x:c>
      <x:c r="K356" s="2" t="s">
        <x:v>117</x:v>
      </x:c>
      <x:c r="L356" s="2" t="s">
        <x:v>110</x:v>
      </x:c>
      <x:c r="M356" s="2"/>
      <x:c r="N356" s="2">
        <x:v>11.9</x:v>
      </x:c>
      <x:c r="O356" s="2">
        <x:v>7.2</x:v>
      </x:c>
      <x:c r="P356" s="2">
        <x:v>26</x:v>
      </x:c>
      <x:c r="Q356" s="2" t="s">
        <x:v>121</x:v>
      </x:c>
      <x:c r="R356" s="2">
        <x:v>11.9</x:v>
      </x:c>
      <x:c r="S356" s="2" t="s">
        <x:v>121</x:v>
      </x:c>
      <x:c r="T356" s="2">
        <x:v>25</x:v>
      </x:c>
      <x:c r="U356" s="2"/>
      <x:c r="V356" s="2">
        <x:v>8.1</x:v>
      </x:c>
      <x:c r="W356" s="2"/>
      <x:c r="X356" s="2" t="s">
        <x:v>274</x:v>
      </x:c>
      <x:c r="Y356" s="2" t="s">
        <x:v>113</x:v>
      </x:c>
      <x:c r="Z356" s="2" t="s">
        <x:v>114</x:v>
      </x:c>
    </x:row>
    <x:row r="357" ht="27">
      <x:c r="A357" s="2">
        <x:v>1771</x:v>
      </x:c>
      <x:c r="B357" s="2">
        <x:v>2034090</x:v>
      </x:c>
      <x:c r="C357" s="2">
        <x:v>2055215</x:v>
      </x:c>
      <x:c r="D357" s="2">
        <x:v>97664</x:v>
      </x:c>
      <x:c r="E357" s="2" t="s">
        <x:v>163</x:v>
      </x:c>
      <x:c r="F357" s="2" t="s">
        <x:v>267</x:v>
      </x:c>
      <x:c r="G357" s="2" t="s">
        <x:v>129</x:v>
      </x:c>
      <x:c r="H357" s="2" t="s">
        <x:v>107</x:v>
      </x:c>
      <x:c r="I357" s="2"/>
      <x:c r="J357" s="2">
        <x:v>4</x:v>
      </x:c>
      <x:c r="K357" s="2" t="s">
        <x:v>117</x:v>
      </x:c>
      <x:c r="L357" s="2" t="s">
        <x:v>110</x:v>
      </x:c>
      <x:c r="M357" s="2"/>
      <x:c r="N357" s="2">
        <x:v>31</x:v>
      </x:c>
      <x:c r="O357" s="2"/>
      <x:c r="P357" s="2"/>
      <x:c r="Q357" s="2" t="s">
        <x:v>121</x:v>
      </x:c>
      <x:c r="R357" s="2">
        <x:v>31</x:v>
      </x:c>
      <x:c r="S357" s="2" t="s">
        <x:v>121</x:v>
      </x:c>
      <x:c r="T357" s="2">
        <x:v>21</x:v>
      </x:c>
      <x:c r="U357" s="2"/>
      <x:c r="V357" s="2"/>
      <x:c r="W357" s="2"/>
      <x:c r="X357" s="2" t="s">
        <x:v>275</x:v>
      </x:c>
      <x:c r="Y357" s="2" t="s">
        <x:v>113</x:v>
      </x:c>
      <x:c r="Z357" s="2" t="s">
        <x:v>114</x:v>
      </x:c>
    </x:row>
    <x:row r="358" ht="40.5">
      <x:c r="A358" s="2">
        <x:v>1772</x:v>
      </x:c>
      <x:c r="B358" s="2">
        <x:v>1201110</x:v>
      </x:c>
      <x:c r="C358" s="2">
        <x:v>160573</x:v>
      </x:c>
      <x:c r="D358" s="2">
        <x:v>18307</x:v>
      </x:c>
      <x:c r="E358" s="2" t="s">
        <x:v>163</x:v>
      </x:c>
      <x:c r="F358" s="2" t="s">
        <x:v>267</x:v>
      </x:c>
      <x:c r="G358" s="2" t="s">
        <x:v>129</x:v>
      </x:c>
      <x:c r="H358" s="2" t="s">
        <x:v>107</x:v>
      </x:c>
      <x:c r="I358" s="2" t="s">
        <x:v>167</x:v>
      </x:c>
      <x:c r="J358" s="2">
        <x:v>2</x:v>
      </x:c>
      <x:c r="K358" s="2" t="s">
        <x:v>109</x:v>
      </x:c>
      <x:c r="L358" s="2" t="s">
        <x:v>110</x:v>
      </x:c>
      <x:c r="M358" s="2"/>
      <x:c r="N358" s="2">
        <x:v>46000</x:v>
      </x:c>
      <x:c r="O358" s="2">
        <x:v>31000</x:v>
      </x:c>
      <x:c r="P358" s="2">
        <x:v>93000</x:v>
      </x:c>
      <x:c r="Q358" s="2" t="s">
        <x:v>111</x:v>
      </x:c>
      <x:c r="R358" s="2">
        <x:v>46000</x:v>
      </x:c>
      <x:c r="S358" s="2" t="s">
        <x:v>111</x:v>
      </x:c>
      <x:c r="T358" s="2">
        <x:v>20</x:v>
      </x:c>
      <x:c r="U358" s="2">
        <x:v>13.5</x:v>
      </x:c>
      <x:c r="V358" s="2"/>
      <x:c r="W358" s="2"/>
      <x:c r="X358" s="2" t="s">
        <x:v>272</x:v>
      </x:c>
      <x:c r="Y358" s="2" t="s">
        <x:v>113</x:v>
      </x:c>
      <x:c r="Z358" s="2" t="s">
        <x:v>114</x:v>
      </x:c>
    </x:row>
    <x:row r="359" ht="40.5">
      <x:c r="A359" s="2">
        <x:v>1774</x:v>
      </x:c>
      <x:c r="B359" s="2">
        <x:v>1201126</x:v>
      </x:c>
      <x:c r="C359" s="2">
        <x:v>160589</x:v>
      </x:c>
      <x:c r="D359" s="2">
        <x:v>18307</x:v>
      </x:c>
      <x:c r="E359" s="2" t="s">
        <x:v>163</x:v>
      </x:c>
      <x:c r="F359" s="2" t="s">
        <x:v>267</x:v>
      </x:c>
      <x:c r="G359" s="2" t="s">
        <x:v>129</x:v>
      </x:c>
      <x:c r="H359" s="2" t="s">
        <x:v>107</x:v>
      </x:c>
      <x:c r="I359" s="2" t="s">
        <x:v>167</x:v>
      </x:c>
      <x:c r="J359" s="2">
        <x:v>4</x:v>
      </x:c>
      <x:c r="K359" s="2" t="s">
        <x:v>109</x:v>
      </x:c>
      <x:c r="L359" s="2" t="s">
        <x:v>110</x:v>
      </x:c>
      <x:c r="M359" s="2"/>
      <x:c r="N359" s="2">
        <x:v>34800</x:v>
      </x:c>
      <x:c r="O359" s="2"/>
      <x:c r="P359" s="2"/>
      <x:c r="Q359" s="2" t="s">
        <x:v>111</x:v>
      </x:c>
      <x:c r="R359" s="2">
        <x:v>34800</x:v>
      </x:c>
      <x:c r="S359" s="2" t="s">
        <x:v>111</x:v>
      </x:c>
      <x:c r="T359" s="2">
        <x:v>20</x:v>
      </x:c>
      <x:c r="U359" s="2">
        <x:v>9</x:v>
      </x:c>
      <x:c r="V359" s="2"/>
      <x:c r="W359" s="2"/>
      <x:c r="X359" s="2" t="s">
        <x:v>272</x:v>
      </x:c>
      <x:c r="Y359" s="2" t="s">
        <x:v>113</x:v>
      </x:c>
      <x:c r="Z359" s="2" t="s">
        <x:v>114</x:v>
      </x:c>
    </x:row>
    <x:row r="360" ht="40.5">
      <x:c r="A360" s="2">
        <x:v>1780</x:v>
      </x:c>
      <x:c r="B360" s="2">
        <x:v>1201132</x:v>
      </x:c>
      <x:c r="C360" s="2">
        <x:v>160596</x:v>
      </x:c>
      <x:c r="D360" s="2">
        <x:v>18307</x:v>
      </x:c>
      <x:c r="E360" s="2" t="s">
        <x:v>163</x:v>
      </x:c>
      <x:c r="F360" s="2" t="s">
        <x:v>267</x:v>
      </x:c>
      <x:c r="G360" s="2" t="s">
        <x:v>129</x:v>
      </x:c>
      <x:c r="H360" s="2" t="s">
        <x:v>107</x:v>
      </x:c>
      <x:c r="I360" s="2" t="s">
        <x:v>167</x:v>
      </x:c>
      <x:c r="J360" s="2">
        <x:v>4</x:v>
      </x:c>
      <x:c r="K360" s="2" t="s">
        <x:v>109</x:v>
      </x:c>
      <x:c r="L360" s="2" t="s">
        <x:v>110</x:v>
      </x:c>
      <x:c r="M360" s="2"/>
      <x:c r="N360" s="2">
        <x:v>44600</x:v>
      </x:c>
      <x:c r="O360" s="2"/>
      <x:c r="P360" s="2"/>
      <x:c r="Q360" s="2" t="s">
        <x:v>111</x:v>
      </x:c>
      <x:c r="R360" s="2">
        <x:v>44600</x:v>
      </x:c>
      <x:c r="S360" s="2" t="s">
        <x:v>111</x:v>
      </x:c>
      <x:c r="T360" s="2">
        <x:v>20</x:v>
      </x:c>
      <x:c r="U360" s="2">
        <x:v>33</x:v>
      </x:c>
      <x:c r="V360" s="2"/>
      <x:c r="W360" s="2"/>
      <x:c r="X360" s="2" t="s">
        <x:v>272</x:v>
      </x:c>
      <x:c r="Y360" s="2" t="s">
        <x:v>113</x:v>
      </x:c>
      <x:c r="Z360" s="2" t="s">
        <x:v>114</x:v>
      </x:c>
    </x:row>
    <x:row r="361" ht="40.5">
      <x:c r="A361" s="2">
        <x:v>1781</x:v>
      </x:c>
      <x:c r="B361" s="2">
        <x:v>1201123</x:v>
      </x:c>
      <x:c r="C361" s="2">
        <x:v>160586</x:v>
      </x:c>
      <x:c r="D361" s="2">
        <x:v>18307</x:v>
      </x:c>
      <x:c r="E361" s="2" t="s">
        <x:v>163</x:v>
      </x:c>
      <x:c r="F361" s="2" t="s">
        <x:v>267</x:v>
      </x:c>
      <x:c r="G361" s="2" t="s">
        <x:v>129</x:v>
      </x:c>
      <x:c r="H361" s="2" t="s">
        <x:v>107</x:v>
      </x:c>
      <x:c r="I361" s="2" t="s">
        <x:v>167</x:v>
      </x:c>
      <x:c r="J361" s="2">
        <x:v>4</x:v>
      </x:c>
      <x:c r="K361" s="2" t="s">
        <x:v>109</x:v>
      </x:c>
      <x:c r="L361" s="2" t="s">
        <x:v>110</x:v>
      </x:c>
      <x:c r="M361" s="2"/>
      <x:c r="N361" s="2">
        <x:v>8700</x:v>
      </x:c>
      <x:c r="O361" s="2"/>
      <x:c r="P361" s="2"/>
      <x:c r="Q361" s="2" t="s">
        <x:v>111</x:v>
      </x:c>
      <x:c r="R361" s="2">
        <x:v>8700</x:v>
      </x:c>
      <x:c r="S361" s="2" t="s">
        <x:v>111</x:v>
      </x:c>
      <x:c r="T361" s="2">
        <x:v>20</x:v>
      </x:c>
      <x:c r="U361" s="2">
        <x:v>9</x:v>
      </x:c>
      <x:c r="V361" s="2"/>
      <x:c r="W361" s="2"/>
      <x:c r="X361" s="2" t="s">
        <x:v>272</x:v>
      </x:c>
      <x:c r="Y361" s="2" t="s">
        <x:v>113</x:v>
      </x:c>
      <x:c r="Z361" s="2" t="s">
        <x:v>114</x:v>
      </x:c>
    </x:row>
    <x:row r="362" ht="40.5">
      <x:c r="A362" s="2">
        <x:v>1784</x:v>
      </x:c>
      <x:c r="B362" s="2">
        <x:v>1201117</x:v>
      </x:c>
      <x:c r="C362" s="2">
        <x:v>160580</x:v>
      </x:c>
      <x:c r="D362" s="2">
        <x:v>18307</x:v>
      </x:c>
      <x:c r="E362" s="2" t="s">
        <x:v>163</x:v>
      </x:c>
      <x:c r="F362" s="2" t="s">
        <x:v>267</x:v>
      </x:c>
      <x:c r="G362" s="2" t="s">
        <x:v>129</x:v>
      </x:c>
      <x:c r="H362" s="2" t="s">
        <x:v>107</x:v>
      </x:c>
      <x:c r="I362" s="2" t="s">
        <x:v>167</x:v>
      </x:c>
      <x:c r="J362" s="2">
        <x:v>4</x:v>
      </x:c>
      <x:c r="K362" s="2" t="s">
        <x:v>109</x:v>
      </x:c>
      <x:c r="L362" s="2" t="s">
        <x:v>110</x:v>
      </x:c>
      <x:c r="M362" s="2"/>
      <x:c r="N362" s="2">
        <x:v>24200</x:v>
      </x:c>
      <x:c r="O362" s="2"/>
      <x:c r="P362" s="2"/>
      <x:c r="Q362" s="2" t="s">
        <x:v>111</x:v>
      </x:c>
      <x:c r="R362" s="2">
        <x:v>24200</x:v>
      </x:c>
      <x:c r="S362" s="2" t="s">
        <x:v>111</x:v>
      </x:c>
      <x:c r="T362" s="2">
        <x:v>20</x:v>
      </x:c>
      <x:c r="U362" s="2">
        <x:v>7</x:v>
      </x:c>
      <x:c r="V362" s="2"/>
      <x:c r="W362" s="2"/>
      <x:c r="X362" s="2" t="s">
        <x:v>272</x:v>
      </x:c>
      <x:c r="Y362" s="2" t="s">
        <x:v>113</x:v>
      </x:c>
      <x:c r="Z362" s="2" t="s">
        <x:v>114</x:v>
      </x:c>
    </x:row>
    <x:row r="363" ht="40.5">
      <x:c r="A363" s="2">
        <x:v>1785</x:v>
      </x:c>
      <x:c r="B363" s="2">
        <x:v>1201128</x:v>
      </x:c>
      <x:c r="C363" s="2">
        <x:v>160591</x:v>
      </x:c>
      <x:c r="D363" s="2">
        <x:v>18307</x:v>
      </x:c>
      <x:c r="E363" s="2" t="s">
        <x:v>163</x:v>
      </x:c>
      <x:c r="F363" s="2" t="s">
        <x:v>267</x:v>
      </x:c>
      <x:c r="G363" s="2" t="s">
        <x:v>129</x:v>
      </x:c>
      <x:c r="H363" s="2" t="s">
        <x:v>107</x:v>
      </x:c>
      <x:c r="I363" s="2" t="s">
        <x:v>167</x:v>
      </x:c>
      <x:c r="J363" s="2">
        <x:v>4</x:v>
      </x:c>
      <x:c r="K363" s="2" t="s">
        <x:v>109</x:v>
      </x:c>
      <x:c r="L363" s="2" t="s">
        <x:v>110</x:v>
      </x:c>
      <x:c r="M363" s="2"/>
      <x:c r="N363" s="2">
        <x:v>34800</x:v>
      </x:c>
      <x:c r="O363" s="2"/>
      <x:c r="P363" s="2"/>
      <x:c r="Q363" s="2" t="s">
        <x:v>111</x:v>
      </x:c>
      <x:c r="R363" s="2">
        <x:v>34800</x:v>
      </x:c>
      <x:c r="S363" s="2" t="s">
        <x:v>111</x:v>
      </x:c>
      <x:c r="T363" s="2">
        <x:v>20</x:v>
      </x:c>
      <x:c r="U363" s="2">
        <x:v>15</x:v>
      </x:c>
      <x:c r="V363" s="2"/>
      <x:c r="W363" s="2"/>
      <x:c r="X363" s="2" t="s">
        <x:v>272</x:v>
      </x:c>
      <x:c r="Y363" s="2" t="s">
        <x:v>113</x:v>
      </x:c>
      <x:c r="Z363" s="2" t="s">
        <x:v>114</x:v>
      </x:c>
    </x:row>
    <x:row r="364" ht="27">
      <x:c r="A364" s="2">
        <x:v>1787</x:v>
      </x:c>
      <x:c r="B364" s="2">
        <x:v>1236962</x:v>
      </x:c>
      <x:c r="C364" s="2">
        <x:v>215847</x:v>
      </x:c>
      <x:c r="D364" s="2">
        <x:v>66691</x:v>
      </x:c>
      <x:c r="E364" s="2" t="s">
        <x:v>163</x:v>
      </x:c>
      <x:c r="F364" s="2" t="s">
        <x:v>267</x:v>
      </x:c>
      <x:c r="G364" s="2" t="s">
        <x:v>134</x:v>
      </x:c>
      <x:c r="H364" s="2" t="s">
        <x:v>135</x:v>
      </x:c>
      <x:c r="I364" s="2" t="s">
        <x:v>108</x:v>
      </x:c>
      <x:c r="J364" s="2">
        <x:v>2</x:v>
      </x:c>
      <x:c r="K364" s="2" t="s">
        <x:v>117</x:v>
      </x:c>
      <x:c r="L364" s="2" t="s">
        <x:v>110</x:v>
      </x:c>
      <x:c r="M364" s="2"/>
      <x:c r="N364" s="2">
        <x:v>10</x:v>
      </x:c>
      <x:c r="O364" s="2">
        <x:v>8.6999999999999993</x:v>
      </x:c>
      <x:c r="P364" s="2">
        <x:v>12</x:v>
      </x:c>
      <x:c r="Q364" s="2" t="s">
        <x:v>121</x:v>
      </x:c>
      <x:c r="R364" s="2">
        <x:v>10</x:v>
      </x:c>
      <x:c r="S364" s="2" t="s">
        <x:v>121</x:v>
      </x:c>
      <x:c r="T364" s="2">
        <x:v>20</x:v>
      </x:c>
      <x:c r="U364" s="2">
        <x:v>18</x:v>
      </x:c>
      <x:c r="V364" s="2"/>
      <x:c r="W364" s="2"/>
      <x:c r="X364" s="2" t="s">
        <x:v>276</x:v>
      </x:c>
      <x:c r="Y364" s="2" t="s">
        <x:v>113</x:v>
      </x:c>
      <x:c r="Z364" s="2" t="s">
        <x:v>114</x:v>
      </x:c>
    </x:row>
    <x:row r="365" ht="40.5">
      <x:c r="A365" s="2">
        <x:v>1788</x:v>
      </x:c>
      <x:c r="B365" s="2">
        <x:v>1201109</x:v>
      </x:c>
      <x:c r="C365" s="2">
        <x:v>160572</x:v>
      </x:c>
      <x:c r="D365" s="2">
        <x:v>18307</x:v>
      </x:c>
      <x:c r="E365" s="2" t="s">
        <x:v>163</x:v>
      </x:c>
      <x:c r="F365" s="2" t="s">
        <x:v>267</x:v>
      </x:c>
      <x:c r="G365" s="2" t="s">
        <x:v>129</x:v>
      </x:c>
      <x:c r="H365" s="2" t="s">
        <x:v>107</x:v>
      </x:c>
      <x:c r="I365" s="2" t="s">
        <x:v>167</x:v>
      </x:c>
      <x:c r="J365" s="2">
        <x:v>1</x:v>
      </x:c>
      <x:c r="K365" s="2" t="s">
        <x:v>109</x:v>
      </x:c>
      <x:c r="L365" s="2" t="s">
        <x:v>110</x:v>
      </x:c>
      <x:c r="M365" s="2" t="s">
        <x:v>161</x:v>
      </x:c>
      <x:c r="N365" s="2">
        <x:v>80000</x:v>
      </x:c>
      <x:c r="O365" s="2"/>
      <x:c r="P365" s="2"/>
      <x:c r="Q365" s="2" t="s">
        <x:v>111</x:v>
      </x:c>
      <x:c r="R365" s="2">
        <x:v>80000</x:v>
      </x:c>
      <x:c r="S365" s="2" t="s">
        <x:v>111</x:v>
      </x:c>
      <x:c r="T365" s="2">
        <x:v>20</x:v>
      </x:c>
      <x:c r="U365" s="2">
        <x:v>13.5</x:v>
      </x:c>
      <x:c r="V365" s="2"/>
      <x:c r="W365" s="2"/>
      <x:c r="X365" s="2" t="s">
        <x:v>272</x:v>
      </x:c>
      <x:c r="Y365" s="2" t="s">
        <x:v>123</x:v>
      </x:c>
      <x:c r="Z365" s="2" t="s">
        <x:v>162</x:v>
      </x:c>
    </x:row>
    <x:row r="366" ht="40.5">
      <x:c r="A366" s="2">
        <x:v>1789</x:v>
      </x:c>
      <x:c r="B366" s="2">
        <x:v>1201127</x:v>
      </x:c>
      <x:c r="C366" s="2">
        <x:v>160590</x:v>
      </x:c>
      <x:c r="D366" s="2">
        <x:v>18307</x:v>
      </x:c>
      <x:c r="E366" s="2" t="s">
        <x:v>163</x:v>
      </x:c>
      <x:c r="F366" s="2" t="s">
        <x:v>267</x:v>
      </x:c>
      <x:c r="G366" s="2" t="s">
        <x:v>129</x:v>
      </x:c>
      <x:c r="H366" s="2" t="s">
        <x:v>107</x:v>
      </x:c>
      <x:c r="I366" s="2" t="s">
        <x:v>167</x:v>
      </x:c>
      <x:c r="J366" s="2">
        <x:v>4</x:v>
      </x:c>
      <x:c r="K366" s="2" t="s">
        <x:v>109</x:v>
      </x:c>
      <x:c r="L366" s="2" t="s">
        <x:v>110</x:v>
      </x:c>
      <x:c r="M366" s="2"/>
      <x:c r="N366" s="2">
        <x:v>7500</x:v>
      </x:c>
      <x:c r="O366" s="2"/>
      <x:c r="P366" s="2"/>
      <x:c r="Q366" s="2" t="s">
        <x:v>111</x:v>
      </x:c>
      <x:c r="R366" s="2">
        <x:v>7500</x:v>
      </x:c>
      <x:c r="S366" s="2" t="s">
        <x:v>111</x:v>
      </x:c>
      <x:c r="T366" s="2">
        <x:v>20</x:v>
      </x:c>
      <x:c r="U366" s="2">
        <x:v>9</x:v>
      </x:c>
      <x:c r="V366" s="2"/>
      <x:c r="W366" s="2"/>
      <x:c r="X366" s="2" t="s">
        <x:v>272</x:v>
      </x:c>
      <x:c r="Y366" s="2" t="s">
        <x:v>113</x:v>
      </x:c>
      <x:c r="Z366" s="2" t="s">
        <x:v>114</x:v>
      </x:c>
    </x:row>
    <x:row r="367" ht="27">
      <x:c r="A367" s="2">
        <x:v>1791</x:v>
      </x:c>
      <x:c r="B367" s="2">
        <x:v>2036685</x:v>
      </x:c>
      <x:c r="C367" s="2">
        <x:v>2060799</x:v>
      </x:c>
      <x:c r="D367" s="2">
        <x:v>157913</x:v>
      </x:c>
      <x:c r="E367" s="2" t="s">
        <x:v>163</x:v>
      </x:c>
      <x:c r="F367" s="2" t="s">
        <x:v>267</x:v>
      </x:c>
      <x:c r="G367" s="2" t="s">
        <x:v>129</x:v>
      </x:c>
      <x:c r="H367" s="2" t="s">
        <x:v>107</x:v>
      </x:c>
      <x:c r="I367" s="2" t="s">
        <x:v>108</x:v>
      </x:c>
      <x:c r="J367" s="2">
        <x:v>4</x:v>
      </x:c>
      <x:c r="K367" s="2" t="s">
        <x:v>117</x:v>
      </x:c>
      <x:c r="L367" s="2" t="s">
        <x:v>110</x:v>
      </x:c>
      <x:c r="M367" s="2"/>
      <x:c r="N367" s="2"/>
      <x:c r="O367" s="2">
        <x:v>13</x:v>
      </x:c>
      <x:c r="P367" s="2">
        <x:v>25</x:v>
      </x:c>
      <x:c r="Q367" s="2" t="s">
        <x:v>121</x:v>
      </x:c>
      <x:c r="R367" s="2"/>
      <x:c r="S367" s="2" t="s">
        <x:v>121</x:v>
      </x:c>
      <x:c r="T367" s="2">
        <x:v>20</x:v>
      </x:c>
      <x:c r="U367" s="2">
        <x:v>7</x:v>
      </x:c>
      <x:c r="V367" s="2"/>
      <x:c r="W367" s="2"/>
      <x:c r="X367" s="2" t="s">
        <x:v>277</x:v>
      </x:c>
      <x:c r="Y367" s="2" t="s">
        <x:v>123</x:v>
      </x:c>
      <x:c r="Z367" s="2" t="s">
        <x:v>278</x:v>
      </x:c>
    </x:row>
    <x:row r="368" ht="40.5">
      <x:c r="A368" s="2">
        <x:v>1792</x:v>
      </x:c>
      <x:c r="B368" s="2">
        <x:v>1201125</x:v>
      </x:c>
      <x:c r="C368" s="2">
        <x:v>160588</x:v>
      </x:c>
      <x:c r="D368" s="2">
        <x:v>18307</x:v>
      </x:c>
      <x:c r="E368" s="2" t="s">
        <x:v>163</x:v>
      </x:c>
      <x:c r="F368" s="2" t="s">
        <x:v>267</x:v>
      </x:c>
      <x:c r="G368" s="2" t="s">
        <x:v>129</x:v>
      </x:c>
      <x:c r="H368" s="2" t="s">
        <x:v>107</x:v>
      </x:c>
      <x:c r="I368" s="2" t="s">
        <x:v>167</x:v>
      </x:c>
      <x:c r="J368" s="2">
        <x:v>4</x:v>
      </x:c>
      <x:c r="K368" s="2" t="s">
        <x:v>109</x:v>
      </x:c>
      <x:c r="L368" s="2" t="s">
        <x:v>110</x:v>
      </x:c>
      <x:c r="M368" s="2"/>
      <x:c r="N368" s="2">
        <x:v>17000</x:v>
      </x:c>
      <x:c r="O368" s="2"/>
      <x:c r="P368" s="2"/>
      <x:c r="Q368" s="2" t="s">
        <x:v>111</x:v>
      </x:c>
      <x:c r="R368" s="2">
        <x:v>17000</x:v>
      </x:c>
      <x:c r="S368" s="2" t="s">
        <x:v>111</x:v>
      </x:c>
      <x:c r="T368" s="2">
        <x:v>20</x:v>
      </x:c>
      <x:c r="U368" s="2">
        <x:v>9</x:v>
      </x:c>
      <x:c r="V368" s="2"/>
      <x:c r="W368" s="2"/>
      <x:c r="X368" s="2" t="s">
        <x:v>272</x:v>
      </x:c>
      <x:c r="Y368" s="2" t="s">
        <x:v>113</x:v>
      </x:c>
      <x:c r="Z368" s="2" t="s">
        <x:v>114</x:v>
      </x:c>
    </x:row>
    <x:row r="369" ht="40.5">
      <x:c r="A369" s="2">
        <x:v>1797</x:v>
      </x:c>
      <x:c r="B369" s="2">
        <x:v>1201111</x:v>
      </x:c>
      <x:c r="C369" s="2">
        <x:v>160574</x:v>
      </x:c>
      <x:c r="D369" s="2">
        <x:v>18307</x:v>
      </x:c>
      <x:c r="E369" s="2" t="s">
        <x:v>163</x:v>
      </x:c>
      <x:c r="F369" s="2" t="s">
        <x:v>267</x:v>
      </x:c>
      <x:c r="G369" s="2" t="s">
        <x:v>129</x:v>
      </x:c>
      <x:c r="H369" s="2" t="s">
        <x:v>107</x:v>
      </x:c>
      <x:c r="I369" s="2" t="s">
        <x:v>167</x:v>
      </x:c>
      <x:c r="J369" s="2">
        <x:v>3</x:v>
      </x:c>
      <x:c r="K369" s="2" t="s">
        <x:v>109</x:v>
      </x:c>
      <x:c r="L369" s="2" t="s">
        <x:v>110</x:v>
      </x:c>
      <x:c r="M369" s="2"/>
      <x:c r="N369" s="2">
        <x:v>37000</x:v>
      </x:c>
      <x:c r="O369" s="2">
        <x:v>27000</x:v>
      </x:c>
      <x:c r="P369" s="2">
        <x:v>55000</x:v>
      </x:c>
      <x:c r="Q369" s="2" t="s">
        <x:v>111</x:v>
      </x:c>
      <x:c r="R369" s="2">
        <x:v>37000</x:v>
      </x:c>
      <x:c r="S369" s="2" t="s">
        <x:v>111</x:v>
      </x:c>
      <x:c r="T369" s="2">
        <x:v>20</x:v>
      </x:c>
      <x:c r="U369" s="2">
        <x:v>13.5</x:v>
      </x:c>
      <x:c r="V369" s="2"/>
      <x:c r="W369" s="2"/>
      <x:c r="X369" s="2" t="s">
        <x:v>272</x:v>
      </x:c>
      <x:c r="Y369" s="2" t="s">
        <x:v>113</x:v>
      </x:c>
      <x:c r="Z369" s="2" t="s">
        <x:v>114</x:v>
      </x:c>
    </x:row>
    <x:row r="370" ht="27">
      <x:c r="A370" s="2">
        <x:v>1801</x:v>
      </x:c>
      <x:c r="B370" s="2">
        <x:v>2114273</x:v>
      </x:c>
      <x:c r="C370" s="2">
        <x:v>2208826</x:v>
      </x:c>
      <x:c r="D370" s="2">
        <x:v>167149</x:v>
      </x:c>
      <x:c r="E370" s="2" t="s">
        <x:v>163</x:v>
      </x:c>
      <x:c r="F370" s="2" t="s">
        <x:v>267</x:v>
      </x:c>
      <x:c r="G370" s="2" t="s">
        <x:v>134</x:v>
      </x:c>
      <x:c r="H370" s="2" t="s">
        <x:v>135</x:v>
      </x:c>
      <x:c r="I370" s="2" t="s">
        <x:v>159</x:v>
      </x:c>
      <x:c r="J370" s="2">
        <x:v>2</x:v>
      </x:c>
      <x:c r="K370" s="2" t="s">
        <x:v>117</x:v>
      </x:c>
      <x:c r="L370" s="2" t="s">
        <x:v>110</x:v>
      </x:c>
      <x:c r="M370" s="2"/>
      <x:c r="N370" s="2">
        <x:v>10.6</x:v>
      </x:c>
      <x:c r="O370" s="2">
        <x:v>7.2</x:v>
      </x:c>
      <x:c r="P370" s="2">
        <x:v>26</x:v>
      </x:c>
      <x:c r="Q370" s="2" t="s">
        <x:v>121</x:v>
      </x:c>
      <x:c r="R370" s="2">
        <x:v>10.6</x:v>
      </x:c>
      <x:c r="S370" s="2" t="s">
        <x:v>121</x:v>
      </x:c>
      <x:c r="T370" s="2">
        <x:v>25</x:v>
      </x:c>
      <x:c r="U370" s="2"/>
      <x:c r="V370" s="2">
        <x:v>8.1</x:v>
      </x:c>
      <x:c r="W370" s="2"/>
      <x:c r="X370" s="2" t="s">
        <x:v>274</x:v>
      </x:c>
      <x:c r="Y370" s="2" t="s">
        <x:v>113</x:v>
      </x:c>
      <x:c r="Z370" s="2" t="s">
        <x:v>114</x:v>
      </x:c>
    </x:row>
    <x:row r="371" ht="27">
      <x:c r="A371" s="2">
        <x:v>1876</x:v>
      </x:c>
      <x:c r="B371" s="2">
        <x:v>1179972</x:v>
      </x:c>
      <x:c r="C371" s="2">
        <x:v>81929</x:v>
      </x:c>
      <x:c r="D371" s="2">
        <x:v>15726</x:v>
      </x:c>
      <x:c r="E371" s="2" t="s">
        <x:v>16</x:v>
      </x:c>
      <x:c r="F371" s="2" t="s">
        <x:v>279</x:v>
      </x:c>
      <x:c r="G371" s="2" t="s">
        <x:v>116</x:v>
      </x:c>
      <x:c r="H371" s="2" t="s">
        <x:v>107</x:v>
      </x:c>
      <x:c r="I371" s="2" t="s">
        <x:v>108</x:v>
      </x:c>
      <x:c r="J371" s="2">
        <x:v>2</x:v>
      </x:c>
      <x:c r="K371" s="2" t="s">
        <x:v>117</x:v>
      </x:c>
      <x:c r="L371" s="2" t="s">
        <x:v>110</x:v>
      </x:c>
      <x:c r="M371" s="2"/>
      <x:c r="N371" s="2">
        <x:v>970</x:v>
      </x:c>
      <x:c r="O371" s="2"/>
      <x:c r="P371" s="2"/>
      <x:c r="Q371" s="2" t="s">
        <x:v>111</x:v>
      </x:c>
      <x:c r="R371" s="2">
        <x:v>970</x:v>
      </x:c>
      <x:c r="S371" s="2" t="s">
        <x:v>111</x:v>
      </x:c>
      <x:c r="T371" s="2">
        <x:v>24</x:v>
      </x:c>
      <x:c r="U371" s="2"/>
      <x:c r="V371" s="2"/>
      <x:c r="W371" s="2"/>
      <x:c r="X371" s="2" t="s">
        <x:v>248</x:v>
      </x:c>
      <x:c r="Y371" s="2" t="s">
        <x:v>113</x:v>
      </x:c>
      <x:c r="Z371" s="2" t="s">
        <x:v>114</x:v>
      </x:c>
    </x:row>
    <x:row r="372" ht="40.5">
      <x:c r="A372" s="2">
        <x:v>1919</x:v>
      </x:c>
      <x:c r="B372" s="2">
        <x:v>2136234</x:v>
      </x:c>
      <x:c r="C372" s="2">
        <x:v>2252281</x:v>
      </x:c>
      <x:c r="D372" s="2">
        <x:v>153073</x:v>
      </x:c>
      <x:c r="E372" s="2" t="s">
        <x:v>16</x:v>
      </x:c>
      <x:c r="F372" s="2" t="s">
        <x:v>279</x:v>
      </x:c>
      <x:c r="G372" s="2" t="s">
        <x:v>245</x:v>
      </x:c>
      <x:c r="H372" s="2" t="s">
        <x:v>234</x:v>
      </x:c>
      <x:c r="I372" s="2" t="s">
        <x:v>108</x:v>
      </x:c>
      <x:c r="J372" s="2">
        <x:v>4</x:v>
      </x:c>
      <x:c r="K372" s="2" t="s">
        <x:v>126</x:v>
      </x:c>
      <x:c r="L372" s="2" t="s">
        <x:v>110</x:v>
      </x:c>
      <x:c r="M372" s="2"/>
      <x:c r="N372" s="2">
        <x:v>0.3</x:v>
      </x:c>
      <x:c r="O372" s="2">
        <x:v>0.26</x:v>
      </x:c>
      <x:c r="P372" s="2">
        <x:v>0.36</x:v>
      </x:c>
      <x:c r="Q372" s="2" t="s">
        <x:v>121</x:v>
      </x:c>
      <x:c r="R372" s="2">
        <x:v>0.3</x:v>
      </x:c>
      <x:c r="S372" s="2" t="s">
        <x:v>121</x:v>
      </x:c>
      <x:c r="T372" s="2">
        <x:v>25</x:v>
      </x:c>
      <x:c r="U372" s="2">
        <x:v>15</x:v>
      </x:c>
      <x:c r="V372" s="2"/>
      <x:c r="W372" s="2"/>
      <x:c r="X372" s="2" t="s">
        <x:v>246</x:v>
      </x:c>
      <x:c r="Y372" s="2" t="s">
        <x:v>113</x:v>
      </x:c>
      <x:c r="Z372" s="2" t="s">
        <x:v>114</x:v>
      </x:c>
    </x:row>
    <x:row r="373" ht="27">
      <x:c r="A373" s="2">
        <x:v>1928</x:v>
      </x:c>
      <x:c r="B373" s="2">
        <x:v>1135993</x:v>
      </x:c>
      <x:c r="C373" s="2">
        <x:v>90613</x:v>
      </x:c>
      <x:c r="D373" s="2">
        <x:v>11097</x:v>
      </x:c>
      <x:c r="E373" s="2" t="s">
        <x:v>16</x:v>
      </x:c>
      <x:c r="F373" s="2" t="s">
        <x:v>279</x:v>
      </x:c>
      <x:c r="G373" s="2" t="s">
        <x:v>116</x:v>
      </x:c>
      <x:c r="H373" s="2" t="s">
        <x:v>107</x:v>
      </x:c>
      <x:c r="I373" s="2"/>
      <x:c r="J373" s="2">
        <x:v>2</x:v>
      </x:c>
      <x:c r="K373" s="2" t="s">
        <x:v>117</x:v>
      </x:c>
      <x:c r="L373" s="2" t="s">
        <x:v>110</x:v>
      </x:c>
      <x:c r="M373" s="2"/>
      <x:c r="N373" s="2">
        <x:v>872.7</x:v>
      </x:c>
      <x:c r="O373" s="2"/>
      <x:c r="P373" s="2"/>
      <x:c r="Q373" s="2" t="s">
        <x:v>111</x:v>
      </x:c>
      <x:c r="R373" s="2">
        <x:v>872.7</x:v>
      </x:c>
      <x:c r="S373" s="2" t="s">
        <x:v>111</x:v>
      </x:c>
      <x:c r="T373" s="2">
        <x:v>18</x:v>
      </x:c>
      <x:c r="U373" s="2">
        <x:v>38</x:v>
      </x:c>
      <x:c r="V373" s="2"/>
      <x:c r="W373" s="2"/>
      <x:c r="X373" s="2" t="s">
        <x:v>239</x:v>
      </x:c>
      <x:c r="Y373" s="2" t="s">
        <x:v>113</x:v>
      </x:c>
      <x:c r="Z373" s="2" t="s">
        <x:v>114</x:v>
      </x:c>
    </x:row>
    <x:row r="374" ht="27">
      <x:c r="A374" s="2">
        <x:v>1932</x:v>
      </x:c>
      <x:c r="B374" s="2">
        <x:v>1070633</x:v>
      </x:c>
      <x:c r="C374" s="2">
        <x:v>15838</x:v>
      </x:c>
      <x:c r="D374" s="2">
        <x:v>5563</x:v>
      </x:c>
      <x:c r="E374" s="2" t="s">
        <x:v>16</x:v>
      </x:c>
      <x:c r="F374" s="2" t="s">
        <x:v>279</x:v>
      </x:c>
      <x:c r="G374" s="2" t="s">
        <x:v>202</x:v>
      </x:c>
      <x:c r="H374" s="2" t="s">
        <x:v>135</x:v>
      </x:c>
      <x:c r="I374" s="2" t="s">
        <x:v>159</x:v>
      </x:c>
      <x:c r="J374" s="2">
        <x:v>1</x:v>
      </x:c>
      <x:c r="K374" s="2" t="s">
        <x:v>117</x:v>
      </x:c>
      <x:c r="L374" s="2" t="s">
        <x:v>110</x:v>
      </x:c>
      <x:c r="M374" s="2"/>
      <x:c r="N374" s="2">
        <x:v>2710</x:v>
      </x:c>
      <x:c r="O374" s="2">
        <x:v>2070</x:v>
      </x:c>
      <x:c r="P374" s="2">
        <x:v>5220</x:v>
      </x:c>
      <x:c r="Q374" s="2" t="s">
        <x:v>111</x:v>
      </x:c>
      <x:c r="R374" s="2">
        <x:v>2710</x:v>
      </x:c>
      <x:c r="S374" s="2" t="s">
        <x:v>111</x:v>
      </x:c>
      <x:c r="T374" s="2">
        <x:v>17</x:v>
      </x:c>
      <x:c r="U374" s="2"/>
      <x:c r="V374" s="2"/>
      <x:c r="W374" s="2"/>
      <x:c r="X374" s="2" t="s">
        <x:v>200</x:v>
      </x:c>
      <x:c r="Y374" s="2" t="s">
        <x:v>113</x:v>
      </x:c>
      <x:c r="Z374" s="2" t="s">
        <x:v>114</x:v>
      </x:c>
    </x:row>
    <x:row r="375" ht="27">
      <x:c r="A375" s="2">
        <x:v>1944</x:v>
      </x:c>
      <x:c r="B375" s="2">
        <x:v>2307791</x:v>
      </x:c>
      <x:c r="C375" s="2">
        <x:v>2748533</x:v>
      </x:c>
      <x:c r="D375" s="2">
        <x:v>192310</x:v>
      </x:c>
      <x:c r="E375" s="2" t="s">
        <x:v>16</x:v>
      </x:c>
      <x:c r="F375" s="2" t="s">
        <x:v>279</x:v>
      </x:c>
      <x:c r="G375" s="2" t="s">
        <x:v>233</x:v>
      </x:c>
      <x:c r="H375" s="2" t="s">
        <x:v>234</x:v>
      </x:c>
      <x:c r="I375" s="2" t="s">
        <x:v>108</x:v>
      </x:c>
      <x:c r="J375" s="2">
        <x:v>4</x:v>
      </x:c>
      <x:c r="K375" s="2" t="s">
        <x:v>126</x:v>
      </x:c>
      <x:c r="L375" s="2" t="s">
        <x:v>120</x:v>
      </x:c>
      <x:c r="M375" s="2"/>
      <x:c r="N375" s="2">
        <x:v>1.9E-2</x:v>
      </x:c>
      <x:c r="O375" s="2"/>
      <x:c r="P375" s="2"/>
      <x:c r="Q375" s="2" t="s">
        <x:v>121</x:v>
      </x:c>
      <x:c r="R375" s="2">
        <x:v>1.9E-2</x:v>
      </x:c>
      <x:c r="S375" s="2" t="s">
        <x:v>121</x:v>
      </x:c>
      <x:c r="T375" s="2">
        <x:v>26</x:v>
      </x:c>
      <x:c r="U375" s="2">
        <x:v>29.5</x:v>
      </x:c>
      <x:c r="V375" s="2">
        <x:v>7.8</x:v>
      </x:c>
      <x:c r="W375" s="2"/>
      <x:c r="X375" s="2" t="s">
        <x:v>232</x:v>
      </x:c>
      <x:c r="Y375" s="2" t="s">
        <x:v>113</x:v>
      </x:c>
      <x:c r="Z375" s="2" t="s">
        <x:v>114</x:v>
      </x:c>
    </x:row>
    <x:row r="376" ht="27">
      <x:c r="A376" s="2">
        <x:v>1981</x:v>
      </x:c>
      <x:c r="B376" s="2">
        <x:v>1070632</x:v>
      </x:c>
      <x:c r="C376" s="2">
        <x:v>15837</x:v>
      </x:c>
      <x:c r="D376" s="2">
        <x:v>5563</x:v>
      </x:c>
      <x:c r="E376" s="2" t="s">
        <x:v>16</x:v>
      </x:c>
      <x:c r="F376" s="2" t="s">
        <x:v>279</x:v>
      </x:c>
      <x:c r="G376" s="2" t="s">
        <x:v>203</x:v>
      </x:c>
      <x:c r="H376" s="2" t="s">
        <x:v>135</x:v>
      </x:c>
      <x:c r="I376" s="2" t="s">
        <x:v>159</x:v>
      </x:c>
      <x:c r="J376" s="2">
        <x:v>1</x:v>
      </x:c>
      <x:c r="K376" s="2" t="s">
        <x:v>117</x:v>
      </x:c>
      <x:c r="L376" s="2" t="s">
        <x:v>110</x:v>
      </x:c>
      <x:c r="M376" s="2"/>
      <x:c r="N376" s="2">
        <x:v>1370</x:v>
      </x:c>
      <x:c r="O376" s="2">
        <x:v>1050</x:v>
      </x:c>
      <x:c r="P376" s="2">
        <x:v>1760</x:v>
      </x:c>
      <x:c r="Q376" s="2" t="s">
        <x:v>111</x:v>
      </x:c>
      <x:c r="R376" s="2">
        <x:v>1370</x:v>
      </x:c>
      <x:c r="S376" s="2" t="s">
        <x:v>111</x:v>
      </x:c>
      <x:c r="T376" s="2">
        <x:v>17</x:v>
      </x:c>
      <x:c r="U376" s="2"/>
      <x:c r="V376" s="2"/>
      <x:c r="W376" s="2"/>
      <x:c r="X376" s="2" t="s">
        <x:v>200</x:v>
      </x:c>
      <x:c r="Y376" s="2" t="s">
        <x:v>113</x:v>
      </x:c>
      <x:c r="Z376" s="2" t="s">
        <x:v>114</x:v>
      </x:c>
    </x:row>
    <x:row r="377" ht="27">
      <x:c r="A377" s="2">
        <x:v>2000</x:v>
      </x:c>
      <x:c r="B377" s="2">
        <x:v>2307795</x:v>
      </x:c>
      <x:c r="C377" s="2">
        <x:v>2748541</x:v>
      </x:c>
      <x:c r="D377" s="2">
        <x:v>192310</x:v>
      </x:c>
      <x:c r="E377" s="2" t="s">
        <x:v>16</x:v>
      </x:c>
      <x:c r="F377" s="2" t="s">
        <x:v>279</x:v>
      </x:c>
      <x:c r="G377" s="2" t="s">
        <x:v>231</x:v>
      </x:c>
      <x:c r="H377" s="2" t="s">
        <x:v>135</x:v>
      </x:c>
      <x:c r="I377" s="2" t="s">
        <x:v>108</x:v>
      </x:c>
      <x:c r="J377" s="2">
        <x:v>4</x:v>
      </x:c>
      <x:c r="K377" s="2" t="s">
        <x:v>126</x:v>
      </x:c>
      <x:c r="L377" s="2" t="s">
        <x:v>120</x:v>
      </x:c>
      <x:c r="M377" s="2"/>
      <x:c r="N377" s="2">
        <x:v>3.2000000000000001E-2</x:v>
      </x:c>
      <x:c r="O377" s="2"/>
      <x:c r="P377" s="2"/>
      <x:c r="Q377" s="2" t="s">
        <x:v>121</x:v>
      </x:c>
      <x:c r="R377" s="2">
        <x:v>3.2000000000000001E-2</x:v>
      </x:c>
      <x:c r="S377" s="2" t="s">
        <x:v>121</x:v>
      </x:c>
      <x:c r="T377" s="2">
        <x:v>26</x:v>
      </x:c>
      <x:c r="U377" s="2">
        <x:v>29.5</x:v>
      </x:c>
      <x:c r="V377" s="2">
        <x:v>7.8</x:v>
      </x:c>
      <x:c r="W377" s="2"/>
      <x:c r="X377" s="2" t="s">
        <x:v>232</x:v>
      </x:c>
      <x:c r="Y377" s="2" t="s">
        <x:v>113</x:v>
      </x:c>
      <x:c r="Z377" s="2" t="s">
        <x:v>114</x:v>
      </x:c>
    </x:row>
    <x:row r="378" ht="27">
      <x:c r="A378" s="2">
        <x:v>2009</x:v>
      </x:c>
      <x:c r="B378" s="2">
        <x:v>1135991</x:v>
      </x:c>
      <x:c r="C378" s="2">
        <x:v>90611</x:v>
      </x:c>
      <x:c r="D378" s="2">
        <x:v>11097</x:v>
      </x:c>
      <x:c r="E378" s="2" t="s">
        <x:v>16</x:v>
      </x:c>
      <x:c r="F378" s="2" t="s">
        <x:v>279</x:v>
      </x:c>
      <x:c r="G378" s="2" t="s">
        <x:v>116</x:v>
      </x:c>
      <x:c r="H378" s="2" t="s">
        <x:v>107</x:v>
      </x:c>
      <x:c r="I378" s="2" t="s">
        <x:v>224</x:v>
      </x:c>
      <x:c r="J378" s="2">
        <x:v>2</x:v>
      </x:c>
      <x:c r="K378" s="2" t="s">
        <x:v>117</x:v>
      </x:c>
      <x:c r="L378" s="2" t="s">
        <x:v>110</x:v>
      </x:c>
      <x:c r="M378" s="2"/>
      <x:c r="N378" s="2">
        <x:v>906.1</x:v>
      </x:c>
      <x:c r="O378" s="2"/>
      <x:c r="P378" s="2"/>
      <x:c r="Q378" s="2" t="s">
        <x:v>111</x:v>
      </x:c>
      <x:c r="R378" s="2">
        <x:v>906.1</x:v>
      </x:c>
      <x:c r="S378" s="2" t="s">
        <x:v>111</x:v>
      </x:c>
      <x:c r="T378" s="2">
        <x:v>18</x:v>
      </x:c>
      <x:c r="U378" s="2">
        <x:v>38</x:v>
      </x:c>
      <x:c r="V378" s="2"/>
      <x:c r="W378" s="2"/>
      <x:c r="X378" s="2" t="s">
        <x:v>239</x:v>
      </x:c>
      <x:c r="Y378" s="2" t="s">
        <x:v>113</x:v>
      </x:c>
      <x:c r="Z378" s="2" t="s">
        <x:v>114</x:v>
      </x:c>
    </x:row>
    <x:row r="379" ht="27">
      <x:c r="A379" s="2">
        <x:v>2014</x:v>
      </x:c>
      <x:c r="B379" s="2">
        <x:v>1135990</x:v>
      </x:c>
      <x:c r="C379" s="2">
        <x:v>90610</x:v>
      </x:c>
      <x:c r="D379" s="2">
        <x:v>11097</x:v>
      </x:c>
      <x:c r="E379" s="2" t="s">
        <x:v>16</x:v>
      </x:c>
      <x:c r="F379" s="2" t="s">
        <x:v>279</x:v>
      </x:c>
      <x:c r="G379" s="2" t="s">
        <x:v>116</x:v>
      </x:c>
      <x:c r="H379" s="2" t="s">
        <x:v>107</x:v>
      </x:c>
      <x:c r="I379" s="2" t="s">
        <x:v>125</x:v>
      </x:c>
      <x:c r="J379" s="2">
        <x:v>2</x:v>
      </x:c>
      <x:c r="K379" s="2" t="s">
        <x:v>117</x:v>
      </x:c>
      <x:c r="L379" s="2" t="s">
        <x:v>110</x:v>
      </x:c>
      <x:c r="M379" s="2"/>
      <x:c r="N379" s="2">
        <x:v>645</x:v>
      </x:c>
      <x:c r="O379" s="2"/>
      <x:c r="P379" s="2"/>
      <x:c r="Q379" s="2" t="s">
        <x:v>111</x:v>
      </x:c>
      <x:c r="R379" s="2">
        <x:v>645</x:v>
      </x:c>
      <x:c r="S379" s="2" t="s">
        <x:v>111</x:v>
      </x:c>
      <x:c r="T379" s="2">
        <x:v>18</x:v>
      </x:c>
      <x:c r="U379" s="2">
        <x:v>38</x:v>
      </x:c>
      <x:c r="V379" s="2"/>
      <x:c r="W379" s="2"/>
      <x:c r="X379" s="2" t="s">
        <x:v>239</x:v>
      </x:c>
      <x:c r="Y379" s="2" t="s">
        <x:v>113</x:v>
      </x:c>
      <x:c r="Z379" s="2" t="s">
        <x:v>114</x:v>
      </x:c>
    </x:row>
    <x:row r="380" ht="27">
      <x:c r="A380" s="2">
        <x:v>2021</x:v>
      </x:c>
      <x:c r="B380" s="2">
        <x:v>1165807</x:v>
      </x:c>
      <x:c r="C380" s="2">
        <x:v>189248</x:v>
      </x:c>
      <x:c r="D380" s="2">
        <x:v>14601</x:v>
      </x:c>
      <x:c r="E380" s="2" t="s">
        <x:v>16</x:v>
      </x:c>
      <x:c r="F380" s="2" t="s">
        <x:v>279</x:v>
      </x:c>
      <x:c r="G380" s="2" t="s">
        <x:v>146</x:v>
      </x:c>
      <x:c r="H380" s="2" t="s">
        <x:v>135</x:v>
      </x:c>
      <x:c r="I380" s="2" t="s">
        <x:v>108</x:v>
      </x:c>
      <x:c r="J380" s="2">
        <x:v>3</x:v>
      </x:c>
      <x:c r="K380" s="2" t="s">
        <x:v>117</x:v>
      </x:c>
      <x:c r="L380" s="2" t="s">
        <x:v>110</x:v>
      </x:c>
      <x:c r="M380" s="2"/>
      <x:c r="N380" s="2">
        <x:v>1910</x:v>
      </x:c>
      <x:c r="O380" s="2">
        <x:v>1350</x:v>
      </x:c>
      <x:c r="P380" s="2">
        <x:v>2708</x:v>
      </x:c>
      <x:c r="Q380" s="2" t="s">
        <x:v>111</x:v>
      </x:c>
      <x:c r="R380" s="2">
        <x:v>1910</x:v>
      </x:c>
      <x:c r="S380" s="2" t="s">
        <x:v>111</x:v>
      </x:c>
      <x:c r="T380" s="2">
        <x:v>15</x:v>
      </x:c>
      <x:c r="U380" s="2">
        <x:v>30</x:v>
      </x:c>
      <x:c r="V380" s="2"/>
      <x:c r="W380" s="2"/>
      <x:c r="X380" s="2" t="s">
        <x:v>280</x:v>
      </x:c>
      <x:c r="Y380" s="2" t="s">
        <x:v>113</x:v>
      </x:c>
      <x:c r="Z380" s="2" t="s">
        <x:v>114</x:v>
      </x:c>
    </x:row>
    <x:row r="381" ht="27">
      <x:c r="A381" s="2">
        <x:v>2062</x:v>
      </x:c>
      <x:c r="B381" s="2">
        <x:v>1135989</x:v>
      </x:c>
      <x:c r="C381" s="2">
        <x:v>90609</x:v>
      </x:c>
      <x:c r="D381" s="2">
        <x:v>11097</x:v>
      </x:c>
      <x:c r="E381" s="2" t="s">
        <x:v>16</x:v>
      </x:c>
      <x:c r="F381" s="2" t="s">
        <x:v>279</x:v>
      </x:c>
      <x:c r="G381" s="2" t="s">
        <x:v>116</x:v>
      </x:c>
      <x:c r="H381" s="2" t="s">
        <x:v>107</x:v>
      </x:c>
      <x:c r="I381" s="2" t="s">
        <x:v>125</x:v>
      </x:c>
      <x:c r="J381" s="2">
        <x:v>2</x:v>
      </x:c>
      <x:c r="K381" s="2" t="s">
        <x:v>117</x:v>
      </x:c>
      <x:c r="L381" s="2" t="s">
        <x:v>110</x:v>
      </x:c>
      <x:c r="M381" s="2"/>
      <x:c r="N381" s="2">
        <x:v>538.4</x:v>
      </x:c>
      <x:c r="O381" s="2"/>
      <x:c r="P381" s="2"/>
      <x:c r="Q381" s="2" t="s">
        <x:v>111</x:v>
      </x:c>
      <x:c r="R381" s="2">
        <x:v>538.4</x:v>
      </x:c>
      <x:c r="S381" s="2" t="s">
        <x:v>111</x:v>
      </x:c>
      <x:c r="T381" s="2">
        <x:v>18</x:v>
      </x:c>
      <x:c r="U381" s="2">
        <x:v>38</x:v>
      </x:c>
      <x:c r="V381" s="2"/>
      <x:c r="W381" s="2"/>
      <x:c r="X381" s="2" t="s">
        <x:v>239</x:v>
      </x:c>
      <x:c r="Y381" s="2" t="s">
        <x:v>113</x:v>
      </x:c>
      <x:c r="Z381" s="2" t="s">
        <x:v>114</x:v>
      </x:c>
    </x:row>
    <x:row r="382" ht="27">
      <x:c r="A382" s="2">
        <x:v>2092</x:v>
      </x:c>
      <x:c r="B382" s="2">
        <x:v>1135992</x:v>
      </x:c>
      <x:c r="C382" s="2">
        <x:v>90612</x:v>
      </x:c>
      <x:c r="D382" s="2">
        <x:v>11097</x:v>
      </x:c>
      <x:c r="E382" s="2" t="s">
        <x:v>16</x:v>
      </x:c>
      <x:c r="F382" s="2" t="s">
        <x:v>279</x:v>
      </x:c>
      <x:c r="G382" s="2" t="s">
        <x:v>116</x:v>
      </x:c>
      <x:c r="H382" s="2" t="s">
        <x:v>107</x:v>
      </x:c>
      <x:c r="I382" s="2"/>
      <x:c r="J382" s="2">
        <x:v>2</x:v>
      </x:c>
      <x:c r="K382" s="2" t="s">
        <x:v>117</x:v>
      </x:c>
      <x:c r="L382" s="2" t="s">
        <x:v>110</x:v>
      </x:c>
      <x:c r="M382" s="2"/>
      <x:c r="N382" s="2">
        <x:v>916.6</x:v>
      </x:c>
      <x:c r="O382" s="2"/>
      <x:c r="P382" s="2"/>
      <x:c r="Q382" s="2" t="s">
        <x:v>111</x:v>
      </x:c>
      <x:c r="R382" s="2">
        <x:v>916.6</x:v>
      </x:c>
      <x:c r="S382" s="2" t="s">
        <x:v>111</x:v>
      </x:c>
      <x:c r="T382" s="2">
        <x:v>18</x:v>
      </x:c>
      <x:c r="U382" s="2">
        <x:v>38</x:v>
      </x:c>
      <x:c r="V382" s="2"/>
      <x:c r="W382" s="2"/>
      <x:c r="X382" s="2" t="s">
        <x:v>239</x:v>
      </x:c>
      <x:c r="Y382" s="2" t="s">
        <x:v>113</x:v>
      </x:c>
      <x:c r="Z382" s="2" t="s">
        <x:v>114</x:v>
      </x:c>
    </x:row>
    <x:row r="383" ht="27">
      <x:c r="A383" s="2">
        <x:v>2093</x:v>
      </x:c>
      <x:c r="B383" s="2">
        <x:v>1070634</x:v>
      </x:c>
      <x:c r="C383" s="2">
        <x:v>15839</x:v>
      </x:c>
      <x:c r="D383" s="2">
        <x:v>5563</x:v>
      </x:c>
      <x:c r="E383" s="2" t="s">
        <x:v>16</x:v>
      </x:c>
      <x:c r="F383" s="2" t="s">
        <x:v>279</x:v>
      </x:c>
      <x:c r="G383" s="2" t="s">
        <x:v>199</x:v>
      </x:c>
      <x:c r="H383" s="2" t="s">
        <x:v>107</x:v>
      </x:c>
      <x:c r="I383" s="2" t="s">
        <x:v>159</x:v>
      </x:c>
      <x:c r="J383" s="2">
        <x:v>1</x:v>
      </x:c>
      <x:c r="K383" s="2" t="s">
        <x:v>117</x:v>
      </x:c>
      <x:c r="L383" s="2" t="s">
        <x:v>110</x:v>
      </x:c>
      <x:c r="M383" s="2"/>
      <x:c r="N383" s="2">
        <x:v>660</x:v>
      </x:c>
      <x:c r="O383" s="2">
        <x:v>470</x:v>
      </x:c>
      <x:c r="P383" s="2">
        <x:v>970</x:v>
      </x:c>
      <x:c r="Q383" s="2" t="s">
        <x:v>111</x:v>
      </x:c>
      <x:c r="R383" s="2">
        <x:v>660</x:v>
      </x:c>
      <x:c r="S383" s="2" t="s">
        <x:v>111</x:v>
      </x:c>
      <x:c r="T383" s="2">
        <x:v>17</x:v>
      </x:c>
      <x:c r="U383" s="2"/>
      <x:c r="V383" s="2"/>
      <x:c r="W383" s="2"/>
      <x:c r="X383" s="2" t="s">
        <x:v>200</x:v>
      </x:c>
      <x:c r="Y383" s="2" t="s">
        <x:v>113</x:v>
      </x:c>
      <x:c r="Z383" s="2" t="s">
        <x:v>114</x:v>
      </x:c>
    </x:row>
    <x:row r="384" ht="27">
      <x:c r="A384" s="2">
        <x:v>2126</x:v>
      </x:c>
      <x:c r="B384" s="2">
        <x:v>1204994</x:v>
      </x:c>
      <x:c r="C384" s="2">
        <x:v>171132</x:v>
      </x:c>
      <x:c r="D384" s="2">
        <x:v>18671</x:v>
      </x:c>
      <x:c r="E384" s="2" t="s">
        <x:v>16</x:v>
      </x:c>
      <x:c r="F384" s="2" t="s">
        <x:v>279</x:v>
      </x:c>
      <x:c r="G384" s="2" t="s">
        <x:v>150</x:v>
      </x:c>
      <x:c r="H384" s="2" t="s">
        <x:v>135</x:v>
      </x:c>
      <x:c r="I384" s="2" t="s">
        <x:v>224</x:v>
      </x:c>
      <x:c r="J384" s="2">
        <x:v>4</x:v>
      </x:c>
      <x:c r="K384" s="2" t="s">
        <x:v>117</x:v>
      </x:c>
      <x:c r="L384" s="2" t="s">
        <x:v>281</x:v>
      </x:c>
      <x:c r="M384" s="2" t="s">
        <x:v>184</x:v>
      </x:c>
      <x:c r="N384" s="2">
        <x:v>10</x:v>
      </x:c>
      <x:c r="O384" s="2"/>
      <x:c r="P384" s="2"/>
      <x:c r="Q384" s="2" t="s">
        <x:v>111</x:v>
      </x:c>
      <x:c r="R384" s="2">
        <x:v>10</x:v>
      </x:c>
      <x:c r="S384" s="2" t="s">
        <x:v>111</x:v>
      </x:c>
      <x:c r="T384" s="2"/>
      <x:c r="U384" s="2"/>
      <x:c r="V384" s="2"/>
      <x:c r="W384" s="2"/>
      <x:c r="X384" s="2" t="s">
        <x:v>282</x:v>
      </x:c>
      <x:c r="Y384" s="2" t="s">
        <x:v>123</x:v>
      </x:c>
      <x:c r="Z384" s="2" t="s">
        <x:v>283</x:v>
      </x:c>
    </x:row>
    <x:row r="385">
      <x:c r="A385" s="2">
        <x:v>2128</x:v>
      </x:c>
      <x:c r="B385" s="2">
        <x:v>1129768</x:v>
      </x:c>
      <x:c r="C385" s="2">
        <x:v>85199</x:v>
      </x:c>
      <x:c r="D385" s="2">
        <x:v>10443</x:v>
      </x:c>
      <x:c r="E385" s="2" t="s">
        <x:v>16</x:v>
      </x:c>
      <x:c r="F385" s="2" t="s">
        <x:v>279</x:v>
      </x:c>
      <x:c r="G385" s="2" t="s">
        <x:v>150</x:v>
      </x:c>
      <x:c r="H385" s="2" t="s">
        <x:v>135</x:v>
      </x:c>
      <x:c r="I385" s="2" t="s">
        <x:v>125</x:v>
      </x:c>
      <x:c r="J385" s="2">
        <x:v>4</x:v>
      </x:c>
      <x:c r="K385" s="2" t="s">
        <x:v>117</x:v>
      </x:c>
      <x:c r="L385" s="2" t="s">
        <x:v>110</x:v>
      </x:c>
      <x:c r="M385" s="2"/>
      <x:c r="N385" s="2">
        <x:v>60</x:v>
      </x:c>
      <x:c r="O385" s="2">
        <x:v>1</x:v>
      </x:c>
      <x:c r="P385" s="2">
        <x:v>200</x:v>
      </x:c>
      <x:c r="Q385" s="2" t="s">
        <x:v>111</x:v>
      </x:c>
      <x:c r="R385" s="2">
        <x:v>60</x:v>
      </x:c>
      <x:c r="S385" s="2" t="s">
        <x:v>111</x:v>
      </x:c>
      <x:c r="T385" s="2">
        <x:v>22</x:v>
      </x:c>
      <x:c r="U385" s="2">
        <x:v>10</x:v>
      </x:c>
      <x:c r="V385" s="2"/>
      <x:c r="W385" s="2"/>
      <x:c r="X385" s="2" t="s">
        <x:v>284</x:v>
      </x:c>
      <x:c r="Y385" s="2" t="s">
        <x:v>113</x:v>
      </x:c>
      <x:c r="Z385" s="2" t="s">
        <x:v>114</x:v>
      </x:c>
    </x:row>
    <x:row r="386" ht="40.5">
      <x:c r="A386" s="2">
        <x:v>2132</x:v>
      </x:c>
      <x:c r="B386" s="2">
        <x:v>1116278</x:v>
      </x:c>
      <x:c r="C386" s="2">
        <x:v>107520</x:v>
      </x:c>
      <x:c r="D386" s="2">
        <x:v>9029</x:v>
      </x:c>
      <x:c r="E386" s="2" t="s">
        <x:v>16</x:v>
      </x:c>
      <x:c r="F386" s="2" t="s">
        <x:v>279</x:v>
      </x:c>
      <x:c r="G386" s="2" t="s">
        <x:v>134</x:v>
      </x:c>
      <x:c r="H386" s="2" t="s">
        <x:v>135</x:v>
      </x:c>
      <x:c r="I386" s="2" t="s">
        <x:v>108</x:v>
      </x:c>
      <x:c r="J386" s="2">
        <x:v>4</x:v>
      </x:c>
      <x:c r="K386" s="2" t="s">
        <x:v>117</x:v>
      </x:c>
      <x:c r="L386" s="2" t="s">
        <x:v>110</x:v>
      </x:c>
      <x:c r="M386" s="2"/>
      <x:c r="N386" s="2">
        <x:v>151</x:v>
      </x:c>
      <x:c r="O386" s="2">
        <x:v>120</x:v>
      </x:c>
      <x:c r="P386" s="2">
        <x:v>191</x:v>
      </x:c>
      <x:c r="Q386" s="2" t="s">
        <x:v>111</x:v>
      </x:c>
      <x:c r="R386" s="2">
        <x:v>151</x:v>
      </x:c>
      <x:c r="S386" s="2" t="s">
        <x:v>111</x:v>
      </x:c>
      <x:c r="T386" s="2">
        <x:v>13</x:v>
      </x:c>
      <x:c r="U386" s="2">
        <x:v>20</x:v>
      </x:c>
      <x:c r="V386" s="2"/>
      <x:c r="W386" s="2"/>
      <x:c r="X386" s="2" t="s">
        <x:v>285</x:v>
      </x:c>
      <x:c r="Y386" s="2" t="s">
        <x:v>113</x:v>
      </x:c>
      <x:c r="Z386" s="2" t="s">
        <x:v>114</x:v>
      </x:c>
    </x:row>
    <x:row r="387">
      <x:c r="A387" s="2">
        <x:v>2137</x:v>
      </x:c>
      <x:c r="B387" s="2">
        <x:v>1129769</x:v>
      </x:c>
      <x:c r="C387" s="2">
        <x:v>85200</x:v>
      </x:c>
      <x:c r="D387" s="2">
        <x:v>10443</x:v>
      </x:c>
      <x:c r="E387" s="2" t="s">
        <x:v>16</x:v>
      </x:c>
      <x:c r="F387" s="2" t="s">
        <x:v>279</x:v>
      </x:c>
      <x:c r="G387" s="2" t="s">
        <x:v>134</x:v>
      </x:c>
      <x:c r="H387" s="2" t="s">
        <x:v>135</x:v>
      </x:c>
      <x:c r="I387" s="2" t="s">
        <x:v>125</x:v>
      </x:c>
      <x:c r="J387" s="2">
        <x:v>4</x:v>
      </x:c>
      <x:c r="K387" s="2" t="s">
        <x:v>117</x:v>
      </x:c>
      <x:c r="L387" s="2" t="s">
        <x:v>110</x:v>
      </x:c>
      <x:c r="M387" s="2"/>
      <x:c r="N387" s="2">
        <x:v>380</x:v>
      </x:c>
      <x:c r="O387" s="2">
        <x:v>6</x:v>
      </x:c>
      <x:c r="P387" s="2">
        <x:v>1520</x:v>
      </x:c>
      <x:c r="Q387" s="2" t="s">
        <x:v>111</x:v>
      </x:c>
      <x:c r="R387" s="2">
        <x:v>380</x:v>
      </x:c>
      <x:c r="S387" s="2" t="s">
        <x:v>111</x:v>
      </x:c>
      <x:c r="T387" s="2">
        <x:v>22</x:v>
      </x:c>
      <x:c r="U387" s="2">
        <x:v>10</x:v>
      </x:c>
      <x:c r="V387" s="2"/>
      <x:c r="W387" s="2"/>
      <x:c r="X387" s="2" t="s">
        <x:v>284</x:v>
      </x:c>
      <x:c r="Y387" s="2" t="s">
        <x:v>113</x:v>
      </x:c>
      <x:c r="Z387" s="2" t="s">
        <x:v>114</x:v>
      </x:c>
    </x:row>
    <x:row r="388" ht="40.5">
      <x:c r="A388" s="2">
        <x:v>2144</x:v>
      </x:c>
      <x:c r="B388" s="2">
        <x:v>1159839</x:v>
      </x:c>
      <x:c r="C388" s="2">
        <x:v>142848</x:v>
      </x:c>
      <x:c r="D388" s="2">
        <x:v>14137</x:v>
      </x:c>
      <x:c r="E388" s="2" t="s">
        <x:v>16</x:v>
      </x:c>
      <x:c r="F388" s="2" t="s">
        <x:v>279</x:v>
      </x:c>
      <x:c r="G388" s="2" t="s">
        <x:v>132</x:v>
      </x:c>
      <x:c r="H388" s="2" t="s">
        <x:v>107</x:v>
      </x:c>
      <x:c r="I388" s="2" t="s">
        <x:v>108</x:v>
      </x:c>
      <x:c r="J388" s="2">
        <x:v>4</x:v>
      </x:c>
      <x:c r="K388" s="2" t="s">
        <x:v>126</x:v>
      </x:c>
      <x:c r="L388" s="2" t="s">
        <x:v>110</x:v>
      </x:c>
      <x:c r="M388" s="2"/>
      <x:c r="N388" s="2">
        <x:v>340</x:v>
      </x:c>
      <x:c r="O388" s="2"/>
      <x:c r="P388" s="2"/>
      <x:c r="Q388" s="2" t="s">
        <x:v>111</x:v>
      </x:c>
      <x:c r="R388" s="2">
        <x:v>340</x:v>
      </x:c>
      <x:c r="S388" s="2" t="s">
        <x:v>111</x:v>
      </x:c>
      <x:c r="T388" s="2"/>
      <x:c r="U388" s="2"/>
      <x:c r="V388" s="2"/>
      <x:c r="W388" s="2"/>
      <x:c r="X388" s="2" t="s">
        <x:v>133</x:v>
      </x:c>
      <x:c r="Y388" s="2" t="s">
        <x:v>113</x:v>
      </x:c>
      <x:c r="Z388" s="2" t="s">
        <x:v>114</x:v>
      </x:c>
    </x:row>
    <x:row r="389" ht="40.5">
      <x:c r="A389" s="2">
        <x:v>2154</x:v>
      </x:c>
      <x:c r="B389" s="2">
        <x:v>1159838</x:v>
      </x:c>
      <x:c r="C389" s="2">
        <x:v>142847</x:v>
      </x:c>
      <x:c r="D389" s="2">
        <x:v>14137</x:v>
      </x:c>
      <x:c r="E389" s="2" t="s">
        <x:v>16</x:v>
      </x:c>
      <x:c r="F389" s="2" t="s">
        <x:v>279</x:v>
      </x:c>
      <x:c r="G389" s="2" t="s">
        <x:v>132</x:v>
      </x:c>
      <x:c r="H389" s="2" t="s">
        <x:v>107</x:v>
      </x:c>
      <x:c r="I389" s="2" t="s">
        <x:v>125</x:v>
      </x:c>
      <x:c r="J389" s="2">
        <x:v>4</x:v>
      </x:c>
      <x:c r="K389" s="2" t="s">
        <x:v>126</x:v>
      </x:c>
      <x:c r="L389" s="2" t="s">
        <x:v>110</x:v>
      </x:c>
      <x:c r="M389" s="2"/>
      <x:c r="N389" s="2">
        <x:v>460</x:v>
      </x:c>
      <x:c r="O389" s="2"/>
      <x:c r="P389" s="2"/>
      <x:c r="Q389" s="2" t="s">
        <x:v>111</x:v>
      </x:c>
      <x:c r="R389" s="2">
        <x:v>460</x:v>
      </x:c>
      <x:c r="S389" s="2" t="s">
        <x:v>111</x:v>
      </x:c>
      <x:c r="T389" s="2"/>
      <x:c r="U389" s="2"/>
      <x:c r="V389" s="2"/>
      <x:c r="W389" s="2"/>
      <x:c r="X389" s="2" t="s">
        <x:v>133</x:v>
      </x:c>
      <x:c r="Y389" s="2" t="s">
        <x:v>113</x:v>
      </x:c>
      <x:c r="Z389" s="2" t="s">
        <x:v>114</x:v>
      </x:c>
    </x:row>
    <x:row r="390" ht="54">
      <x:c r="A390" s="2">
        <x:v>2155</x:v>
      </x:c>
      <x:c r="B390" s="2">
        <x:v>1210147</x:v>
      </x:c>
      <x:c r="C390" s="2">
        <x:v>186387</x:v>
      </x:c>
      <x:c r="D390" s="2">
        <x:v>19281</x:v>
      </x:c>
      <x:c r="E390" s="2" t="s">
        <x:v>16</x:v>
      </x:c>
      <x:c r="F390" s="2" t="s">
        <x:v>279</x:v>
      </x:c>
      <x:c r="G390" s="2" t="s">
        <x:v>226</x:v>
      </x:c>
      <x:c r="H390" s="2" t="s">
        <x:v>107</x:v>
      </x:c>
      <x:c r="I390" s="2"/>
      <x:c r="J390" s="2">
        <x:v>4</x:v>
      </x:c>
      <x:c r="K390" s="2" t="s">
        <x:v>117</x:v>
      </x:c>
      <x:c r="L390" s="2" t="s">
        <x:v>110</x:v>
      </x:c>
      <x:c r="M390" s="2"/>
      <x:c r="N390" s="2">
        <x:v>47.9</x:v>
      </x:c>
      <x:c r="O390" s="2">
        <x:v>45.8</x:v>
      </x:c>
      <x:c r="P390" s="2">
        <x:v>50</x:v>
      </x:c>
      <x:c r="Q390" s="2" t="s">
        <x:v>111</x:v>
      </x:c>
      <x:c r="R390" s="2">
        <x:v>47.9</x:v>
      </x:c>
      <x:c r="S390" s="2" t="s">
        <x:v>111</x:v>
      </x:c>
      <x:c r="T390" s="2">
        <x:v>20</x:v>
      </x:c>
      <x:c r="U390" s="2"/>
      <x:c r="V390" s="2"/>
      <x:c r="W390" s="2"/>
      <x:c r="X390" s="2" t="s">
        <x:v>286</x:v>
      </x:c>
      <x:c r="Y390" s="2" t="s">
        <x:v>113</x:v>
      </x:c>
      <x:c r="Z390" s="2" t="s">
        <x:v>114</x:v>
      </x:c>
    </x:row>
    <x:row r="391" ht="54">
      <x:c r="A391" s="2">
        <x:v>2158</x:v>
      </x:c>
      <x:c r="B391" s="2">
        <x:v>1210145</x:v>
      </x:c>
      <x:c r="C391" s="2">
        <x:v>186385</x:v>
      </x:c>
      <x:c r="D391" s="2">
        <x:v>19281</x:v>
      </x:c>
      <x:c r="E391" s="2" t="s">
        <x:v>16</x:v>
      </x:c>
      <x:c r="F391" s="2" t="s">
        <x:v>279</x:v>
      </x:c>
      <x:c r="G391" s="2" t="s">
        <x:v>226</x:v>
      </x:c>
      <x:c r="H391" s="2" t="s">
        <x:v>107</x:v>
      </x:c>
      <x:c r="I391" s="2" t="s">
        <x:v>125</x:v>
      </x:c>
      <x:c r="J391" s="2">
        <x:v>4</x:v>
      </x:c>
      <x:c r="K391" s="2" t="s">
        <x:v>117</x:v>
      </x:c>
      <x:c r="L391" s="2" t="s">
        <x:v>110</x:v>
      </x:c>
      <x:c r="M391" s="2"/>
      <x:c r="N391" s="2">
        <x:v>17.399999999999999</x:v>
      </x:c>
      <x:c r="O391" s="2">
        <x:v>15.4</x:v>
      </x:c>
      <x:c r="P391" s="2">
        <x:v>19.399999999999999</x:v>
      </x:c>
      <x:c r="Q391" s="2" t="s">
        <x:v>111</x:v>
      </x:c>
      <x:c r="R391" s="2">
        <x:v>17.399999999999999</x:v>
      </x:c>
      <x:c r="S391" s="2" t="s">
        <x:v>111</x:v>
      </x:c>
      <x:c r="T391" s="2">
        <x:v>20</x:v>
      </x:c>
      <x:c r="U391" s="2"/>
      <x:c r="V391" s="2"/>
      <x:c r="W391" s="2"/>
      <x:c r="X391" s="2" t="s">
        <x:v>286</x:v>
      </x:c>
      <x:c r="Y391" s="2" t="s">
        <x:v>113</x:v>
      </x:c>
      <x:c r="Z391" s="2" t="s">
        <x:v>114</x:v>
      </x:c>
    </x:row>
    <x:row r="392" ht="40.5">
      <x:c r="A392" s="2">
        <x:v>2160</x:v>
      </x:c>
      <x:c r="B392" s="2">
        <x:v>1116277</x:v>
      </x:c>
      <x:c r="C392" s="2">
        <x:v>107519</x:v>
      </x:c>
      <x:c r="D392" s="2">
        <x:v>9029</x:v>
      </x:c>
      <x:c r="E392" s="2" t="s">
        <x:v>16</x:v>
      </x:c>
      <x:c r="F392" s="2" t="s">
        <x:v>279</x:v>
      </x:c>
      <x:c r="G392" s="2" t="s">
        <x:v>134</x:v>
      </x:c>
      <x:c r="H392" s="2" t="s">
        <x:v>135</x:v>
      </x:c>
      <x:c r="I392" s="2" t="s">
        <x:v>108</x:v>
      </x:c>
      <x:c r="J392" s="2">
        <x:v>4</x:v>
      </x:c>
      <x:c r="K392" s="2" t="s">
        <x:v>117</x:v>
      </x:c>
      <x:c r="L392" s="2" t="s">
        <x:v>110</x:v>
      </x:c>
      <x:c r="M392" s="2"/>
      <x:c r="N392" s="2">
        <x:v>29</x:v>
      </x:c>
      <x:c r="O392" s="2">
        <x:v>23</x:v>
      </x:c>
      <x:c r="P392" s="2">
        <x:v>37</x:v>
      </x:c>
      <x:c r="Q392" s="2" t="s">
        <x:v>111</x:v>
      </x:c>
      <x:c r="R392" s="2">
        <x:v>29</x:v>
      </x:c>
      <x:c r="S392" s="2" t="s">
        <x:v>111</x:v>
      </x:c>
      <x:c r="T392" s="2">
        <x:v>21</x:v>
      </x:c>
      <x:c r="U392" s="2">
        <x:v>20</x:v>
      </x:c>
      <x:c r="V392" s="2"/>
      <x:c r="W392" s="2"/>
      <x:c r="X392" s="2" t="s">
        <x:v>285</x:v>
      </x:c>
      <x:c r="Y392" s="2" t="s">
        <x:v>113</x:v>
      </x:c>
      <x:c r="Z392" s="2" t="s">
        <x:v>114</x:v>
      </x:c>
    </x:row>
    <x:row r="393" ht="27">
      <x:c r="A393" s="2">
        <x:v>2168</x:v>
      </x:c>
      <x:c r="B393" s="2">
        <x:v>1165805</x:v>
      </x:c>
      <x:c r="C393" s="2">
        <x:v>189246</x:v>
      </x:c>
      <x:c r="D393" s="2">
        <x:v>14601</x:v>
      </x:c>
      <x:c r="E393" s="2" t="s">
        <x:v>16</x:v>
      </x:c>
      <x:c r="F393" s="2" t="s">
        <x:v>279</x:v>
      </x:c>
      <x:c r="G393" s="2" t="s">
        <x:v>141</x:v>
      </x:c>
      <x:c r="H393" s="2" t="s">
        <x:v>135</x:v>
      </x:c>
      <x:c r="I393" s="2" t="s">
        <x:v>108</x:v>
      </x:c>
      <x:c r="J393" s="2">
        <x:v>3</x:v>
      </x:c>
      <x:c r="K393" s="2" t="s">
        <x:v>117</x:v>
      </x:c>
      <x:c r="L393" s="2" t="s">
        <x:v>110</x:v>
      </x:c>
      <x:c r="M393" s="2"/>
      <x:c r="N393" s="2">
        <x:v>409</x:v>
      </x:c>
      <x:c r="O393" s="2">
        <x:v>272</x:v>
      </x:c>
      <x:c r="P393" s="2">
        <x:v>544</x:v>
      </x:c>
      <x:c r="Q393" s="2" t="s">
        <x:v>111</x:v>
      </x:c>
      <x:c r="R393" s="2">
        <x:v>409</x:v>
      </x:c>
      <x:c r="S393" s="2" t="s">
        <x:v>111</x:v>
      </x:c>
      <x:c r="T393" s="2">
        <x:v>10</x:v>
      </x:c>
      <x:c r="U393" s="2">
        <x:v>30</x:v>
      </x:c>
      <x:c r="V393" s="2"/>
      <x:c r="W393" s="2"/>
      <x:c r="X393" s="2" t="s">
        <x:v>280</x:v>
      </x:c>
      <x:c r="Y393" s="2" t="s">
        <x:v>113</x:v>
      </x:c>
      <x:c r="Z393" s="2" t="s">
        <x:v>114</x:v>
      </x:c>
    </x:row>
    <x:row r="394" ht="40.5">
      <x:c r="A394" s="2">
        <x:v>2176</x:v>
      </x:c>
      <x:c r="B394" s="2">
        <x:v>1191628</x:v>
      </x:c>
      <x:c r="C394" s="2">
        <x:v>166350</x:v>
      </x:c>
      <x:c r="D394" s="2">
        <x:v>17219</x:v>
      </x:c>
      <x:c r="E394" s="2" t="s">
        <x:v>16</x:v>
      </x:c>
      <x:c r="F394" s="2" t="s">
        <x:v>279</x:v>
      </x:c>
      <x:c r="G394" s="2" t="s">
        <x:v>150</x:v>
      </x:c>
      <x:c r="H394" s="2" t="s">
        <x:v>135</x:v>
      </x:c>
      <x:c r="I394" s="2" t="s">
        <x:v>209</x:v>
      </x:c>
      <x:c r="J394" s="2">
        <x:v>4</x:v>
      </x:c>
      <x:c r="K394" s="2" t="s">
        <x:v>117</x:v>
      </x:c>
      <x:c r="L394" s="2" t="s">
        <x:v>110</x:v>
      </x:c>
      <x:c r="M394" s="2"/>
      <x:c r="N394" s="2">
        <x:v>82.9</x:v>
      </x:c>
      <x:c r="O394" s="2">
        <x:v>51.1</x:v>
      </x:c>
      <x:c r="P394" s="2">
        <x:v>134.30000000000001</x:v>
      </x:c>
      <x:c r="Q394" s="2" t="s">
        <x:v>111</x:v>
      </x:c>
      <x:c r="R394" s="2">
        <x:v>82.9</x:v>
      </x:c>
      <x:c r="S394" s="2" t="s">
        <x:v>111</x:v>
      </x:c>
      <x:c r="T394" s="2"/>
      <x:c r="U394" s="2">
        <x:v>25</x:v>
      </x:c>
      <x:c r="V394" s="2"/>
      <x:c r="W394" s="2"/>
      <x:c r="X394" s="2" t="s">
        <x:v>287</x:v>
      </x:c>
      <x:c r="Y394" s="2" t="s">
        <x:v>113</x:v>
      </x:c>
      <x:c r="Z394" s="2" t="s">
        <x:v>114</x:v>
      </x:c>
    </x:row>
    <x:row r="395" ht="27">
      <x:c r="A395" s="2">
        <x:v>2177</x:v>
      </x:c>
      <x:c r="B395" s="2">
        <x:v>1165809</x:v>
      </x:c>
      <x:c r="C395" s="2">
        <x:v>189250</x:v>
      </x:c>
      <x:c r="D395" s="2">
        <x:v>14601</x:v>
      </x:c>
      <x:c r="E395" s="2" t="s">
        <x:v>16</x:v>
      </x:c>
      <x:c r="F395" s="2" t="s">
        <x:v>279</x:v>
      </x:c>
      <x:c r="G395" s="2" t="s">
        <x:v>150</x:v>
      </x:c>
      <x:c r="H395" s="2" t="s">
        <x:v>135</x:v>
      </x:c>
      <x:c r="I395" s="2" t="s">
        <x:v>108</x:v>
      </x:c>
      <x:c r="J395" s="2">
        <x:v>4</x:v>
      </x:c>
      <x:c r="K395" s="2" t="s">
        <x:v>117</x:v>
      </x:c>
      <x:c r="L395" s="2" t="s">
        <x:v>110</x:v>
      </x:c>
      <x:c r="M395" s="2"/>
      <x:c r="N395" s="2">
        <x:v>1077</x:v>
      </x:c>
      <x:c r="O395" s="2">
        <x:v>903</x:v>
      </x:c>
      <x:c r="P395" s="2">
        <x:v>1289</x:v>
      </x:c>
      <x:c r="Q395" s="2" t="s">
        <x:v>111</x:v>
      </x:c>
      <x:c r="R395" s="2">
        <x:v>1077</x:v>
      </x:c>
      <x:c r="S395" s="2" t="s">
        <x:v>111</x:v>
      </x:c>
      <x:c r="T395" s="2">
        <x:v>15</x:v>
      </x:c>
      <x:c r="U395" s="2">
        <x:v>30</x:v>
      </x:c>
      <x:c r="V395" s="2"/>
      <x:c r="W395" s="2"/>
      <x:c r="X395" s="2" t="s">
        <x:v>280</x:v>
      </x:c>
      <x:c r="Y395" s="2" t="s">
        <x:v>113</x:v>
      </x:c>
      <x:c r="Z395" s="2" t="s">
        <x:v>114</x:v>
      </x:c>
    </x:row>
    <x:row r="396" ht="27">
      <x:c r="A396" s="2">
        <x:v>2195</x:v>
      </x:c>
      <x:c r="B396" s="2">
        <x:v>1037866</x:v>
      </x:c>
      <x:c r="C396" s="2">
        <x:v>104471</x:v>
      </x:c>
      <x:c r="D396" s="2">
        <x:v>2332</x:v>
      </x:c>
      <x:c r="E396" s="2" t="s">
        <x:v>16</x:v>
      </x:c>
      <x:c r="F396" s="2" t="s">
        <x:v>279</x:v>
      </x:c>
      <x:c r="G396" s="2" t="s">
        <x:v>129</x:v>
      </x:c>
      <x:c r="H396" s="2" t="s">
        <x:v>107</x:v>
      </x:c>
      <x:c r="I396" s="2"/>
      <x:c r="J396" s="2">
        <x:v>4</x:v>
      </x:c>
      <x:c r="K396" s="2" t="s">
        <x:v>136</x:v>
      </x:c>
      <x:c r="L396" s="2" t="s">
        <x:v>110</x:v>
      </x:c>
      <x:c r="M396" s="2"/>
      <x:c r="N396" s="2">
        <x:v>660</x:v>
      </x:c>
      <x:c r="O396" s="2">
        <x:v>530</x:v>
      </x:c>
      <x:c r="P396" s="2">
        <x:v>820</x:v>
      </x:c>
      <x:c r="Q396" s="2" t="s">
        <x:v>111</x:v>
      </x:c>
      <x:c r="R396" s="2">
        <x:v>660</x:v>
      </x:c>
      <x:c r="S396" s="2" t="s">
        <x:v>111</x:v>
      </x:c>
      <x:c r="T396" s="2"/>
      <x:c r="U396" s="2">
        <x:v>7</x:v>
      </x:c>
      <x:c r="V396" s="2"/>
      <x:c r="W396" s="2"/>
      <x:c r="X396" s="2" t="s">
        <x:v>205</x:v>
      </x:c>
      <x:c r="Y396" s="2" t="s">
        <x:v>113</x:v>
      </x:c>
      <x:c r="Z396" s="2" t="s">
        <x:v>114</x:v>
      </x:c>
    </x:row>
    <x:row r="397" ht="27">
      <x:c r="A397" s="2">
        <x:v>2201</x:v>
      </x:c>
      <x:c r="B397" s="2">
        <x:v>1204995</x:v>
      </x:c>
      <x:c r="C397" s="2">
        <x:v>171133</x:v>
      </x:c>
      <x:c r="D397" s="2">
        <x:v>18671</x:v>
      </x:c>
      <x:c r="E397" s="2" t="s">
        <x:v>16</x:v>
      </x:c>
      <x:c r="F397" s="2" t="s">
        <x:v>279</x:v>
      </x:c>
      <x:c r="G397" s="2" t="s">
        <x:v>150</x:v>
      </x:c>
      <x:c r="H397" s="2" t="s">
        <x:v>135</x:v>
      </x:c>
      <x:c r="I397" s="2" t="s">
        <x:v>224</x:v>
      </x:c>
      <x:c r="J397" s="2">
        <x:v>4</x:v>
      </x:c>
      <x:c r="K397" s="2" t="s">
        <x:v>117</x:v>
      </x:c>
      <x:c r="L397" s="2" t="s">
        <x:v>281</x:v>
      </x:c>
      <x:c r="M397" s="2"/>
      <x:c r="N397" s="2"/>
      <x:c r="O397" s="2">
        <x:v>10</x:v>
      </x:c>
      <x:c r="P397" s="2">
        <x:v>20</x:v>
      </x:c>
      <x:c r="Q397" s="2" t="s">
        <x:v>111</x:v>
      </x:c>
      <x:c r="R397" s="2"/>
      <x:c r="S397" s="2" t="s">
        <x:v>111</x:v>
      </x:c>
      <x:c r="T397" s="2">
        <x:v>24</x:v>
      </x:c>
      <x:c r="U397" s="2"/>
      <x:c r="V397" s="2"/>
      <x:c r="W397" s="2"/>
      <x:c r="X397" s="2" t="s">
        <x:v>282</x:v>
      </x:c>
      <x:c r="Y397" s="2" t="s">
        <x:v>123</x:v>
      </x:c>
      <x:c r="Z397" s="2" t="s">
        <x:v>283</x:v>
      </x:c>
    </x:row>
    <x:row r="398" ht="27">
      <x:c r="A398" s="2">
        <x:v>2214</x:v>
      </x:c>
      <x:c r="B398" s="2">
        <x:v>1165808</x:v>
      </x:c>
      <x:c r="C398" s="2">
        <x:v>189249</x:v>
      </x:c>
      <x:c r="D398" s="2">
        <x:v>14601</x:v>
      </x:c>
      <x:c r="E398" s="2" t="s">
        <x:v>16</x:v>
      </x:c>
      <x:c r="F398" s="2" t="s">
        <x:v>279</x:v>
      </x:c>
      <x:c r="G398" s="2" t="s">
        <x:v>150</x:v>
      </x:c>
      <x:c r="H398" s="2" t="s">
        <x:v>135</x:v>
      </x:c>
      <x:c r="I398" s="2" t="s">
        <x:v>108</x:v>
      </x:c>
      <x:c r="J398" s="2">
        <x:v>4</x:v>
      </x:c>
      <x:c r="K398" s="2" t="s">
        <x:v>117</x:v>
      </x:c>
      <x:c r="L398" s="2" t="s">
        <x:v>110</x:v>
      </x:c>
      <x:c r="M398" s="2"/>
      <x:c r="N398" s="2">
        <x:v>1651</x:v>
      </x:c>
      <x:c r="O398" s="2">
        <x:v>1337</x:v>
      </x:c>
      <x:c r="P398" s="2">
        <x:v>2025</x:v>
      </x:c>
      <x:c r="Q398" s="2" t="s">
        <x:v>111</x:v>
      </x:c>
      <x:c r="R398" s="2">
        <x:v>1651</x:v>
      </x:c>
      <x:c r="S398" s="2" t="s">
        <x:v>111</x:v>
      </x:c>
      <x:c r="T398" s="2">
        <x:v>15</x:v>
      </x:c>
      <x:c r="U398" s="2">
        <x:v>30</x:v>
      </x:c>
      <x:c r="V398" s="2"/>
      <x:c r="W398" s="2"/>
      <x:c r="X398" s="2" t="s">
        <x:v>280</x:v>
      </x:c>
      <x:c r="Y398" s="2" t="s">
        <x:v>113</x:v>
      </x:c>
      <x:c r="Z398" s="2" t="s">
        <x:v>114</x:v>
      </x:c>
    </x:row>
    <x:row r="399">
      <x:c r="A399" s="2">
        <x:v>2221</x:v>
      </x:c>
      <x:c r="B399" s="2">
        <x:v>1035623</x:v>
      </x:c>
      <x:c r="C399" s="2">
        <x:v>54864</x:v>
      </x:c>
      <x:c r="D399" s="2">
        <x:v>2183</x:v>
      </x:c>
      <x:c r="E399" s="2" t="s">
        <x:v>16</x:v>
      </x:c>
      <x:c r="F399" s="2" t="s">
        <x:v>279</x:v>
      </x:c>
      <x:c r="G399" s="2" t="s">
        <x:v>129</x:v>
      </x:c>
      <x:c r="H399" s="2" t="s">
        <x:v>107</x:v>
      </x:c>
      <x:c r="I399" s="2" t="s">
        <x:v>108</x:v>
      </x:c>
      <x:c r="J399" s="2">
        <x:v>4</x:v>
      </x:c>
      <x:c r="K399" s="2" t="s">
        <x:v>117</x:v>
      </x:c>
      <x:c r="L399" s="2" t="s">
        <x:v>110</x:v>
      </x:c>
      <x:c r="M399" s="2"/>
      <x:c r="N399" s="2">
        <x:v>1800</x:v>
      </x:c>
      <x:c r="O399" s="2">
        <x:v>1200</x:v>
      </x:c>
      <x:c r="P399" s="2">
        <x:v>2800</x:v>
      </x:c>
      <x:c r="Q399" s="2" t="s">
        <x:v>111</x:v>
      </x:c>
      <x:c r="R399" s="2">
        <x:v>1800</x:v>
      </x:c>
      <x:c r="S399" s="2" t="s">
        <x:v>111</x:v>
      </x:c>
      <x:c r="T399" s="2">
        <x:v>20</x:v>
      </x:c>
      <x:c r="U399" s="2">
        <x:v>7</x:v>
      </x:c>
      <x:c r="V399" s="2">
        <x:v>8</x:v>
      </x:c>
      <x:c r="W399" s="2"/>
      <x:c r="X399" s="2" t="s">
        <x:v>130</x:v>
      </x:c>
      <x:c r="Y399" s="2" t="s">
        <x:v>113</x:v>
      </x:c>
      <x:c r="Z399" s="2" t="s">
        <x:v>114</x:v>
      </x:c>
    </x:row>
    <x:row r="400" ht="27">
      <x:c r="A400" s="2">
        <x:v>2224</x:v>
      </x:c>
      <x:c r="B400" s="2">
        <x:v>1165806</x:v>
      </x:c>
      <x:c r="C400" s="2">
        <x:v>189247</x:v>
      </x:c>
      <x:c r="D400" s="2">
        <x:v>14601</x:v>
      </x:c>
      <x:c r="E400" s="2" t="s">
        <x:v>16</x:v>
      </x:c>
      <x:c r="F400" s="2" t="s">
        <x:v>279</x:v>
      </x:c>
      <x:c r="G400" s="2" t="s">
        <x:v>141</x:v>
      </x:c>
      <x:c r="H400" s="2" t="s">
        <x:v>135</x:v>
      </x:c>
      <x:c r="I400" s="2" t="s">
        <x:v>108</x:v>
      </x:c>
      <x:c r="J400" s="2">
        <x:v>4</x:v>
      </x:c>
      <x:c r="K400" s="2" t="s">
        <x:v>117</x:v>
      </x:c>
      <x:c r="L400" s="2" t="s">
        <x:v>110</x:v>
      </x:c>
      <x:c r="M400" s="2"/>
      <x:c r="N400" s="2">
        <x:v>200</x:v>
      </x:c>
      <x:c r="O400" s="2">
        <x:v>154</x:v>
      </x:c>
      <x:c r="P400" s="2">
        <x:v>260</x:v>
      </x:c>
      <x:c r="Q400" s="2" t="s">
        <x:v>111</x:v>
      </x:c>
      <x:c r="R400" s="2">
        <x:v>200</x:v>
      </x:c>
      <x:c r="S400" s="2" t="s">
        <x:v>111</x:v>
      </x:c>
      <x:c r="T400" s="2">
        <x:v>10</x:v>
      </x:c>
      <x:c r="U400" s="2">
        <x:v>30</x:v>
      </x:c>
      <x:c r="V400" s="2"/>
      <x:c r="W400" s="2"/>
      <x:c r="X400" s="2" t="s">
        <x:v>280</x:v>
      </x:c>
      <x:c r="Y400" s="2" t="s">
        <x:v>113</x:v>
      </x:c>
      <x:c r="Z400" s="2" t="s">
        <x:v>114</x:v>
      </x:c>
    </x:row>
    <x:row r="401" ht="27">
      <x:c r="A401" s="2">
        <x:v>2226</x:v>
      </x:c>
      <x:c r="B401" s="2">
        <x:v>1037865</x:v>
      </x:c>
      <x:c r="C401" s="2">
        <x:v>104470</x:v>
      </x:c>
      <x:c r="D401" s="2">
        <x:v>2332</x:v>
      </x:c>
      <x:c r="E401" s="2" t="s">
        <x:v>16</x:v>
      </x:c>
      <x:c r="F401" s="2" t="s">
        <x:v>279</x:v>
      </x:c>
      <x:c r="G401" s="2" t="s">
        <x:v>129</x:v>
      </x:c>
      <x:c r="H401" s="2" t="s">
        <x:v>107</x:v>
      </x:c>
      <x:c r="I401" s="2"/>
      <x:c r="J401" s="2">
        <x:v>4</x:v>
      </x:c>
      <x:c r="K401" s="2" t="s">
        <x:v>136</x:v>
      </x:c>
      <x:c r="L401" s="2" t="s">
        <x:v>110</x:v>
      </x:c>
      <x:c r="M401" s="2"/>
      <x:c r="N401" s="2">
        <x:v>780</x:v>
      </x:c>
      <x:c r="O401" s="2">
        <x:v>410</x:v>
      </x:c>
      <x:c r="P401" s="2">
        <x:v>1200</x:v>
      </x:c>
      <x:c r="Q401" s="2" t="s">
        <x:v>111</x:v>
      </x:c>
      <x:c r="R401" s="2">
        <x:v>780</x:v>
      </x:c>
      <x:c r="S401" s="2" t="s">
        <x:v>111</x:v>
      </x:c>
      <x:c r="T401" s="2"/>
      <x:c r="U401" s="2">
        <x:v>15</x:v>
      </x:c>
      <x:c r="V401" s="2"/>
      <x:c r="W401" s="2"/>
      <x:c r="X401" s="2" t="s">
        <x:v>205</x:v>
      </x:c>
      <x:c r="Y401" s="2" t="s">
        <x:v>113</x:v>
      </x:c>
      <x:c r="Z401" s="2" t="s">
        <x:v>114</x:v>
      </x:c>
    </x:row>
    <x:row r="402" ht="27">
      <x:c r="A402" s="2">
        <x:v>2232</x:v>
      </x:c>
      <x:c r="B402" s="2">
        <x:v>1204996</x:v>
      </x:c>
      <x:c r="C402" s="2">
        <x:v>171134</x:v>
      </x:c>
      <x:c r="D402" s="2">
        <x:v>18671</x:v>
      </x:c>
      <x:c r="E402" s="2" t="s">
        <x:v>16</x:v>
      </x:c>
      <x:c r="F402" s="2" t="s">
        <x:v>279</x:v>
      </x:c>
      <x:c r="G402" s="2" t="s">
        <x:v>150</x:v>
      </x:c>
      <x:c r="H402" s="2" t="s">
        <x:v>135</x:v>
      </x:c>
      <x:c r="I402" s="2" t="s">
        <x:v>224</x:v>
      </x:c>
      <x:c r="J402" s="2">
        <x:v>4</x:v>
      </x:c>
      <x:c r="K402" s="2" t="s">
        <x:v>117</x:v>
      </x:c>
      <x:c r="L402" s="2" t="s">
        <x:v>281</x:v>
      </x:c>
      <x:c r="M402" s="2"/>
      <x:c r="N402" s="2"/>
      <x:c r="O402" s="2">
        <x:v>0</x:v>
      </x:c>
      <x:c r="P402" s="2">
        <x:v>10</x:v>
      </x:c>
      <x:c r="Q402" s="2" t="s">
        <x:v>111</x:v>
      </x:c>
      <x:c r="R402" s="2"/>
      <x:c r="S402" s="2" t="s">
        <x:v>111</x:v>
      </x:c>
      <x:c r="T402" s="2"/>
      <x:c r="U402" s="2"/>
      <x:c r="V402" s="2"/>
      <x:c r="W402" s="2"/>
      <x:c r="X402" s="2" t="s">
        <x:v>282</x:v>
      </x:c>
      <x:c r="Y402" s="2" t="s">
        <x:v>123</x:v>
      </x:c>
      <x:c r="Z402" s="2" t="s">
        <x:v>283</x:v>
      </x:c>
    </x:row>
    <x:row r="403" ht="40.5">
      <x:c r="A403" s="2">
        <x:v>2234</x:v>
      </x:c>
      <x:c r="B403" s="2">
        <x:v>1116276</x:v>
      </x:c>
      <x:c r="C403" s="2">
        <x:v>107518</x:v>
      </x:c>
      <x:c r="D403" s="2">
        <x:v>9029</x:v>
      </x:c>
      <x:c r="E403" s="2" t="s">
        <x:v>16</x:v>
      </x:c>
      <x:c r="F403" s="2" t="s">
        <x:v>279</x:v>
      </x:c>
      <x:c r="G403" s="2" t="s">
        <x:v>134</x:v>
      </x:c>
      <x:c r="H403" s="2" t="s">
        <x:v>135</x:v>
      </x:c>
      <x:c r="I403" s="2" t="s">
        <x:v>108</x:v>
      </x:c>
      <x:c r="J403" s="2">
        <x:v>4</x:v>
      </x:c>
      <x:c r="K403" s="2" t="s">
        <x:v>117</x:v>
      </x:c>
      <x:c r="L403" s="2" t="s">
        <x:v>110</x:v>
      </x:c>
      <x:c r="M403" s="2"/>
      <x:c r="N403" s="2">
        <x:v>93</x:v>
      </x:c>
      <x:c r="O403" s="2">
        <x:v>82</x:v>
      </x:c>
      <x:c r="P403" s="2">
        <x:v>106</x:v>
      </x:c>
      <x:c r="Q403" s="2" t="s">
        <x:v>111</x:v>
      </x:c>
      <x:c r="R403" s="2">
        <x:v>93</x:v>
      </x:c>
      <x:c r="S403" s="2" t="s">
        <x:v>111</x:v>
      </x:c>
      <x:c r="T403" s="2">
        <x:v>18</x:v>
      </x:c>
      <x:c r="U403" s="2">
        <x:v>15</x:v>
      </x:c>
      <x:c r="V403" s="2"/>
      <x:c r="W403" s="2"/>
      <x:c r="X403" s="2" t="s">
        <x:v>285</x:v>
      </x:c>
      <x:c r="Y403" s="2" t="s">
        <x:v>113</x:v>
      </x:c>
      <x:c r="Z403" s="2" t="s">
        <x:v>114</x:v>
      </x:c>
    </x:row>
    <x:row r="404" ht="40.5">
      <x:c r="A404" s="2">
        <x:v>2249</x:v>
      </x:c>
      <x:c r="B404" s="2">
        <x:v>1191627</x:v>
      </x:c>
      <x:c r="C404" s="2">
        <x:v>166349</x:v>
      </x:c>
      <x:c r="D404" s="2">
        <x:v>17219</x:v>
      </x:c>
      <x:c r="E404" s="2" t="s">
        <x:v>16</x:v>
      </x:c>
      <x:c r="F404" s="2" t="s">
        <x:v>279</x:v>
      </x:c>
      <x:c r="G404" s="2" t="s">
        <x:v>150</x:v>
      </x:c>
      <x:c r="H404" s="2" t="s">
        <x:v>135</x:v>
      </x:c>
      <x:c r="I404" s="2" t="s">
        <x:v>209</x:v>
      </x:c>
      <x:c r="J404" s="2">
        <x:v>4</x:v>
      </x:c>
      <x:c r="K404" s="2" t="s">
        <x:v>117</x:v>
      </x:c>
      <x:c r="L404" s="2" t="s">
        <x:v>110</x:v>
      </x:c>
      <x:c r="M404" s="2"/>
      <x:c r="N404" s="2">
        <x:v>213.2</x:v>
      </x:c>
      <x:c r="O404" s="2">
        <x:v>182</x:v>
      </x:c>
      <x:c r="P404" s="2">
        <x:v>249.7</x:v>
      </x:c>
      <x:c r="Q404" s="2" t="s">
        <x:v>111</x:v>
      </x:c>
      <x:c r="R404" s="2">
        <x:v>213.2</x:v>
      </x:c>
      <x:c r="S404" s="2" t="s">
        <x:v>111</x:v>
      </x:c>
      <x:c r="T404" s="2">
        <x:v>24</x:v>
      </x:c>
      <x:c r="U404" s="2">
        <x:v>15</x:v>
      </x:c>
      <x:c r="V404" s="2"/>
      <x:c r="W404" s="2"/>
      <x:c r="X404" s="2" t="s">
        <x:v>287</x:v>
      </x:c>
      <x:c r="Y404" s="2" t="s">
        <x:v>113</x:v>
      </x:c>
      <x:c r="Z404" s="2" t="s">
        <x:v>114</x:v>
      </x:c>
    </x:row>
    <x:row r="405" ht="54">
      <x:c r="A405" s="2">
        <x:v>2255</x:v>
      </x:c>
      <x:c r="B405" s="2">
        <x:v>1210146</x:v>
      </x:c>
      <x:c r="C405" s="2">
        <x:v>186386</x:v>
      </x:c>
      <x:c r="D405" s="2">
        <x:v>19281</x:v>
      </x:c>
      <x:c r="E405" s="2" t="s">
        <x:v>16</x:v>
      </x:c>
      <x:c r="F405" s="2" t="s">
        <x:v>279</x:v>
      </x:c>
      <x:c r="G405" s="2" t="s">
        <x:v>226</x:v>
      </x:c>
      <x:c r="H405" s="2" t="s">
        <x:v>107</x:v>
      </x:c>
      <x:c r="I405" s="2" t="s">
        <x:v>224</x:v>
      </x:c>
      <x:c r="J405" s="2">
        <x:v>4</x:v>
      </x:c>
      <x:c r="K405" s="2" t="s">
        <x:v>117</x:v>
      </x:c>
      <x:c r="L405" s="2" t="s">
        <x:v>110</x:v>
      </x:c>
      <x:c r="M405" s="2"/>
      <x:c r="N405" s="2">
        <x:v>29.7</x:v>
      </x:c>
      <x:c r="O405" s="2">
        <x:v>27.7</x:v>
      </x:c>
      <x:c r="P405" s="2">
        <x:v>31.7</x:v>
      </x:c>
      <x:c r="Q405" s="2" t="s">
        <x:v>111</x:v>
      </x:c>
      <x:c r="R405" s="2">
        <x:v>29.7</x:v>
      </x:c>
      <x:c r="S405" s="2" t="s">
        <x:v>111</x:v>
      </x:c>
      <x:c r="T405" s="2">
        <x:v>20</x:v>
      </x:c>
      <x:c r="U405" s="2"/>
      <x:c r="V405" s="2"/>
      <x:c r="W405" s="2"/>
      <x:c r="X405" s="2" t="s">
        <x:v>286</x:v>
      </x:c>
      <x:c r="Y405" s="2" t="s">
        <x:v>113</x:v>
      </x:c>
      <x:c r="Z405" s="2" t="s">
        <x:v>114</x:v>
      </x:c>
    </x:row>
    <x:row r="406" ht="54">
      <x:c r="A406" s="2">
        <x:v>2257</x:v>
      </x:c>
      <x:c r="B406" s="2">
        <x:v>1295986</x:v>
      </x:c>
      <x:c r="C406" s="2">
        <x:v>751250</x:v>
      </x:c>
      <x:c r="D406" s="2">
        <x:v>111315</x:v>
      </x:c>
      <x:c r="E406" s="2" t="s">
        <x:v>16</x:v>
      </x:c>
      <x:c r="F406" s="2" t="s">
        <x:v>279</x:v>
      </x:c>
      <x:c r="G406" s="2" t="s">
        <x:v>106</x:v>
      </x:c>
      <x:c r="H406" s="2" t="s">
        <x:v>107</x:v>
      </x:c>
      <x:c r="I406" s="2" t="s">
        <x:v>108</x:v>
      </x:c>
      <x:c r="J406" s="2">
        <x:v>4</x:v>
      </x:c>
      <x:c r="K406" s="2" t="s">
        <x:v>126</x:v>
      </x:c>
      <x:c r="L406" s="2" t="s">
        <x:v>110</x:v>
      </x:c>
      <x:c r="M406" s="2"/>
      <x:c r="N406" s="2">
        <x:v>25.2</x:v>
      </x:c>
      <x:c r="O406" s="2">
        <x:v>17.809999999999999</x:v>
      </x:c>
      <x:c r="P406" s="2">
        <x:v>35.549999999999997</x:v>
      </x:c>
      <x:c r="Q406" s="2" t="s">
        <x:v>121</x:v>
      </x:c>
      <x:c r="R406" s="2">
        <x:v>25.2</x:v>
      </x:c>
      <x:c r="S406" s="2" t="s">
        <x:v>121</x:v>
      </x:c>
      <x:c r="T406" s="2">
        <x:v>20</x:v>
      </x:c>
      <x:c r="U406" s="2">
        <x:v>32</x:v>
      </x:c>
      <x:c r="V406" s="2">
        <x:v>7.9</x:v>
      </x:c>
      <x:c r="W406" s="2"/>
      <x:c r="X406" s="2" t="s">
        <x:v>204</x:v>
      </x:c>
      <x:c r="Y406" s="2" t="s">
        <x:v>113</x:v>
      </x:c>
      <x:c r="Z406" s="2" t="s">
        <x:v>114</x:v>
      </x:c>
    </x:row>
    <x:row r="407" ht="40.5">
      <x:c r="A407" s="2">
        <x:v>2260</x:v>
      </x:c>
      <x:c r="B407" s="2">
        <x:v>1191626</x:v>
      </x:c>
      <x:c r="C407" s="2">
        <x:v>166348</x:v>
      </x:c>
      <x:c r="D407" s="2">
        <x:v>17219</x:v>
      </x:c>
      <x:c r="E407" s="2" t="s">
        <x:v>16</x:v>
      </x:c>
      <x:c r="F407" s="2" t="s">
        <x:v>279</x:v>
      </x:c>
      <x:c r="G407" s="2" t="s">
        <x:v>150</x:v>
      </x:c>
      <x:c r="H407" s="2" t="s">
        <x:v>135</x:v>
      </x:c>
      <x:c r="I407" s="2" t="s">
        <x:v>209</x:v>
      </x:c>
      <x:c r="J407" s="2">
        <x:v>4</x:v>
      </x:c>
      <x:c r="K407" s="2" t="s">
        <x:v>117</x:v>
      </x:c>
      <x:c r="L407" s="2" t="s">
        <x:v>110</x:v>
      </x:c>
      <x:c r="M407" s="2"/>
      <x:c r="N407" s="2">
        <x:v>51.6</x:v>
      </x:c>
      <x:c r="O407" s="2">
        <x:v>36.200000000000003</x:v>
      </x:c>
      <x:c r="P407" s="2">
        <x:v>73.5</x:v>
      </x:c>
      <x:c r="Q407" s="2" t="s">
        <x:v>111</x:v>
      </x:c>
      <x:c r="R407" s="2">
        <x:v>51.6</x:v>
      </x:c>
      <x:c r="S407" s="2" t="s">
        <x:v>111</x:v>
      </x:c>
      <x:c r="T407" s="2"/>
      <x:c r="U407" s="2">
        <x:v>5</x:v>
      </x:c>
      <x:c r="V407" s="2"/>
      <x:c r="W407" s="2"/>
      <x:c r="X407" s="2" t="s">
        <x:v>287</x:v>
      </x:c>
      <x:c r="Y407" s="2" t="s">
        <x:v>113</x:v>
      </x:c>
      <x:c r="Z407" s="2" t="s">
        <x:v>114</x:v>
      </x:c>
    </x:row>
    <x:row r="408" ht="27">
      <x:c r="A408" s="2">
        <x:v>2271</x:v>
      </x:c>
      <x:c r="B408" s="2">
        <x:v>2146950</x:v>
      </x:c>
      <x:c r="C408" s="2">
        <x:v>2279333</x:v>
      </x:c>
      <x:c r="D408" s="2">
        <x:v>166028</x:v>
      </x:c>
      <x:c r="E408" s="2" t="s">
        <x:v>39</x:v>
      </x:c>
      <x:c r="F408" s="2" t="s">
        <x:v>288</x:v>
      </x:c>
      <x:c r="G408" s="2" t="s">
        <x:v>182</x:v>
      </x:c>
      <x:c r="H408" s="2" t="s">
        <x:v>107</x:v>
      </x:c>
      <x:c r="I408" s="2" t="s">
        <x:v>125</x:v>
      </x:c>
      <x:c r="J408" s="2">
        <x:v>2</x:v>
      </x:c>
      <x:c r="K408" s="2" t="s">
        <x:v>117</x:v>
      </x:c>
      <x:c r="L408" s="2" t="s">
        <x:v>110</x:v>
      </x:c>
      <x:c r="M408" s="2"/>
      <x:c r="N408" s="2">
        <x:v>9.5000000000000001E-2</x:v>
      </x:c>
      <x:c r="O408" s="2"/>
      <x:c r="P408" s="2"/>
      <x:c r="Q408" s="2" t="s">
        <x:v>121</x:v>
      </x:c>
      <x:c r="R408" s="2">
        <x:v>9.5000000000000001E-2</x:v>
      </x:c>
      <x:c r="S408" s="2" t="s">
        <x:v>121</x:v>
      </x:c>
      <x:c r="T408" s="2">
        <x:v>20</x:v>
      </x:c>
      <x:c r="U408" s="2">
        <x:v>38</x:v>
      </x:c>
      <x:c r="V408" s="2">
        <x:v>8</x:v>
      </x:c>
      <x:c r="W408" s="2"/>
      <x:c r="X408" s="2" t="s">
        <x:v>236</x:v>
      </x:c>
      <x:c r="Y408" s="2" t="s">
        <x:v>113</x:v>
      </x:c>
      <x:c r="Z408" s="2" t="s">
        <x:v>114</x:v>
      </x:c>
    </x:row>
    <x:row r="409" ht="27">
      <x:c r="A409" s="2">
        <x:v>2275</x:v>
      </x:c>
      <x:c r="B409" s="2">
        <x:v>2146953</x:v>
      </x:c>
      <x:c r="C409" s="2">
        <x:v>2279336</x:v>
      </x:c>
      <x:c r="D409" s="2">
        <x:v>166028</x:v>
      </x:c>
      <x:c r="E409" s="2" t="s">
        <x:v>16</x:v>
      </x:c>
      <x:c r="F409" s="2" t="s">
        <x:v>289</x:v>
      </x:c>
      <x:c r="G409" s="2" t="s">
        <x:v>182</x:v>
      </x:c>
      <x:c r="H409" s="2" t="s">
        <x:v>107</x:v>
      </x:c>
      <x:c r="I409" s="2" t="s">
        <x:v>125</x:v>
      </x:c>
      <x:c r="J409" s="2">
        <x:v>2</x:v>
      </x:c>
      <x:c r="K409" s="2" t="s">
        <x:v>117</x:v>
      </x:c>
      <x:c r="L409" s="2" t="s">
        <x:v>110</x:v>
      </x:c>
      <x:c r="M409" s="2"/>
      <x:c r="N409" s="2">
        <x:v>2.12</x:v>
      </x:c>
      <x:c r="O409" s="2"/>
      <x:c r="P409" s="2"/>
      <x:c r="Q409" s="2" t="s">
        <x:v>121</x:v>
      </x:c>
      <x:c r="R409" s="2">
        <x:v>2.12</x:v>
      </x:c>
      <x:c r="S409" s="2" t="s">
        <x:v>121</x:v>
      </x:c>
      <x:c r="T409" s="2">
        <x:v>20</x:v>
      </x:c>
      <x:c r="U409" s="2">
        <x:v>38</x:v>
      </x:c>
      <x:c r="V409" s="2">
        <x:v>8</x:v>
      </x:c>
      <x:c r="W409" s="2"/>
      <x:c r="X409" s="2" t="s">
        <x:v>236</x:v>
      </x:c>
      <x:c r="Y409" s="2" t="s">
        <x:v>113</x:v>
      </x:c>
      <x:c r="Z409" s="2" t="s">
        <x:v>114</x:v>
      </x:c>
    </x:row>
    <x:row r="410" ht="40.5">
      <x:c r="A410" s="2">
        <x:v>2290</x:v>
      </x:c>
      <x:c r="B410" s="2">
        <x:v>2019870</x:v>
      </x:c>
      <x:c r="C410" s="2">
        <x:v>2033712</x:v>
      </x:c>
      <x:c r="D410" s="2">
        <x:v>156339</x:v>
      </x:c>
      <x:c r="E410" s="2" t="s">
        <x:v>21</x:v>
      </x:c>
      <x:c r="F410" s="2" t="s">
        <x:v>290</x:v>
      </x:c>
      <x:c r="G410" s="2" t="s">
        <x:v>106</x:v>
      </x:c>
      <x:c r="H410" s="2" t="s">
        <x:v>107</x:v>
      </x:c>
      <x:c r="I410" s="2" t="s">
        <x:v>108</x:v>
      </x:c>
      <x:c r="J410" s="2">
        <x:v>4</x:v>
      </x:c>
      <x:c r="K410" s="2" t="s">
        <x:v>126</x:v>
      </x:c>
      <x:c r="L410" s="2" t="s">
        <x:v>110</x:v>
      </x:c>
      <x:c r="M410" s="2"/>
      <x:c r="N410" s="2">
        <x:v>170</x:v>
      </x:c>
      <x:c r="O410" s="2">
        <x:v>150</x:v>
      </x:c>
      <x:c r="P410" s="2">
        <x:v>190</x:v>
      </x:c>
      <x:c r="Q410" s="2" t="s">
        <x:v>111</x:v>
      </x:c>
      <x:c r="R410" s="2">
        <x:v>170</x:v>
      </x:c>
      <x:c r="S410" s="2" t="s">
        <x:v>111</x:v>
      </x:c>
      <x:c r="T410" s="2">
        <x:v>25</x:v>
      </x:c>
      <x:c r="U410" s="2">
        <x:v>33</x:v>
      </x:c>
      <x:c r="V410" s="2"/>
      <x:c r="W410" s="2"/>
      <x:c r="X410" s="2" t="s">
        <x:v>250</x:v>
      </x:c>
      <x:c r="Y410" s="2" t="s">
        <x:v>123</x:v>
      </x:c>
      <x:c r="Z410" s="2" t="s">
        <x:v>291</x:v>
      </x:c>
    </x:row>
    <x:row r="411" ht="27">
      <x:c r="A411" s="2">
        <x:v>2291</x:v>
      </x:c>
      <x:c r="B411" s="2">
        <x:v>1140053</x:v>
      </x:c>
      <x:c r="C411" s="2">
        <x:v>94099</x:v>
      </x:c>
      <x:c r="D411" s="2">
        <x:v>11673</x:v>
      </x:c>
      <x:c r="E411" s="2" t="s">
        <x:v>163</x:v>
      </x:c>
      <x:c r="F411" s="2" t="s">
        <x:v>292</x:v>
      </x:c>
      <x:c r="G411" s="2" t="s">
        <x:v>141</x:v>
      </x:c>
      <x:c r="H411" s="2" t="s">
        <x:v>135</x:v>
      </x:c>
      <x:c r="I411" s="2" t="s">
        <x:v>108</x:v>
      </x:c>
      <x:c r="J411" s="2">
        <x:v>2</x:v>
      </x:c>
      <x:c r="K411" s="2" t="s">
        <x:v>126</x:v>
      </x:c>
      <x:c r="L411" s="2" t="s">
        <x:v>110</x:v>
      </x:c>
      <x:c r="M411" s="2"/>
      <x:c r="N411" s="2">
        <x:v>19270</x:v>
      </x:c>
      <x:c r="O411" s="2"/>
      <x:c r="P411" s="2"/>
      <x:c r="Q411" s="2" t="s">
        <x:v>111</x:v>
      </x:c>
      <x:c r="R411" s="2">
        <x:v>19270</x:v>
      </x:c>
      <x:c r="S411" s="2" t="s">
        <x:v>111</x:v>
      </x:c>
      <x:c r="T411" s="2">
        <x:v>14</x:v>
      </x:c>
      <x:c r="U411" s="2"/>
      <x:c r="V411" s="2"/>
      <x:c r="W411" s="2"/>
      <x:c r="X411" s="2" t="s">
        <x:v>266</x:v>
      </x:c>
      <x:c r="Y411" s="2" t="s">
        <x:v>123</x:v>
      </x:c>
      <x:c r="Z411" s="2" t="s">
        <x:v>293</x:v>
      </x:c>
    </x:row>
  </x:sheetData>
  <x:pageMargins left="0.7" right="0.7" top="0.75" bottom="0.75" header="0.3" footer="0.3"/>
</x:worksheet>
</file>

<file path=xl/worksheets/sheet4.xml><?xml version="1.0" encoding="utf-8"?>
<x:worksheet xmlns:x="http://schemas.openxmlformats.org/spreadsheetml/2006/main">
  <x:sheetFormatPr defaultRowHeight="13.5"/>
  <x:cols>
    <x:col min="1" max="1" width="10" customWidth="1"/>
    <x:col min="2" max="4" width="14" customWidth="1"/>
    <x:col min="5" max="5" width="8" customWidth="1"/>
    <x:col min="6" max="6" width="34" customWidth="1"/>
    <x:col min="7" max="7" width="24" customWidth="1"/>
    <x:col min="8" max="9" width="16" customWidth="1"/>
    <x:col min="10" max="10" width="12" customWidth="1"/>
    <x:col min="11" max="11" width="18" customWidth="1"/>
    <x:col min="12" max="12" width="16" customWidth="1"/>
    <x:col min="13" max="16" width="12" customWidth="1"/>
    <x:col min="17" max="17" width="14" customWidth="1"/>
    <x:col min="18" max="18" width="16" customWidth="1"/>
    <x:col min="19" max="19" width="14" customWidth="1"/>
    <x:col min="20" max="21" width="12" customWidth="1"/>
    <x:col min="22" max="22" width="10" customWidth="1"/>
    <x:col min="23" max="23" width="14" customWidth="1"/>
    <x:col min="24" max="24" width="55" customWidth="1"/>
    <x:col min="25" max="25" width="24" customWidth="1"/>
    <x:col min="26" max="26" width="55" customWidth="1"/>
  </x:cols>
  <x:sheetData>
    <x:row r="1" ht="27.75">
      <x:c r="A1" s="6" t="s">
        <x:v>80</x:v>
      </x:c>
      <x:c r="B1" s="6" t="s">
        <x:v>81</x:v>
      </x:c>
      <x:c r="C1" s="6" t="s">
        <x:v>82</x:v>
      </x:c>
      <x:c r="D1" s="6" t="s">
        <x:v>83</x:v>
      </x:c>
      <x:c r="E1" s="6" t="s">
        <x:v>4</x:v>
      </x:c>
      <x:c r="F1" s="6" t="s">
        <x:v>84</x:v>
      </x:c>
      <x:c r="G1" s="6" t="s">
        <x:v>85</x:v>
      </x:c>
      <x:c r="H1" s="6" t="s">
        <x:v>86</x:v>
      </x:c>
      <x:c r="I1" s="6" t="s">
        <x:v>87</x:v>
      </x:c>
      <x:c r="J1" s="6" t="s">
        <x:v>88</x:v>
      </x:c>
      <x:c r="K1" s="6" t="s">
        <x:v>89</x:v>
      </x:c>
      <x:c r="L1" s="6" t="s">
        <x:v>90</x:v>
      </x:c>
      <x:c r="M1" s="6" t="s">
        <x:v>91</x:v>
      </x:c>
      <x:c r="N1" s="6" t="s">
        <x:v>92</x:v>
      </x:c>
      <x:c r="O1" s="6" t="s">
        <x:v>93</x:v>
      </x:c>
      <x:c r="P1" s="6" t="s">
        <x:v>94</x:v>
      </x:c>
      <x:c r="Q1" s="6" t="s">
        <x:v>95</x:v>
      </x:c>
      <x:c r="R1" s="6" t="s">
        <x:v>96</x:v>
      </x:c>
      <x:c r="S1" s="6" t="s">
        <x:v>97</x:v>
      </x:c>
      <x:c r="T1" s="6" t="s">
        <x:v>98</x:v>
      </x:c>
      <x:c r="U1" s="6" t="s">
        <x:v>99</x:v>
      </x:c>
      <x:c r="V1" s="6" t="s">
        <x:v>100</x:v>
      </x:c>
      <x:c r="W1" s="6" t="s">
        <x:v>101</x:v>
      </x:c>
      <x:c r="X1" s="6" t="s">
        <x:v>102</x:v>
      </x:c>
      <x:c r="Y1" s="6" t="s">
        <x:v>103</x:v>
      </x:c>
      <x:c r="Z1" s="6" t="s">
        <x:v>104</x:v>
      </x:c>
    </x:row>
    <x:row r="2" ht="40.5">
      <x:c r="A2" s="2">
        <x:v>14</x:v>
      </x:c>
      <x:c r="B2" s="2">
        <x:v>1301484</x:v>
      </x:c>
      <x:c r="C2" s="2">
        <x:v>757363</x:v>
      </x:c>
      <x:c r="D2" s="2">
        <x:v>115854</x:v>
      </x:c>
      <x:c r="E2" s="2" t="s">
        <x:v>10</x:v>
      </x:c>
      <x:c r="F2" s="2" t="s">
        <x:v>105</x:v>
      </x:c>
      <x:c r="G2" s="2" t="s">
        <x:v>106</x:v>
      </x:c>
      <x:c r="H2" s="2" t="s">
        <x:v>107</x:v>
      </x:c>
      <x:c r="I2" s="2" t="s">
        <x:v>108</x:v>
      </x:c>
      <x:c r="J2" s="2">
        <x:v>4</x:v>
      </x:c>
      <x:c r="K2" s="2" t="s">
        <x:v>109</x:v>
      </x:c>
      <x:c r="L2" s="2" t="s">
        <x:v>110</x:v>
      </x:c>
      <x:c r="M2" s="2"/>
      <x:c r="N2" s="2">
        <x:v>743</x:v>
      </x:c>
      <x:c r="O2" s="2"/>
      <x:c r="P2" s="2"/>
      <x:c r="Q2" s="2" t="s">
        <x:v>111</x:v>
      </x:c>
      <x:c r="R2" s="2">
        <x:v>743</x:v>
      </x:c>
      <x:c r="S2" s="2" t="s">
        <x:v>111</x:v>
      </x:c>
      <x:c r="T2" s="2">
        <x:v>25</x:v>
      </x:c>
      <x:c r="U2" s="2">
        <x:v>33</x:v>
      </x:c>
      <x:c r="V2" s="2"/>
      <x:c r="W2" s="2"/>
      <x:c r="X2" s="2" t="s">
        <x:v>112</x:v>
      </x:c>
      <x:c r="Y2" s="2" t="s">
        <x:v>113</x:v>
      </x:c>
      <x:c r="Z2" s="2" t="s">
        <x:v>114</x:v>
      </x:c>
    </x:row>
    <x:row r="3" ht="27">
      <x:c r="A3" s="2">
        <x:v>26</x:v>
      </x:c>
      <x:c r="B3" s="2">
        <x:v>1152733</x:v>
      </x:c>
      <x:c r="C3" s="2">
        <x:v>86472</x:v>
      </x:c>
      <x:c r="D3" s="2">
        <x:v>13179</x:v>
      </x:c>
      <x:c r="E3" s="2" t="s">
        <x:v>45</x:v>
      </x:c>
      <x:c r="F3" s="2" t="s">
        <x:v>115</x:v>
      </x:c>
      <x:c r="G3" s="2" t="s">
        <x:v>116</x:v>
      </x:c>
      <x:c r="H3" s="2" t="s">
        <x:v>107</x:v>
      </x:c>
      <x:c r="I3" s="2"/>
      <x:c r="J3" s="2">
        <x:v>2</x:v>
      </x:c>
      <x:c r="K3" s="2" t="s">
        <x:v>117</x:v>
      </x:c>
      <x:c r="L3" s="2" t="s">
        <x:v>110</x:v>
      </x:c>
      <x:c r="M3" s="2"/>
      <x:c r="N3" s="2">
        <x:v>2580</x:v>
      </x:c>
      <x:c r="O3" s="2"/>
      <x:c r="P3" s="2"/>
      <x:c r="Q3" s="2" t="s">
        <x:v>111</x:v>
      </x:c>
      <x:c r="R3" s="2">
        <x:v>2580</x:v>
      </x:c>
      <x:c r="S3" s="2" t="s">
        <x:v>111</x:v>
      </x:c>
      <x:c r="T3" s="2">
        <x:v>22</x:v>
      </x:c>
      <x:c r="U3" s="2">
        <x:v>38</x:v>
      </x:c>
      <x:c r="V3" s="2"/>
      <x:c r="W3" s="2"/>
      <x:c r="X3" s="2" t="s">
        <x:v>118</x:v>
      </x:c>
      <x:c r="Y3" s="2" t="s">
        <x:v>113</x:v>
      </x:c>
      <x:c r="Z3" s="2" t="s">
        <x:v>114</x:v>
      </x:c>
    </x:row>
    <x:row r="4">
      <x:c r="A4" s="2">
        <x:v>49</x:v>
      </x:c>
      <x:c r="B4" s="2">
        <x:v>1035621</x:v>
      </x:c>
      <x:c r="C4" s="2">
        <x:v>54724</x:v>
      </x:c>
      <x:c r="D4" s="2">
        <x:v>2183</x:v>
      </x:c>
      <x:c r="E4" s="2" t="s">
        <x:v>10</x:v>
      </x:c>
      <x:c r="F4" s="2" t="s">
        <x:v>128</x:v>
      </x:c>
      <x:c r="G4" s="2" t="s">
        <x:v>129</x:v>
      </x:c>
      <x:c r="H4" s="2" t="s">
        <x:v>107</x:v>
      </x:c>
      <x:c r="I4" s="2" t="s">
        <x:v>108</x:v>
      </x:c>
      <x:c r="J4" s="2">
        <x:v>4</x:v>
      </x:c>
      <x:c r="K4" s="2" t="s">
        <x:v>117</x:v>
      </x:c>
      <x:c r="L4" s="2" t="s">
        <x:v>110</x:v>
      </x:c>
      <x:c r="M4" s="2"/>
      <x:c r="N4" s="2">
        <x:v>1800</x:v>
      </x:c>
      <x:c r="O4" s="2">
        <x:v>1300</x:v>
      </x:c>
      <x:c r="P4" s="2">
        <x:v>2400</x:v>
      </x:c>
      <x:c r="Q4" s="2" t="s">
        <x:v>111</x:v>
      </x:c>
      <x:c r="R4" s="2">
        <x:v>1800</x:v>
      </x:c>
      <x:c r="S4" s="2" t="s">
        <x:v>111</x:v>
      </x:c>
      <x:c r="T4" s="2">
        <x:v>20</x:v>
      </x:c>
      <x:c r="U4" s="2">
        <x:v>7</x:v>
      </x:c>
      <x:c r="V4" s="2">
        <x:v>8</x:v>
      </x:c>
      <x:c r="W4" s="2"/>
      <x:c r="X4" s="2" t="s">
        <x:v>130</x:v>
      </x:c>
      <x:c r="Y4" s="2" t="s">
        <x:v>113</x:v>
      </x:c>
      <x:c r="Z4" s="2" t="s">
        <x:v>114</x:v>
      </x:c>
    </x:row>
    <x:row r="5" ht="40.5">
      <x:c r="A5" s="2">
        <x:v>59</x:v>
      </x:c>
      <x:c r="B5" s="2">
        <x:v>1159856</x:v>
      </x:c>
      <x:c r="C5" s="2">
        <x:v>142865</x:v>
      </x:c>
      <x:c r="D5" s="2">
        <x:v>14137</x:v>
      </x:c>
      <x:c r="E5" s="2" t="s">
        <x:v>10</x:v>
      </x:c>
      <x:c r="F5" s="2" t="s">
        <x:v>131</x:v>
      </x:c>
      <x:c r="G5" s="2" t="s">
        <x:v>132</x:v>
      </x:c>
      <x:c r="H5" s="2" t="s">
        <x:v>107</x:v>
      </x:c>
      <x:c r="I5" s="2" t="s">
        <x:v>108</x:v>
      </x:c>
      <x:c r="J5" s="2">
        <x:v>4</x:v>
      </x:c>
      <x:c r="K5" s="2" t="s">
        <x:v>126</x:v>
      </x:c>
      <x:c r="L5" s="2" t="s">
        <x:v>110</x:v>
      </x:c>
      <x:c r="M5" s="2"/>
      <x:c r="N5" s="2">
        <x:v>88</x:v>
      </x:c>
      <x:c r="O5" s="2"/>
      <x:c r="P5" s="2"/>
      <x:c r="Q5" s="2" t="s">
        <x:v>111</x:v>
      </x:c>
      <x:c r="R5" s="2">
        <x:v>88</x:v>
      </x:c>
      <x:c r="S5" s="2" t="s">
        <x:v>111</x:v>
      </x:c>
      <x:c r="T5" s="2"/>
      <x:c r="U5" s="2"/>
      <x:c r="V5" s="2"/>
      <x:c r="W5" s="2"/>
      <x:c r="X5" s="2" t="s">
        <x:v>133</x:v>
      </x:c>
      <x:c r="Y5" s="2" t="s">
        <x:v>113</x:v>
      </x:c>
      <x:c r="Z5" s="2" t="s">
        <x:v>114</x:v>
      </x:c>
    </x:row>
    <x:row r="6" ht="40.5">
      <x:c r="A6" s="2">
        <x:v>61</x:v>
      </x:c>
      <x:c r="B6" s="2">
        <x:v>1159857</x:v>
      </x:c>
      <x:c r="C6" s="2">
        <x:v>142866</x:v>
      </x:c>
      <x:c r="D6" s="2">
        <x:v>14137</x:v>
      </x:c>
      <x:c r="E6" s="2" t="s">
        <x:v>10</x:v>
      </x:c>
      <x:c r="F6" s="2" t="s">
        <x:v>131</x:v>
      </x:c>
      <x:c r="G6" s="2" t="s">
        <x:v>132</x:v>
      </x:c>
      <x:c r="H6" s="2" t="s">
        <x:v>107</x:v>
      </x:c>
      <x:c r="I6" s="2" t="s">
        <x:v>125</x:v>
      </x:c>
      <x:c r="J6" s="2">
        <x:v>4</x:v>
      </x:c>
      <x:c r="K6" s="2" t="s">
        <x:v>126</x:v>
      </x:c>
      <x:c r="L6" s="2" t="s">
        <x:v>110</x:v>
      </x:c>
      <x:c r="M6" s="2"/>
      <x:c r="N6" s="2">
        <x:v>64</x:v>
      </x:c>
      <x:c r="O6" s="2"/>
      <x:c r="P6" s="2"/>
      <x:c r="Q6" s="2" t="s">
        <x:v>111</x:v>
      </x:c>
      <x:c r="R6" s="2">
        <x:v>64</x:v>
      </x:c>
      <x:c r="S6" s="2" t="s">
        <x:v>111</x:v>
      </x:c>
      <x:c r="T6" s="2"/>
      <x:c r="U6" s="2"/>
      <x:c r="V6" s="2"/>
      <x:c r="W6" s="2"/>
      <x:c r="X6" s="2" t="s">
        <x:v>133</x:v>
      </x:c>
      <x:c r="Y6" s="2" t="s">
        <x:v>113</x:v>
      </x:c>
      <x:c r="Z6" s="2" t="s">
        <x:v>114</x:v>
      </x:c>
    </x:row>
    <x:row r="7" ht="27">
      <x:c r="A7" s="2">
        <x:v>81</x:v>
      </x:c>
      <x:c r="B7" s="2">
        <x:v>1054948</x:v>
      </x:c>
      <x:c r="C7" s="2">
        <x:v>220835</x:v>
      </x:c>
      <x:c r="D7" s="2">
        <x:v>3825</x:v>
      </x:c>
      <x:c r="E7" s="2" t="s">
        <x:v>51</x:v>
      </x:c>
      <x:c r="F7" s="2" t="s">
        <x:v>140</x:v>
      </x:c>
      <x:c r="G7" s="2" t="s">
        <x:v>141</x:v>
      </x:c>
      <x:c r="H7" s="2" t="s">
        <x:v>135</x:v>
      </x:c>
      <x:c r="I7" s="2"/>
      <x:c r="J7" s="2">
        <x:v>4</x:v>
      </x:c>
      <x:c r="K7" s="2" t="s">
        <x:v>109</x:v>
      </x:c>
      <x:c r="L7" s="2" t="s">
        <x:v>110</x:v>
      </x:c>
      <x:c r="M7" s="2"/>
      <x:c r="N7" s="2">
        <x:v>668</x:v>
      </x:c>
      <x:c r="O7" s="2">
        <x:v>484</x:v>
      </x:c>
      <x:c r="P7" s="2">
        <x:v>876</x:v>
      </x:c>
      <x:c r="Q7" s="2" t="s">
        <x:v>111</x:v>
      </x:c>
      <x:c r="R7" s="2">
        <x:v>668</x:v>
      </x:c>
      <x:c r="S7" s="2" t="s">
        <x:v>111</x:v>
      </x:c>
      <x:c r="T7" s="2">
        <x:v>10</x:v>
      </x:c>
      <x:c r="U7" s="2">
        <x:v>30</x:v>
      </x:c>
      <x:c r="V7" s="2"/>
      <x:c r="W7" s="2"/>
      <x:c r="X7" s="2" t="s">
        <x:v>142</x:v>
      </x:c>
      <x:c r="Y7" s="2" t="s">
        <x:v>113</x:v>
      </x:c>
      <x:c r="Z7" s="2" t="s">
        <x:v>114</x:v>
      </x:c>
    </x:row>
    <x:row r="8">
      <x:c r="A8" s="2">
        <x:v>83</x:v>
      </x:c>
      <x:c r="B8" s="2">
        <x:v>1053695</x:v>
      </x:c>
      <x:c r="C8" s="2">
        <x:v>194886</x:v>
      </x:c>
      <x:c r="D8" s="2">
        <x:v>3751</x:v>
      </x:c>
      <x:c r="E8" s="2" t="s">
        <x:v>51</x:v>
      </x:c>
      <x:c r="F8" s="2" t="s">
        <x:v>140</x:v>
      </x:c>
      <x:c r="G8" s="2" t="s">
        <x:v>141</x:v>
      </x:c>
      <x:c r="H8" s="2" t="s">
        <x:v>135</x:v>
      </x:c>
      <x:c r="I8" s="2" t="s">
        <x:v>108</x:v>
      </x:c>
      <x:c r="J8" s="2">
        <x:v>4</x:v>
      </x:c>
      <x:c r="K8" s="2" t="s">
        <x:v>109</x:v>
      </x:c>
      <x:c r="L8" s="2" t="s">
        <x:v>110</x:v>
      </x:c>
      <x:c r="M8" s="2"/>
      <x:c r="N8" s="2">
        <x:v>668</x:v>
      </x:c>
      <x:c r="O8" s="2">
        <x:v>484</x:v>
      </x:c>
      <x:c r="P8" s="2">
        <x:v>876</x:v>
      </x:c>
      <x:c r="Q8" s="2" t="s">
        <x:v>111</x:v>
      </x:c>
      <x:c r="R8" s="2">
        <x:v>668</x:v>
      </x:c>
      <x:c r="S8" s="2" t="s">
        <x:v>111</x:v>
      </x:c>
      <x:c r="T8" s="2">
        <x:v>10</x:v>
      </x:c>
      <x:c r="U8" s="2">
        <x:v>30</x:v>
      </x:c>
      <x:c r="V8" s="2"/>
      <x:c r="W8" s="2"/>
      <x:c r="X8" s="2" t="s">
        <x:v>143</x:v>
      </x:c>
      <x:c r="Y8" s="2" t="s">
        <x:v>113</x:v>
      </x:c>
      <x:c r="Z8" s="2" t="s">
        <x:v>114</x:v>
      </x:c>
    </x:row>
    <x:row r="9" ht="40.5">
      <x:c r="A9" s="2">
        <x:v>84</x:v>
      </x:c>
      <x:c r="B9" s="2">
        <x:v>1078773</x:v>
      </x:c>
      <x:c r="C9" s="2">
        <x:v>10206</x:v>
      </x:c>
      <x:c r="D9" s="2">
        <x:v>6079</x:v>
      </x:c>
      <x:c r="E9" s="2" t="s">
        <x:v>39</x:v>
      </x:c>
      <x:c r="F9" s="2" t="s">
        <x:v>144</x:v>
      </x:c>
      <x:c r="G9" s="2" t="s">
        <x:v>135</x:v>
      </x:c>
      <x:c r="H9" s="2" t="s">
        <x:v>135</x:v>
      </x:c>
      <x:c r="I9" s="2"/>
      <x:c r="J9" s="2">
        <x:v>2</x:v>
      </x:c>
      <x:c r="K9" s="2" t="s">
        <x:v>117</x:v>
      </x:c>
      <x:c r="L9" s="2" t="s">
        <x:v>110</x:v>
      </x:c>
      <x:c r="M9" s="2"/>
      <x:c r="N9" s="2">
        <x:v>31</x:v>
      </x:c>
      <x:c r="O9" s="2"/>
      <x:c r="P9" s="2"/>
      <x:c r="Q9" s="2" t="s">
        <x:v>111</x:v>
      </x:c>
      <x:c r="R9" s="2">
        <x:v>31</x:v>
      </x:c>
      <x:c r="S9" s="2" t="s">
        <x:v>111</x:v>
      </x:c>
      <x:c r="T9" s="2">
        <x:v>9</x:v>
      </x:c>
      <x:c r="U9" s="2"/>
      <x:c r="V9" s="2"/>
      <x:c r="W9" s="2"/>
      <x:c r="X9" s="2" t="s">
        <x:v>145</x:v>
      </x:c>
      <x:c r="Y9" s="2" t="s">
        <x:v>113</x:v>
      </x:c>
      <x:c r="Z9" s="2" t="s">
        <x:v>114</x:v>
      </x:c>
    </x:row>
    <x:row r="10" ht="40.5">
      <x:c r="A10" s="2">
        <x:v>88</x:v>
      </x:c>
      <x:c r="B10" s="2">
        <x:v>1078775</x:v>
      </x:c>
      <x:c r="C10" s="2">
        <x:v>10208</x:v>
      </x:c>
      <x:c r="D10" s="2">
        <x:v>6079</x:v>
      </x:c>
      <x:c r="E10" s="2" t="s">
        <x:v>39</x:v>
      </x:c>
      <x:c r="F10" s="2" t="s">
        <x:v>144</x:v>
      </x:c>
      <x:c r="G10" s="2" t="s">
        <x:v>135</x:v>
      </x:c>
      <x:c r="H10" s="2" t="s">
        <x:v>135</x:v>
      </x:c>
      <x:c r="I10" s="2"/>
      <x:c r="J10" s="2">
        <x:v>2</x:v>
      </x:c>
      <x:c r="K10" s="2" t="s">
        <x:v>117</x:v>
      </x:c>
      <x:c r="L10" s="2" t="s">
        <x:v>110</x:v>
      </x:c>
      <x:c r="M10" s="2"/>
      <x:c r="N10" s="2">
        <x:v>32</x:v>
      </x:c>
      <x:c r="O10" s="2"/>
      <x:c r="P10" s="2"/>
      <x:c r="Q10" s="2" t="s">
        <x:v>111</x:v>
      </x:c>
      <x:c r="R10" s="2">
        <x:v>32</x:v>
      </x:c>
      <x:c r="S10" s="2" t="s">
        <x:v>111</x:v>
      </x:c>
      <x:c r="T10" s="2">
        <x:v>9</x:v>
      </x:c>
      <x:c r="U10" s="2"/>
      <x:c r="V10" s="2"/>
      <x:c r="W10" s="2"/>
      <x:c r="X10" s="2" t="s">
        <x:v>145</x:v>
      </x:c>
      <x:c r="Y10" s="2" t="s">
        <x:v>113</x:v>
      </x:c>
      <x:c r="Z10" s="2" t="s">
        <x:v>114</x:v>
      </x:c>
    </x:row>
    <x:row r="11" ht="40.5">
      <x:c r="A11" s="2">
        <x:v>103</x:v>
      </x:c>
      <x:c r="B11" s="2">
        <x:v>1078774</x:v>
      </x:c>
      <x:c r="C11" s="2">
        <x:v>10207</x:v>
      </x:c>
      <x:c r="D11" s="2">
        <x:v>6079</x:v>
      </x:c>
      <x:c r="E11" s="2" t="s">
        <x:v>39</x:v>
      </x:c>
      <x:c r="F11" s="2" t="s">
        <x:v>144</x:v>
      </x:c>
      <x:c r="G11" s="2" t="s">
        <x:v>135</x:v>
      </x:c>
      <x:c r="H11" s="2" t="s">
        <x:v>135</x:v>
      </x:c>
      <x:c r="I11" s="2" t="s">
        <x:v>108</x:v>
      </x:c>
      <x:c r="J11" s="2">
        <x:v>2</x:v>
      </x:c>
      <x:c r="K11" s="2" t="s">
        <x:v>117</x:v>
      </x:c>
      <x:c r="L11" s="2" t="s">
        <x:v>110</x:v>
      </x:c>
      <x:c r="M11" s="2"/>
      <x:c r="N11" s="2">
        <x:v>22</x:v>
      </x:c>
      <x:c r="O11" s="2"/>
      <x:c r="P11" s="2"/>
      <x:c r="Q11" s="2" t="s">
        <x:v>111</x:v>
      </x:c>
      <x:c r="R11" s="2">
        <x:v>22</x:v>
      </x:c>
      <x:c r="S11" s="2" t="s">
        <x:v>111</x:v>
      </x:c>
      <x:c r="T11" s="2">
        <x:v>21</x:v>
      </x:c>
      <x:c r="U11" s="2"/>
      <x:c r="V11" s="2"/>
      <x:c r="W11" s="2"/>
      <x:c r="X11" s="2" t="s">
        <x:v>145</x:v>
      </x:c>
      <x:c r="Y11" s="2" t="s">
        <x:v>113</x:v>
      </x:c>
      <x:c r="Z11" s="2" t="s">
        <x:v>114</x:v>
      </x:c>
    </x:row>
    <x:row r="12">
      <x:c r="A12" s="2">
        <x:v>105</x:v>
      </x:c>
      <x:c r="B12" s="2">
        <x:v>1053473</x:v>
      </x:c>
      <x:c r="C12" s="2">
        <x:v>129431</x:v>
      </x:c>
      <x:c r="D12" s="2">
        <x:v>3734</x:v>
      </x:c>
      <x:c r="E12" s="2" t="s">
        <x:v>39</x:v>
      </x:c>
      <x:c r="F12" s="2" t="s">
        <x:v>144</x:v>
      </x:c>
      <x:c r="G12" s="2" t="s">
        <x:v>146</x:v>
      </x:c>
      <x:c r="H12" s="2" t="s">
        <x:v>135</x:v>
      </x:c>
      <x:c r="I12" s="2"/>
      <x:c r="J12" s="2">
        <x:v>4</x:v>
      </x:c>
      <x:c r="K12" s="2" t="s">
        <x:v>117</x:v>
      </x:c>
      <x:c r="L12" s="2" t="s">
        <x:v>110</x:v>
      </x:c>
      <x:c r="M12" s="2"/>
      <x:c r="N12" s="2">
        <x:v>79</x:v>
      </x:c>
      <x:c r="O12" s="2">
        <x:v>45</x:v>
      </x:c>
      <x:c r="P12" s="2">
        <x:v>112</x:v>
      </x:c>
      <x:c r="Q12" s="2" t="s">
        <x:v>111</x:v>
      </x:c>
      <x:c r="R12" s="2">
        <x:v>79</x:v>
      </x:c>
      <x:c r="S12" s="2" t="s">
        <x:v>111</x:v>
      </x:c>
      <x:c r="T12" s="2">
        <x:v>20</x:v>
      </x:c>
      <x:c r="U12" s="2">
        <x:v>30</x:v>
      </x:c>
      <x:c r="V12" s="2"/>
      <x:c r="W12" s="2"/>
      <x:c r="X12" s="2" t="s">
        <x:v>143</x:v>
      </x:c>
      <x:c r="Y12" s="2" t="s">
        <x:v>113</x:v>
      </x:c>
      <x:c r="Z12" s="2" t="s">
        <x:v>114</x:v>
      </x:c>
    </x:row>
    <x:row r="13" ht="27">
      <x:c r="A13" s="2">
        <x:v>111</x:v>
      </x:c>
      <x:c r="B13" s="2">
        <x:v>1111935</x:v>
      </x:c>
      <x:c r="C13" s="2">
        <x:v>21216</x:v>
      </x:c>
      <x:c r="D13" s="2">
        <x:v>8445</x:v>
      </x:c>
      <x:c r="E13" s="2" t="s">
        <x:v>39</x:v>
      </x:c>
      <x:c r="F13" s="2" t="s">
        <x:v>144</x:v>
      </x:c>
      <x:c r="G13" s="2" t="s">
        <x:v>134</x:v>
      </x:c>
      <x:c r="H13" s="2" t="s">
        <x:v>135</x:v>
      </x:c>
      <x:c r="I13" s="2"/>
      <x:c r="J13" s="2">
        <x:v>2</x:v>
      </x:c>
      <x:c r="K13" s="2" t="s">
        <x:v>117</x:v>
      </x:c>
      <x:c r="L13" s="2" t="s">
        <x:v>110</x:v>
      </x:c>
      <x:c r="M13" s="2"/>
      <x:c r="N13" s="2">
        <x:v>17</x:v>
      </x:c>
      <x:c r="O13" s="2"/>
      <x:c r="P13" s="2"/>
      <x:c r="Q13" s="2" t="s">
        <x:v>111</x:v>
      </x:c>
      <x:c r="R13" s="2">
        <x:v>17</x:v>
      </x:c>
      <x:c r="S13" s="2" t="s">
        <x:v>111</x:v>
      </x:c>
      <x:c r="T13" s="2">
        <x:v>20</x:v>
      </x:c>
      <x:c r="U13" s="2">
        <x:v>10</x:v>
      </x:c>
      <x:c r="V13" s="2"/>
      <x:c r="W13" s="2"/>
      <x:c r="X13" s="2" t="s">
        <x:v>147</x:v>
      </x:c>
      <x:c r="Y13" s="2" t="s">
        <x:v>113</x:v>
      </x:c>
      <x:c r="Z13" s="2" t="s">
        <x:v>114</x:v>
      </x:c>
    </x:row>
    <x:row r="14" ht="27">
      <x:c r="A14" s="2">
        <x:v>112</x:v>
      </x:c>
      <x:c r="B14" s="2">
        <x:v>1111929</x:v>
      </x:c>
      <x:c r="C14" s="2">
        <x:v>21210</x:v>
      </x:c>
      <x:c r="D14" s="2">
        <x:v>8445</x:v>
      </x:c>
      <x:c r="E14" s="2" t="s">
        <x:v>39</x:v>
      </x:c>
      <x:c r="F14" s="2" t="s">
        <x:v>144</x:v>
      </x:c>
      <x:c r="G14" s="2" t="s">
        <x:v>134</x:v>
      </x:c>
      <x:c r="H14" s="2" t="s">
        <x:v>135</x:v>
      </x:c>
      <x:c r="I14" s="2" t="s">
        <x:v>148</x:v>
      </x:c>
      <x:c r="J14" s="2">
        <x:v>4</x:v>
      </x:c>
      <x:c r="K14" s="2" t="s">
        <x:v>117</x:v>
      </x:c>
      <x:c r="L14" s="2" t="s">
        <x:v>110</x:v>
      </x:c>
      <x:c r="M14" s="2"/>
      <x:c r="N14" s="2">
        <x:v>15</x:v>
      </x:c>
      <x:c r="O14" s="2"/>
      <x:c r="P14" s="2"/>
      <x:c r="Q14" s="2" t="s">
        <x:v>111</x:v>
      </x:c>
      <x:c r="R14" s="2">
        <x:v>15</x:v>
      </x:c>
      <x:c r="S14" s="2" t="s">
        <x:v>111</x:v>
      </x:c>
      <x:c r="T14" s="2">
        <x:v>20</x:v>
      </x:c>
      <x:c r="U14" s="2">
        <x:v>10</x:v>
      </x:c>
      <x:c r="V14" s="2"/>
      <x:c r="W14" s="2"/>
      <x:c r="X14" s="2" t="s">
        <x:v>147</x:v>
      </x:c>
      <x:c r="Y14" s="2" t="s">
        <x:v>113</x:v>
      </x:c>
      <x:c r="Z14" s="2" t="s">
        <x:v>114</x:v>
      </x:c>
    </x:row>
    <x:row r="15" ht="27">
      <x:c r="A15" s="2">
        <x:v>113</x:v>
      </x:c>
      <x:c r="B15" s="2">
        <x:v>1111930</x:v>
      </x:c>
      <x:c r="C15" s="2">
        <x:v>21211</x:v>
      </x:c>
      <x:c r="D15" s="2">
        <x:v>8445</x:v>
      </x:c>
      <x:c r="E15" s="2" t="s">
        <x:v>39</x:v>
      </x:c>
      <x:c r="F15" s="2" t="s">
        <x:v>144</x:v>
      </x:c>
      <x:c r="G15" s="2" t="s">
        <x:v>134</x:v>
      </x:c>
      <x:c r="H15" s="2" t="s">
        <x:v>135</x:v>
      </x:c>
      <x:c r="I15" s="2" t="s">
        <x:v>149</x:v>
      </x:c>
      <x:c r="J15" s="2">
        <x:v>1</x:v>
      </x:c>
      <x:c r="K15" s="2" t="s">
        <x:v>117</x:v>
      </x:c>
      <x:c r="L15" s="2" t="s">
        <x:v>110</x:v>
      </x:c>
      <x:c r="M15" s="2"/>
      <x:c r="N15" s="2">
        <x:v>20</x:v>
      </x:c>
      <x:c r="O15" s="2"/>
      <x:c r="P15" s="2"/>
      <x:c r="Q15" s="2" t="s">
        <x:v>111</x:v>
      </x:c>
      <x:c r="R15" s="2">
        <x:v>20</x:v>
      </x:c>
      <x:c r="S15" s="2" t="s">
        <x:v>111</x:v>
      </x:c>
      <x:c r="T15" s="2">
        <x:v>20</x:v>
      </x:c>
      <x:c r="U15" s="2">
        <x:v>10</x:v>
      </x:c>
      <x:c r="V15" s="2"/>
      <x:c r="W15" s="2"/>
      <x:c r="X15" s="2" t="s">
        <x:v>147</x:v>
      </x:c>
      <x:c r="Y15" s="2" t="s">
        <x:v>113</x:v>
      </x:c>
      <x:c r="Z15" s="2" t="s">
        <x:v>114</x:v>
      </x:c>
    </x:row>
    <x:row r="16" ht="27">
      <x:c r="A16" s="2">
        <x:v>114</x:v>
      </x:c>
      <x:c r="B16" s="2">
        <x:v>1111932</x:v>
      </x:c>
      <x:c r="C16" s="2">
        <x:v>21213</x:v>
      </x:c>
      <x:c r="D16" s="2">
        <x:v>8445</x:v>
      </x:c>
      <x:c r="E16" s="2" t="s">
        <x:v>39</x:v>
      </x:c>
      <x:c r="F16" s="2" t="s">
        <x:v>144</x:v>
      </x:c>
      <x:c r="G16" s="2" t="s">
        <x:v>134</x:v>
      </x:c>
      <x:c r="H16" s="2" t="s">
        <x:v>135</x:v>
      </x:c>
      <x:c r="I16" s="2" t="s">
        <x:v>149</x:v>
      </x:c>
      <x:c r="J16" s="2">
        <x:v>3</x:v>
      </x:c>
      <x:c r="K16" s="2" t="s">
        <x:v>117</x:v>
      </x:c>
      <x:c r="L16" s="2" t="s">
        <x:v>110</x:v>
      </x:c>
      <x:c r="M16" s="2"/>
      <x:c r="N16" s="2">
        <x:v>17</x:v>
      </x:c>
      <x:c r="O16" s="2"/>
      <x:c r="P16" s="2"/>
      <x:c r="Q16" s="2" t="s">
        <x:v>111</x:v>
      </x:c>
      <x:c r="R16" s="2">
        <x:v>17</x:v>
      </x:c>
      <x:c r="S16" s="2" t="s">
        <x:v>111</x:v>
      </x:c>
      <x:c r="T16" s="2">
        <x:v>20</x:v>
      </x:c>
      <x:c r="U16" s="2">
        <x:v>10</x:v>
      </x:c>
      <x:c r="V16" s="2"/>
      <x:c r="W16" s="2"/>
      <x:c r="X16" s="2" t="s">
        <x:v>147</x:v>
      </x:c>
      <x:c r="Y16" s="2" t="s">
        <x:v>113</x:v>
      </x:c>
      <x:c r="Z16" s="2" t="s">
        <x:v>114</x:v>
      </x:c>
    </x:row>
    <x:row r="17" ht="27">
      <x:c r="A17" s="2">
        <x:v>115</x:v>
      </x:c>
      <x:c r="B17" s="2">
        <x:v>1111926</x:v>
      </x:c>
      <x:c r="C17" s="2">
        <x:v>21207</x:v>
      </x:c>
      <x:c r="D17" s="2">
        <x:v>8445</x:v>
      </x:c>
      <x:c r="E17" s="2" t="s">
        <x:v>39</x:v>
      </x:c>
      <x:c r="F17" s="2" t="s">
        <x:v>144</x:v>
      </x:c>
      <x:c r="G17" s="2" t="s">
        <x:v>134</x:v>
      </x:c>
      <x:c r="H17" s="2" t="s">
        <x:v>135</x:v>
      </x:c>
      <x:c r="I17" s="2" t="s">
        <x:v>148</x:v>
      </x:c>
      <x:c r="J17" s="2">
        <x:v>1</x:v>
      </x:c>
      <x:c r="K17" s="2" t="s">
        <x:v>117</x:v>
      </x:c>
      <x:c r="L17" s="2" t="s">
        <x:v>110</x:v>
      </x:c>
      <x:c r="M17" s="2"/>
      <x:c r="N17" s="2">
        <x:v>22</x:v>
      </x:c>
      <x:c r="O17" s="2"/>
      <x:c r="P17" s="2"/>
      <x:c r="Q17" s="2" t="s">
        <x:v>111</x:v>
      </x:c>
      <x:c r="R17" s="2">
        <x:v>22</x:v>
      </x:c>
      <x:c r="S17" s="2" t="s">
        <x:v>111</x:v>
      </x:c>
      <x:c r="T17" s="2">
        <x:v>20</x:v>
      </x:c>
      <x:c r="U17" s="2">
        <x:v>10</x:v>
      </x:c>
      <x:c r="V17" s="2"/>
      <x:c r="W17" s="2"/>
      <x:c r="X17" s="2" t="s">
        <x:v>147</x:v>
      </x:c>
      <x:c r="Y17" s="2" t="s">
        <x:v>113</x:v>
      </x:c>
      <x:c r="Z17" s="2" t="s">
        <x:v>114</x:v>
      </x:c>
    </x:row>
    <x:row r="18">
      <x:c r="A18" s="2">
        <x:v>116</x:v>
      </x:c>
      <x:c r="B18" s="2">
        <x:v>1053474</x:v>
      </x:c>
      <x:c r="C18" s="2">
        <x:v>129432</x:v>
      </x:c>
      <x:c r="D18" s="2">
        <x:v>3734</x:v>
      </x:c>
      <x:c r="E18" s="2" t="s">
        <x:v>39</x:v>
      </x:c>
      <x:c r="F18" s="2" t="s">
        <x:v>144</x:v>
      </x:c>
      <x:c r="G18" s="2" t="s">
        <x:v>150</x:v>
      </x:c>
      <x:c r="H18" s="2" t="s">
        <x:v>135</x:v>
      </x:c>
      <x:c r="I18" s="2"/>
      <x:c r="J18" s="2">
        <x:v>4</x:v>
      </x:c>
      <x:c r="K18" s="2" t="s">
        <x:v>117</x:v>
      </x:c>
      <x:c r="L18" s="2" t="s">
        <x:v>110</x:v>
      </x:c>
      <x:c r="M18" s="2"/>
      <x:c r="N18" s="2">
        <x:v>158</x:v>
      </x:c>
      <x:c r="O18" s="2">
        <x:v>102</x:v>
      </x:c>
      <x:c r="P18" s="2">
        <x:v>216</x:v>
      </x:c>
      <x:c r="Q18" s="2" t="s">
        <x:v>111</x:v>
      </x:c>
      <x:c r="R18" s="2">
        <x:v>158</x:v>
      </x:c>
      <x:c r="S18" s="2" t="s">
        <x:v>111</x:v>
      </x:c>
      <x:c r="T18" s="2">
        <x:v>20</x:v>
      </x:c>
      <x:c r="U18" s="2">
        <x:v>30</x:v>
      </x:c>
      <x:c r="V18" s="2"/>
      <x:c r="W18" s="2"/>
      <x:c r="X18" s="2" t="s">
        <x:v>143</x:v>
      </x:c>
      <x:c r="Y18" s="2" t="s">
        <x:v>113</x:v>
      </x:c>
      <x:c r="Z18" s="2" t="s">
        <x:v>114</x:v>
      </x:c>
    </x:row>
    <x:row r="19" ht="27">
      <x:c r="A19" s="2">
        <x:v>117</x:v>
      </x:c>
      <x:c r="B19" s="2">
        <x:v>1111934</x:v>
      </x:c>
      <x:c r="C19" s="2">
        <x:v>21215</x:v>
      </x:c>
      <x:c r="D19" s="2">
        <x:v>8445</x:v>
      </x:c>
      <x:c r="E19" s="2" t="s">
        <x:v>39</x:v>
      </x:c>
      <x:c r="F19" s="2" t="s">
        <x:v>144</x:v>
      </x:c>
      <x:c r="G19" s="2" t="s">
        <x:v>134</x:v>
      </x:c>
      <x:c r="H19" s="2" t="s">
        <x:v>135</x:v>
      </x:c>
      <x:c r="I19" s="2"/>
      <x:c r="J19" s="2">
        <x:v>1</x:v>
      </x:c>
      <x:c r="K19" s="2" t="s">
        <x:v>117</x:v>
      </x:c>
      <x:c r="L19" s="2" t="s">
        <x:v>110</x:v>
      </x:c>
      <x:c r="M19" s="2"/>
      <x:c r="N19" s="2">
        <x:v>17.5</x:v>
      </x:c>
      <x:c r="O19" s="2"/>
      <x:c r="P19" s="2"/>
      <x:c r="Q19" s="2" t="s">
        <x:v>111</x:v>
      </x:c>
      <x:c r="R19" s="2">
        <x:v>17.5</x:v>
      </x:c>
      <x:c r="S19" s="2" t="s">
        <x:v>111</x:v>
      </x:c>
      <x:c r="T19" s="2">
        <x:v>20</x:v>
      </x:c>
      <x:c r="U19" s="2">
        <x:v>10</x:v>
      </x:c>
      <x:c r="V19" s="2"/>
      <x:c r="W19" s="2"/>
      <x:c r="X19" s="2" t="s">
        <x:v>147</x:v>
      </x:c>
      <x:c r="Y19" s="2" t="s">
        <x:v>113</x:v>
      </x:c>
      <x:c r="Z19" s="2" t="s">
        <x:v>114</x:v>
      </x:c>
    </x:row>
    <x:row r="20" ht="27">
      <x:c r="A20" s="2">
        <x:v>118</x:v>
      </x:c>
      <x:c r="B20" s="2">
        <x:v>1111928</x:v>
      </x:c>
      <x:c r="C20" s="2">
        <x:v>21209</x:v>
      </x:c>
      <x:c r="D20" s="2">
        <x:v>8445</x:v>
      </x:c>
      <x:c r="E20" s="2" t="s">
        <x:v>39</x:v>
      </x:c>
      <x:c r="F20" s="2" t="s">
        <x:v>144</x:v>
      </x:c>
      <x:c r="G20" s="2" t="s">
        <x:v>134</x:v>
      </x:c>
      <x:c r="H20" s="2" t="s">
        <x:v>135</x:v>
      </x:c>
      <x:c r="I20" s="2" t="s">
        <x:v>148</x:v>
      </x:c>
      <x:c r="J20" s="2">
        <x:v>3</x:v>
      </x:c>
      <x:c r="K20" s="2" t="s">
        <x:v>117</x:v>
      </x:c>
      <x:c r="L20" s="2" t="s">
        <x:v>110</x:v>
      </x:c>
      <x:c r="M20" s="2"/>
      <x:c r="N20" s="2">
        <x:v>16</x:v>
      </x:c>
      <x:c r="O20" s="2"/>
      <x:c r="P20" s="2"/>
      <x:c r="Q20" s="2" t="s">
        <x:v>111</x:v>
      </x:c>
      <x:c r="R20" s="2">
        <x:v>16</x:v>
      </x:c>
      <x:c r="S20" s="2" t="s">
        <x:v>111</x:v>
      </x:c>
      <x:c r="T20" s="2">
        <x:v>20</x:v>
      </x:c>
      <x:c r="U20" s="2">
        <x:v>10</x:v>
      </x:c>
      <x:c r="V20" s="2"/>
      <x:c r="W20" s="2"/>
      <x:c r="X20" s="2" t="s">
        <x:v>147</x:v>
      </x:c>
      <x:c r="Y20" s="2" t="s">
        <x:v>113</x:v>
      </x:c>
      <x:c r="Z20" s="2" t="s">
        <x:v>114</x:v>
      </x:c>
    </x:row>
    <x:row r="21">
      <x:c r="A21" s="2">
        <x:v>119</x:v>
      </x:c>
      <x:c r="B21" s="2">
        <x:v>1053471</x:v>
      </x:c>
      <x:c r="C21" s="2">
        <x:v>129429</x:v>
      </x:c>
      <x:c r="D21" s="2">
        <x:v>3734</x:v>
      </x:c>
      <x:c r="E21" s="2" t="s">
        <x:v>39</x:v>
      </x:c>
      <x:c r="F21" s="2" t="s">
        <x:v>144</x:v>
      </x:c>
      <x:c r="G21" s="2" t="s">
        <x:v>134</x:v>
      </x:c>
      <x:c r="H21" s="2" t="s">
        <x:v>135</x:v>
      </x:c>
      <x:c r="I21" s="2"/>
      <x:c r="J21" s="2">
        <x:v>4</x:v>
      </x:c>
      <x:c r="K21" s="2" t="s">
        <x:v>117</x:v>
      </x:c>
      <x:c r="L21" s="2" t="s">
        <x:v>110</x:v>
      </x:c>
      <x:c r="M21" s="2"/>
      <x:c r="N21" s="2">
        <x:v>20</x:v>
      </x:c>
      <x:c r="O21" s="2">
        <x:v>7</x:v>
      </x:c>
      <x:c r="P21" s="2">
        <x:v>38</x:v>
      </x:c>
      <x:c r="Q21" s="2" t="s">
        <x:v>111</x:v>
      </x:c>
      <x:c r="R21" s="2">
        <x:v>20</x:v>
      </x:c>
      <x:c r="S21" s="2" t="s">
        <x:v>111</x:v>
      </x:c>
      <x:c r="T21" s="2">
        <x:v>20</x:v>
      </x:c>
      <x:c r="U21" s="2">
        <x:v>30</x:v>
      </x:c>
      <x:c r="V21" s="2"/>
      <x:c r="W21" s="2"/>
      <x:c r="X21" s="2" t="s">
        <x:v>143</x:v>
      </x:c>
      <x:c r="Y21" s="2" t="s">
        <x:v>113</x:v>
      </x:c>
      <x:c r="Z21" s="2" t="s">
        <x:v>114</x:v>
      </x:c>
    </x:row>
    <x:row r="22">
      <x:c r="A22" s="2">
        <x:v>120</x:v>
      </x:c>
      <x:c r="B22" s="2">
        <x:v>1053472</x:v>
      </x:c>
      <x:c r="C22" s="2">
        <x:v>129430</x:v>
      </x:c>
      <x:c r="D22" s="2">
        <x:v>3734</x:v>
      </x:c>
      <x:c r="E22" s="2" t="s">
        <x:v>39</x:v>
      </x:c>
      <x:c r="F22" s="2" t="s">
        <x:v>144</x:v>
      </x:c>
      <x:c r="G22" s="2" t="s">
        <x:v>141</x:v>
      </x:c>
      <x:c r="H22" s="2" t="s">
        <x:v>135</x:v>
      </x:c>
      <x:c r="I22" s="2"/>
      <x:c r="J22" s="2">
        <x:v>4</x:v>
      </x:c>
      <x:c r="K22" s="2" t="s">
        <x:v>117</x:v>
      </x:c>
      <x:c r="L22" s="2" t="s">
        <x:v>110</x:v>
      </x:c>
      <x:c r="M22" s="2"/>
      <x:c r="N22" s="2">
        <x:v>10</x:v>
      </x:c>
      <x:c r="O22" s="2">
        <x:v>8</x:v>
      </x:c>
      <x:c r="P22" s="2">
        <x:v>12</x:v>
      </x:c>
      <x:c r="Q22" s="2" t="s">
        <x:v>111</x:v>
      </x:c>
      <x:c r="R22" s="2">
        <x:v>10</x:v>
      </x:c>
      <x:c r="S22" s="2" t="s">
        <x:v>111</x:v>
      </x:c>
      <x:c r="T22" s="2">
        <x:v>10</x:v>
      </x:c>
      <x:c r="U22" s="2">
        <x:v>30</x:v>
      </x:c>
      <x:c r="V22" s="2"/>
      <x:c r="W22" s="2"/>
      <x:c r="X22" s="2" t="s">
        <x:v>143</x:v>
      </x:c>
      <x:c r="Y22" s="2" t="s">
        <x:v>113</x:v>
      </x:c>
      <x:c r="Z22" s="2" t="s">
        <x:v>114</x:v>
      </x:c>
    </x:row>
    <x:row r="23" ht="27">
      <x:c r="A23" s="2">
        <x:v>121</x:v>
      </x:c>
      <x:c r="B23" s="2">
        <x:v>1111937</x:v>
      </x:c>
      <x:c r="C23" s="2">
        <x:v>21218</x:v>
      </x:c>
      <x:c r="D23" s="2">
        <x:v>8445</x:v>
      </x:c>
      <x:c r="E23" s="2" t="s">
        <x:v>39</x:v>
      </x:c>
      <x:c r="F23" s="2" t="s">
        <x:v>144</x:v>
      </x:c>
      <x:c r="G23" s="2" t="s">
        <x:v>134</x:v>
      </x:c>
      <x:c r="H23" s="2" t="s">
        <x:v>135</x:v>
      </x:c>
      <x:c r="I23" s="2"/>
      <x:c r="J23" s="2">
        <x:v>4</x:v>
      </x:c>
      <x:c r="K23" s="2" t="s">
        <x:v>117</x:v>
      </x:c>
      <x:c r="L23" s="2" t="s">
        <x:v>110</x:v>
      </x:c>
      <x:c r="M23" s="2"/>
      <x:c r="N23" s="2">
        <x:v>10</x:v>
      </x:c>
      <x:c r="O23" s="2"/>
      <x:c r="P23" s="2"/>
      <x:c r="Q23" s="2" t="s">
        <x:v>111</x:v>
      </x:c>
      <x:c r="R23" s="2">
        <x:v>10</x:v>
      </x:c>
      <x:c r="S23" s="2" t="s">
        <x:v>111</x:v>
      </x:c>
      <x:c r="T23" s="2">
        <x:v>20</x:v>
      </x:c>
      <x:c r="U23" s="2">
        <x:v>10</x:v>
      </x:c>
      <x:c r="V23" s="2"/>
      <x:c r="W23" s="2"/>
      <x:c r="X23" s="2" t="s">
        <x:v>147</x:v>
      </x:c>
      <x:c r="Y23" s="2" t="s">
        <x:v>113</x:v>
      </x:c>
      <x:c r="Z23" s="2" t="s">
        <x:v>114</x:v>
      </x:c>
    </x:row>
    <x:row r="24" ht="27">
      <x:c r="A24" s="2">
        <x:v>122</x:v>
      </x:c>
      <x:c r="B24" s="2">
        <x:v>1111936</x:v>
      </x:c>
      <x:c r="C24" s="2">
        <x:v>21217</x:v>
      </x:c>
      <x:c r="D24" s="2">
        <x:v>8445</x:v>
      </x:c>
      <x:c r="E24" s="2" t="s">
        <x:v>39</x:v>
      </x:c>
      <x:c r="F24" s="2" t="s">
        <x:v>144</x:v>
      </x:c>
      <x:c r="G24" s="2" t="s">
        <x:v>134</x:v>
      </x:c>
      <x:c r="H24" s="2" t="s">
        <x:v>135</x:v>
      </x:c>
      <x:c r="I24" s="2"/>
      <x:c r="J24" s="2">
        <x:v>3</x:v>
      </x:c>
      <x:c r="K24" s="2" t="s">
        <x:v>117</x:v>
      </x:c>
      <x:c r="L24" s="2" t="s">
        <x:v>110</x:v>
      </x:c>
      <x:c r="M24" s="2"/>
      <x:c r="N24" s="2">
        <x:v>13</x:v>
      </x:c>
      <x:c r="O24" s="2"/>
      <x:c r="P24" s="2"/>
      <x:c r="Q24" s="2" t="s">
        <x:v>111</x:v>
      </x:c>
      <x:c r="R24" s="2">
        <x:v>13</x:v>
      </x:c>
      <x:c r="S24" s="2" t="s">
        <x:v>111</x:v>
      </x:c>
      <x:c r="T24" s="2">
        <x:v>20</x:v>
      </x:c>
      <x:c r="U24" s="2">
        <x:v>10</x:v>
      </x:c>
      <x:c r="V24" s="2"/>
      <x:c r="W24" s="2"/>
      <x:c r="X24" s="2" t="s">
        <x:v>147</x:v>
      </x:c>
      <x:c r="Y24" s="2" t="s">
        <x:v>113</x:v>
      </x:c>
      <x:c r="Z24" s="2" t="s">
        <x:v>114</x:v>
      </x:c>
    </x:row>
    <x:row r="25" ht="27">
      <x:c r="A25" s="2">
        <x:v>123</x:v>
      </x:c>
      <x:c r="B25" s="2">
        <x:v>1111931</x:v>
      </x:c>
      <x:c r="C25" s="2">
        <x:v>21212</x:v>
      </x:c>
      <x:c r="D25" s="2">
        <x:v>8445</x:v>
      </x:c>
      <x:c r="E25" s="2" t="s">
        <x:v>39</x:v>
      </x:c>
      <x:c r="F25" s="2" t="s">
        <x:v>144</x:v>
      </x:c>
      <x:c r="G25" s="2" t="s">
        <x:v>134</x:v>
      </x:c>
      <x:c r="H25" s="2" t="s">
        <x:v>135</x:v>
      </x:c>
      <x:c r="I25" s="2" t="s">
        <x:v>149</x:v>
      </x:c>
      <x:c r="J25" s="2">
        <x:v>2</x:v>
      </x:c>
      <x:c r="K25" s="2" t="s">
        <x:v>117</x:v>
      </x:c>
      <x:c r="L25" s="2" t="s">
        <x:v>110</x:v>
      </x:c>
      <x:c r="M25" s="2"/>
      <x:c r="N25" s="2">
        <x:v>19</x:v>
      </x:c>
      <x:c r="O25" s="2"/>
      <x:c r="P25" s="2"/>
      <x:c r="Q25" s="2" t="s">
        <x:v>111</x:v>
      </x:c>
      <x:c r="R25" s="2">
        <x:v>19</x:v>
      </x:c>
      <x:c r="S25" s="2" t="s">
        <x:v>111</x:v>
      </x:c>
      <x:c r="T25" s="2">
        <x:v>20</x:v>
      </x:c>
      <x:c r="U25" s="2">
        <x:v>10</x:v>
      </x:c>
      <x:c r="V25" s="2"/>
      <x:c r="W25" s="2"/>
      <x:c r="X25" s="2" t="s">
        <x:v>147</x:v>
      </x:c>
      <x:c r="Y25" s="2" t="s">
        <x:v>113</x:v>
      </x:c>
      <x:c r="Z25" s="2" t="s">
        <x:v>114</x:v>
      </x:c>
    </x:row>
    <x:row r="26" ht="27">
      <x:c r="A26" s="2">
        <x:v>124</x:v>
      </x:c>
      <x:c r="B26" s="2">
        <x:v>1111933</x:v>
      </x:c>
      <x:c r="C26" s="2">
        <x:v>21214</x:v>
      </x:c>
      <x:c r="D26" s="2">
        <x:v>8445</x:v>
      </x:c>
      <x:c r="E26" s="2" t="s">
        <x:v>39</x:v>
      </x:c>
      <x:c r="F26" s="2" t="s">
        <x:v>144</x:v>
      </x:c>
      <x:c r="G26" s="2" t="s">
        <x:v>134</x:v>
      </x:c>
      <x:c r="H26" s="2" t="s">
        <x:v>135</x:v>
      </x:c>
      <x:c r="I26" s="2" t="s">
        <x:v>149</x:v>
      </x:c>
      <x:c r="J26" s="2">
        <x:v>4</x:v>
      </x:c>
      <x:c r="K26" s="2" t="s">
        <x:v>117</x:v>
      </x:c>
      <x:c r="L26" s="2" t="s">
        <x:v>110</x:v>
      </x:c>
      <x:c r="M26" s="2"/>
      <x:c r="N26" s="2">
        <x:v>14</x:v>
      </x:c>
      <x:c r="O26" s="2"/>
      <x:c r="P26" s="2"/>
      <x:c r="Q26" s="2" t="s">
        <x:v>111</x:v>
      </x:c>
      <x:c r="R26" s="2">
        <x:v>14</x:v>
      </x:c>
      <x:c r="S26" s="2" t="s">
        <x:v>111</x:v>
      </x:c>
      <x:c r="T26" s="2">
        <x:v>20</x:v>
      </x:c>
      <x:c r="U26" s="2">
        <x:v>10</x:v>
      </x:c>
      <x:c r="V26" s="2"/>
      <x:c r="W26" s="2"/>
      <x:c r="X26" s="2" t="s">
        <x:v>147</x:v>
      </x:c>
      <x:c r="Y26" s="2" t="s">
        <x:v>113</x:v>
      </x:c>
      <x:c r="Z26" s="2" t="s">
        <x:v>114</x:v>
      </x:c>
    </x:row>
    <x:row r="27" ht="27">
      <x:c r="A27" s="2">
        <x:v>125</x:v>
      </x:c>
      <x:c r="B27" s="2">
        <x:v>1111927</x:v>
      </x:c>
      <x:c r="C27" s="2">
        <x:v>21208</x:v>
      </x:c>
      <x:c r="D27" s="2">
        <x:v>8445</x:v>
      </x:c>
      <x:c r="E27" s="2" t="s">
        <x:v>39</x:v>
      </x:c>
      <x:c r="F27" s="2" t="s">
        <x:v>144</x:v>
      </x:c>
      <x:c r="G27" s="2" t="s">
        <x:v>134</x:v>
      </x:c>
      <x:c r="H27" s="2" t="s">
        <x:v>135</x:v>
      </x:c>
      <x:c r="I27" s="2" t="s">
        <x:v>148</x:v>
      </x:c>
      <x:c r="J27" s="2">
        <x:v>2</x:v>
      </x:c>
      <x:c r="K27" s="2" t="s">
        <x:v>117</x:v>
      </x:c>
      <x:c r="L27" s="2" t="s">
        <x:v>110</x:v>
      </x:c>
      <x:c r="M27" s="2"/>
      <x:c r="N27" s="2">
        <x:v>19</x:v>
      </x:c>
      <x:c r="O27" s="2"/>
      <x:c r="P27" s="2"/>
      <x:c r="Q27" s="2" t="s">
        <x:v>111</x:v>
      </x:c>
      <x:c r="R27" s="2">
        <x:v>19</x:v>
      </x:c>
      <x:c r="S27" s="2" t="s">
        <x:v>111</x:v>
      </x:c>
      <x:c r="T27" s="2">
        <x:v>20</x:v>
      </x:c>
      <x:c r="U27" s="2">
        <x:v>10</x:v>
      </x:c>
      <x:c r="V27" s="2"/>
      <x:c r="W27" s="2"/>
      <x:c r="X27" s="2" t="s">
        <x:v>147</x:v>
      </x:c>
      <x:c r="Y27" s="2" t="s">
        <x:v>113</x:v>
      </x:c>
      <x:c r="Z27" s="2" t="s">
        <x:v>114</x:v>
      </x:c>
    </x:row>
    <x:row r="28">
      <x:c r="A28" s="2">
        <x:v>129</x:v>
      </x:c>
      <x:c r="B28" s="2">
        <x:v>1053477</x:v>
      </x:c>
      <x:c r="C28" s="2">
        <x:v>129435</x:v>
      </x:c>
      <x:c r="D28" s="2">
        <x:v>3734</x:v>
      </x:c>
      <x:c r="E28" s="2" t="s">
        <x:v>45</x:v>
      </x:c>
      <x:c r="F28" s="2" t="s">
        <x:v>151</x:v>
      </x:c>
      <x:c r="G28" s="2" t="s">
        <x:v>146</x:v>
      </x:c>
      <x:c r="H28" s="2" t="s">
        <x:v>135</x:v>
      </x:c>
      <x:c r="I28" s="2"/>
      <x:c r="J28" s="2">
        <x:v>3</x:v>
      </x:c>
      <x:c r="K28" s="2" t="s">
        <x:v>117</x:v>
      </x:c>
      <x:c r="L28" s="2" t="s">
        <x:v>110</x:v>
      </x:c>
      <x:c r="M28" s="2"/>
      <x:c r="N28" s="2">
        <x:v>9100</x:v>
      </x:c>
      <x:c r="O28" s="2">
        <x:v>6170</x:v>
      </x:c>
      <x:c r="P28" s="2">
        <x:v>12400</x:v>
      </x:c>
      <x:c r="Q28" s="2" t="s">
        <x:v>111</x:v>
      </x:c>
      <x:c r="R28" s="2">
        <x:v>9100</x:v>
      </x:c>
      <x:c r="S28" s="2" t="s">
        <x:v>111</x:v>
      </x:c>
      <x:c r="T28" s="2">
        <x:v>20</x:v>
      </x:c>
      <x:c r="U28" s="2">
        <x:v>30</x:v>
      </x:c>
      <x:c r="V28" s="2"/>
      <x:c r="W28" s="2"/>
      <x:c r="X28" s="2" t="s">
        <x:v>143</x:v>
      </x:c>
      <x:c r="Y28" s="2" t="s">
        <x:v>113</x:v>
      </x:c>
      <x:c r="Z28" s="2" t="s">
        <x:v>114</x:v>
      </x:c>
    </x:row>
    <x:row r="29">
      <x:c r="A29" s="2">
        <x:v>134</x:v>
      </x:c>
      <x:c r="B29" s="2">
        <x:v>1053476</x:v>
      </x:c>
      <x:c r="C29" s="2">
        <x:v>129434</x:v>
      </x:c>
      <x:c r="D29" s="2">
        <x:v>3734</x:v>
      </x:c>
      <x:c r="E29" s="2" t="s">
        <x:v>45</x:v>
      </x:c>
      <x:c r="F29" s="2" t="s">
        <x:v>151</x:v>
      </x:c>
      <x:c r="G29" s="2" t="s">
        <x:v>141</x:v>
      </x:c>
      <x:c r="H29" s="2" t="s">
        <x:v>135</x:v>
      </x:c>
      <x:c r="I29" s="2"/>
      <x:c r="J29" s="2">
        <x:v>4</x:v>
      </x:c>
      <x:c r="K29" s="2" t="s">
        <x:v>117</x:v>
      </x:c>
      <x:c r="L29" s="2" t="s">
        <x:v>110</x:v>
      </x:c>
      <x:c r="M29" s="2"/>
      <x:c r="N29" s="2">
        <x:v>2076</x:v>
      </x:c>
      <x:c r="O29" s="2">
        <x:v>1525</x:v>
      </x:c>
      <x:c r="P29" s="2">
        <x:v>2900</x:v>
      </x:c>
      <x:c r="Q29" s="2" t="s">
        <x:v>111</x:v>
      </x:c>
      <x:c r="R29" s="2">
        <x:v>2076</x:v>
      </x:c>
      <x:c r="S29" s="2" t="s">
        <x:v>111</x:v>
      </x:c>
      <x:c r="T29" s="2">
        <x:v>10</x:v>
      </x:c>
      <x:c r="U29" s="2">
        <x:v>30</x:v>
      </x:c>
      <x:c r="V29" s="2"/>
      <x:c r="W29" s="2"/>
      <x:c r="X29" s="2" t="s">
        <x:v>143</x:v>
      </x:c>
      <x:c r="Y29" s="2" t="s">
        <x:v>113</x:v>
      </x:c>
      <x:c r="Z29" s="2" t="s">
        <x:v>114</x:v>
      </x:c>
    </x:row>
    <x:row r="30">
      <x:c r="A30" s="2">
        <x:v>135</x:v>
      </x:c>
      <x:c r="B30" s="2">
        <x:v>1053478</x:v>
      </x:c>
      <x:c r="C30" s="2">
        <x:v>129436</x:v>
      </x:c>
      <x:c r="D30" s="2">
        <x:v>3734</x:v>
      </x:c>
      <x:c r="E30" s="2" t="s">
        <x:v>45</x:v>
      </x:c>
      <x:c r="F30" s="2" t="s">
        <x:v>151</x:v>
      </x:c>
      <x:c r="G30" s="2" t="s">
        <x:v>150</x:v>
      </x:c>
      <x:c r="H30" s="2" t="s">
        <x:v>135</x:v>
      </x:c>
      <x:c r="I30" s="2"/>
      <x:c r="J30" s="2">
        <x:v>4</x:v>
      </x:c>
      <x:c r="K30" s="2" t="s">
        <x:v>117</x:v>
      </x:c>
      <x:c r="L30" s="2" t="s">
        <x:v>110</x:v>
      </x:c>
      <x:c r="M30" s="2"/>
      <x:c r="N30" s="2">
        <x:v>9670</x:v>
      </x:c>
      <x:c r="O30" s="2">
        <x:v>7350</x:v>
      </x:c>
      <x:c r="P30" s="2">
        <x:v>12120</x:v>
      </x:c>
      <x:c r="Q30" s="2" t="s">
        <x:v>111</x:v>
      </x:c>
      <x:c r="R30" s="2">
        <x:v>9670</x:v>
      </x:c>
      <x:c r="S30" s="2" t="s">
        <x:v>111</x:v>
      </x:c>
      <x:c r="T30" s="2">
        <x:v>20</x:v>
      </x:c>
      <x:c r="U30" s="2">
        <x:v>30</x:v>
      </x:c>
      <x:c r="V30" s="2"/>
      <x:c r="W30" s="2"/>
      <x:c r="X30" s="2" t="s">
        <x:v>143</x:v>
      </x:c>
      <x:c r="Y30" s="2" t="s">
        <x:v>113</x:v>
      </x:c>
      <x:c r="Z30" s="2" t="s">
        <x:v>114</x:v>
      </x:c>
    </x:row>
    <x:row r="31">
      <x:c r="A31" s="2">
        <x:v>136</x:v>
      </x:c>
      <x:c r="B31" s="2">
        <x:v>1053475</x:v>
      </x:c>
      <x:c r="C31" s="2">
        <x:v>129433</x:v>
      </x:c>
      <x:c r="D31" s="2">
        <x:v>3734</x:v>
      </x:c>
      <x:c r="E31" s="2" t="s">
        <x:v>45</x:v>
      </x:c>
      <x:c r="F31" s="2" t="s">
        <x:v>151</x:v>
      </x:c>
      <x:c r="G31" s="2" t="s">
        <x:v>134</x:v>
      </x:c>
      <x:c r="H31" s="2" t="s">
        <x:v>135</x:v>
      </x:c>
      <x:c r="I31" s="2"/>
      <x:c r="J31" s="2">
        <x:v>3</x:v>
      </x:c>
      <x:c r="K31" s="2" t="s">
        <x:v>117</x:v>
      </x:c>
      <x:c r="L31" s="2" t="s">
        <x:v>110</x:v>
      </x:c>
      <x:c r="M31" s="2"/>
      <x:c r="N31" s="2">
        <x:v>460</x:v>
      </x:c>
      <x:c r="O31" s="2">
        <x:v>260</x:v>
      </x:c>
      <x:c r="P31" s="2">
        <x:v>710</x:v>
      </x:c>
      <x:c r="Q31" s="2" t="s">
        <x:v>111</x:v>
      </x:c>
      <x:c r="R31" s="2">
        <x:v>460</x:v>
      </x:c>
      <x:c r="S31" s="2" t="s">
        <x:v>111</x:v>
      </x:c>
      <x:c r="T31" s="2">
        <x:v>20</x:v>
      </x:c>
      <x:c r="U31" s="2">
        <x:v>30</x:v>
      </x:c>
      <x:c r="V31" s="2"/>
      <x:c r="W31" s="2"/>
      <x:c r="X31" s="2" t="s">
        <x:v>143</x:v>
      </x:c>
      <x:c r="Y31" s="2" t="s">
        <x:v>113</x:v>
      </x:c>
      <x:c r="Z31" s="2" t="s">
        <x:v>114</x:v>
      </x:c>
    </x:row>
    <x:row r="32" ht="27">
      <x:c r="A32" s="2">
        <x:v>138</x:v>
      </x:c>
      <x:c r="B32" s="2">
        <x:v>1284914</x:v>
      </x:c>
      <x:c r="C32" s="2">
        <x:v>738947</x:v>
      </x:c>
      <x:c r="D32" s="2">
        <x:v>59900</x:v>
      </x:c>
      <x:c r="E32" s="2" t="s">
        <x:v>27</x:v>
      </x:c>
      <x:c r="F32" s="2" t="s">
        <x:v>152</x:v>
      </x:c>
      <x:c r="G32" s="2" t="s">
        <x:v>153</x:v>
      </x:c>
      <x:c r="H32" s="2" t="s">
        <x:v>135</x:v>
      </x:c>
      <x:c r="I32" s="2"/>
      <x:c r="J32" s="2">
        <x:v>2</x:v>
      </x:c>
      <x:c r="K32" s="2" t="s">
        <x:v>117</x:v>
      </x:c>
      <x:c r="L32" s="2" t="s">
        <x:v>110</x:v>
      </x:c>
      <x:c r="M32" s="2"/>
      <x:c r="N32" s="2">
        <x:v>400</x:v>
      </x:c>
      <x:c r="O32" s="2"/>
      <x:c r="P32" s="2"/>
      <x:c r="Q32" s="2" t="s">
        <x:v>154</x:v>
      </x:c>
      <x:c r="R32" s="2">
        <x:v>400</x:v>
      </x:c>
      <x:c r="S32" s="2" t="s">
        <x:v>154</x:v>
      </x:c>
      <x:c r="T32" s="2">
        <x:v>15</x:v>
      </x:c>
      <x:c r="U32" s="2"/>
      <x:c r="V32" s="2">
        <x:v>8</x:v>
      </x:c>
      <x:c r="W32" s="2">
        <x:v>1</x:v>
      </x:c>
      <x:c r="X32" s="2" t="s">
        <x:v>155</x:v>
      </x:c>
      <x:c r="Y32" s="2" t="s">
        <x:v>113</x:v>
      </x:c>
      <x:c r="Z32" s="2" t="s">
        <x:v>114</x:v>
      </x:c>
    </x:row>
    <x:row r="33">
      <x:c r="A33" s="2">
        <x:v>139</x:v>
      </x:c>
      <x:c r="B33" s="2">
        <x:v>1053694</x:v>
      </x:c>
      <x:c r="C33" s="2">
        <x:v>194885</x:v>
      </x:c>
      <x:c r="D33" s="2">
        <x:v>3751</x:v>
      </x:c>
      <x:c r="E33" s="2" t="s">
        <x:v>27</x:v>
      </x:c>
      <x:c r="F33" s="2" t="s">
        <x:v>152</x:v>
      </x:c>
      <x:c r="G33" s="2" t="s">
        <x:v>134</x:v>
      </x:c>
      <x:c r="H33" s="2" t="s">
        <x:v>135</x:v>
      </x:c>
      <x:c r="I33" s="2" t="s">
        <x:v>108</x:v>
      </x:c>
      <x:c r="J33" s="2">
        <x:v>4</x:v>
      </x:c>
      <x:c r="K33" s="2" t="s">
        <x:v>109</x:v>
      </x:c>
      <x:c r="L33" s="2" t="s">
        <x:v>110</x:v>
      </x:c>
      <x:c r="M33" s="2"/>
      <x:c r="N33" s="2">
        <x:v>43</x:v>
      </x:c>
      <x:c r="O33" s="2">
        <x:v>30</x:v>
      </x:c>
      <x:c r="P33" s="2">
        <x:v>60</x:v>
      </x:c>
      <x:c r="Q33" s="2" t="s">
        <x:v>111</x:v>
      </x:c>
      <x:c r="R33" s="2">
        <x:v>43</x:v>
      </x:c>
      <x:c r="S33" s="2" t="s">
        <x:v>111</x:v>
      </x:c>
      <x:c r="T33" s="2">
        <x:v>20</x:v>
      </x:c>
      <x:c r="U33" s="2">
        <x:v>30</x:v>
      </x:c>
      <x:c r="V33" s="2"/>
      <x:c r="W33" s="2"/>
      <x:c r="X33" s="2" t="s">
        <x:v>143</x:v>
      </x:c>
      <x:c r="Y33" s="2" t="s">
        <x:v>113</x:v>
      </x:c>
      <x:c r="Z33" s="2" t="s">
        <x:v>114</x:v>
      </x:c>
    </x:row>
    <x:row r="34">
      <x:c r="A34" s="2">
        <x:v>140</x:v>
      </x:c>
      <x:c r="B34" s="2">
        <x:v>1053693</x:v>
      </x:c>
      <x:c r="C34" s="2">
        <x:v>194884</x:v>
      </x:c>
      <x:c r="D34" s="2">
        <x:v>3751</x:v>
      </x:c>
      <x:c r="E34" s="2" t="s">
        <x:v>27</x:v>
      </x:c>
      <x:c r="F34" s="2" t="s">
        <x:v>152</x:v>
      </x:c>
      <x:c r="G34" s="2" t="s">
        <x:v>141</x:v>
      </x:c>
      <x:c r="H34" s="2" t="s">
        <x:v>135</x:v>
      </x:c>
      <x:c r="I34" s="2" t="s">
        <x:v>108</x:v>
      </x:c>
      <x:c r="J34" s="2">
        <x:v>4</x:v>
      </x:c>
      <x:c r="K34" s="2" t="s">
        <x:v>109</x:v>
      </x:c>
      <x:c r="L34" s="2" t="s">
        <x:v>110</x:v>
      </x:c>
      <x:c r="M34" s="2"/>
      <x:c r="N34" s="2">
        <x:v>15</x:v>
      </x:c>
      <x:c r="O34" s="2">
        <x:v>10</x:v>
      </x:c>
      <x:c r="P34" s="2">
        <x:v>19</x:v>
      </x:c>
      <x:c r="Q34" s="2" t="s">
        <x:v>111</x:v>
      </x:c>
      <x:c r="R34" s="2">
        <x:v>15</x:v>
      </x:c>
      <x:c r="S34" s="2" t="s">
        <x:v>111</x:v>
      </x:c>
      <x:c r="T34" s="2">
        <x:v>10</x:v>
      </x:c>
      <x:c r="U34" s="2">
        <x:v>30</x:v>
      </x:c>
      <x:c r="V34" s="2"/>
      <x:c r="W34" s="2"/>
      <x:c r="X34" s="2" t="s">
        <x:v>143</x:v>
      </x:c>
      <x:c r="Y34" s="2" t="s">
        <x:v>113</x:v>
      </x:c>
      <x:c r="Z34" s="2" t="s">
        <x:v>114</x:v>
      </x:c>
    </x:row>
    <x:row r="35" ht="27">
      <x:c r="A35" s="2">
        <x:v>184</x:v>
      </x:c>
      <x:c r="B35" s="2">
        <x:v>1111942</x:v>
      </x:c>
      <x:c r="C35" s="2">
        <x:v>23768</x:v>
      </x:c>
      <x:c r="D35" s="2">
        <x:v>8445</x:v>
      </x:c>
      <x:c r="E35" s="2" t="s">
        <x:v>16</x:v>
      </x:c>
      <x:c r="F35" s="2" t="s">
        <x:v>156</x:v>
      </x:c>
      <x:c r="G35" s="2" t="s">
        <x:v>134</x:v>
      </x:c>
      <x:c r="H35" s="2" t="s">
        <x:v>135</x:v>
      </x:c>
      <x:c r="I35" s="2" t="s">
        <x:v>149</x:v>
      </x:c>
      <x:c r="J35" s="2">
        <x:v>4</x:v>
      </x:c>
      <x:c r="K35" s="2" t="s">
        <x:v>117</x:v>
      </x:c>
      <x:c r="L35" s="2" t="s">
        <x:v>110</x:v>
      </x:c>
      <x:c r="M35" s="2"/>
      <x:c r="N35" s="2">
        <x:v>190</x:v>
      </x:c>
      <x:c r="O35" s="2"/>
      <x:c r="P35" s="2"/>
      <x:c r="Q35" s="2" t="s">
        <x:v>111</x:v>
      </x:c>
      <x:c r="R35" s="2">
        <x:v>190</x:v>
      </x:c>
      <x:c r="S35" s="2" t="s">
        <x:v>111</x:v>
      </x:c>
      <x:c r="T35" s="2">
        <x:v>20</x:v>
      </x:c>
      <x:c r="U35" s="2">
        <x:v>10</x:v>
      </x:c>
      <x:c r="V35" s="2"/>
      <x:c r="W35" s="2"/>
      <x:c r="X35" s="2" t="s">
        <x:v>147</x:v>
      </x:c>
      <x:c r="Y35" s="2" t="s">
        <x:v>113</x:v>
      </x:c>
      <x:c r="Z35" s="2" t="s">
        <x:v>114</x:v>
      </x:c>
    </x:row>
    <x:row r="36" ht="27">
      <x:c r="A36" s="2">
        <x:v>193</x:v>
      </x:c>
      <x:c r="B36" s="2">
        <x:v>1111941</x:v>
      </x:c>
      <x:c r="C36" s="2">
        <x:v>23767</x:v>
      </x:c>
      <x:c r="D36" s="2">
        <x:v>8445</x:v>
      </x:c>
      <x:c r="E36" s="2" t="s">
        <x:v>16</x:v>
      </x:c>
      <x:c r="F36" s="2" t="s">
        <x:v>156</x:v>
      </x:c>
      <x:c r="G36" s="2" t="s">
        <x:v>134</x:v>
      </x:c>
      <x:c r="H36" s="2" t="s">
        <x:v>135</x:v>
      </x:c>
      <x:c r="I36" s="2" t="s">
        <x:v>108</x:v>
      </x:c>
      <x:c r="J36" s="2">
        <x:v>4</x:v>
      </x:c>
      <x:c r="K36" s="2" t="s">
        <x:v>117</x:v>
      </x:c>
      <x:c r="L36" s="2" t="s">
        <x:v>110</x:v>
      </x:c>
      <x:c r="M36" s="2"/>
      <x:c r="N36" s="2">
        <x:v>122</x:v>
      </x:c>
      <x:c r="O36" s="2">
        <x:v>60</x:v>
      </x:c>
      <x:c r="P36" s="2">
        <x:v>341</x:v>
      </x:c>
      <x:c r="Q36" s="2" t="s">
        <x:v>111</x:v>
      </x:c>
      <x:c r="R36" s="2">
        <x:v>122</x:v>
      </x:c>
      <x:c r="S36" s="2" t="s">
        <x:v>111</x:v>
      </x:c>
      <x:c r="T36" s="2">
        <x:v>20</x:v>
      </x:c>
      <x:c r="U36" s="2">
        <x:v>30</x:v>
      </x:c>
      <x:c r="V36" s="2"/>
      <x:c r="W36" s="2"/>
      <x:c r="X36" s="2" t="s">
        <x:v>147</x:v>
      </x:c>
      <x:c r="Y36" s="2" t="s">
        <x:v>113</x:v>
      </x:c>
      <x:c r="Z36" s="2" t="s">
        <x:v>114</x:v>
      </x:c>
    </x:row>
    <x:row r="37" ht="27">
      <x:c r="A37" s="2">
        <x:v>203</x:v>
      </x:c>
      <x:c r="B37" s="2">
        <x:v>1120299</x:v>
      </x:c>
      <x:c r="C37" s="2">
        <x:v>126283</x:v>
      </x:c>
      <x:c r="D37" s="2">
        <x:v>9365</x:v>
      </x:c>
      <x:c r="E37" s="2" t="s">
        <x:v>16</x:v>
      </x:c>
      <x:c r="F37" s="2" t="s">
        <x:v>156</x:v>
      </x:c>
      <x:c r="G37" s="2" t="s">
        <x:v>157</x:v>
      </x:c>
      <x:c r="H37" s="2" t="s">
        <x:v>107</x:v>
      </x:c>
      <x:c r="I37" s="2" t="s">
        <x:v>108</x:v>
      </x:c>
      <x:c r="J37" s="2">
        <x:v>4</x:v>
      </x:c>
      <x:c r="K37" s="2" t="s">
        <x:v>117</x:v>
      </x:c>
      <x:c r="L37" s="2" t="s">
        <x:v>110</x:v>
      </x:c>
      <x:c r="M37" s="2"/>
      <x:c r="N37" s="2">
        <x:v>224</x:v>
      </x:c>
      <x:c r="O37" s="2">
        <x:v>213</x:v>
      </x:c>
      <x:c r="P37" s="2">
        <x:v>234</x:v>
      </x:c>
      <x:c r="Q37" s="2" t="s">
        <x:v>111</x:v>
      </x:c>
      <x:c r="R37" s="2">
        <x:v>224</x:v>
      </x:c>
      <x:c r="S37" s="2" t="s">
        <x:v>111</x:v>
      </x:c>
      <x:c r="T37" s="2">
        <x:v>20.8</x:v>
      </x:c>
      <x:c r="U37" s="2">
        <x:v>30.7</x:v>
      </x:c>
      <x:c r="V37" s="2">
        <x:v>7.8</x:v>
      </x:c>
      <x:c r="W37" s="2"/>
      <x:c r="X37" s="2" t="s">
        <x:v>158</x:v>
      </x:c>
      <x:c r="Y37" s="2" t="s">
        <x:v>113</x:v>
      </x:c>
      <x:c r="Z37" s="2" t="s">
        <x:v>114</x:v>
      </x:c>
    </x:row>
    <x:row r="38" ht="27">
      <x:c r="A38" s="2">
        <x:v>206</x:v>
      </x:c>
      <x:c r="B38" s="2">
        <x:v>1111940</x:v>
      </x:c>
      <x:c r="C38" s="2">
        <x:v>23766</x:v>
      </x:c>
      <x:c r="D38" s="2">
        <x:v>8445</x:v>
      </x:c>
      <x:c r="E38" s="2" t="s">
        <x:v>16</x:v>
      </x:c>
      <x:c r="F38" s="2" t="s">
        <x:v>156</x:v>
      </x:c>
      <x:c r="G38" s="2" t="s">
        <x:v>134</x:v>
      </x:c>
      <x:c r="H38" s="2" t="s">
        <x:v>135</x:v>
      </x:c>
      <x:c r="I38" s="2" t="s">
        <x:v>148</x:v>
      </x:c>
      <x:c r="J38" s="2">
        <x:v>4</x:v>
      </x:c>
      <x:c r="K38" s="2" t="s">
        <x:v>117</x:v>
      </x:c>
      <x:c r="L38" s="2" t="s">
        <x:v>110</x:v>
      </x:c>
      <x:c r="M38" s="2"/>
      <x:c r="N38" s="2">
        <x:v>220</x:v>
      </x:c>
      <x:c r="O38" s="2">
        <x:v>138</x:v>
      </x:c>
      <x:c r="P38" s="2">
        <x:v>313</x:v>
      </x:c>
      <x:c r="Q38" s="2" t="s">
        <x:v>111</x:v>
      </x:c>
      <x:c r="R38" s="2">
        <x:v>220</x:v>
      </x:c>
      <x:c r="S38" s="2" t="s">
        <x:v>111</x:v>
      </x:c>
      <x:c r="T38" s="2">
        <x:v>20</x:v>
      </x:c>
      <x:c r="U38" s="2">
        <x:v>10</x:v>
      </x:c>
      <x:c r="V38" s="2"/>
      <x:c r="W38" s="2"/>
      <x:c r="X38" s="2" t="s">
        <x:v>147</x:v>
      </x:c>
      <x:c r="Y38" s="2" t="s">
        <x:v>113</x:v>
      </x:c>
      <x:c r="Z38" s="2" t="s">
        <x:v>114</x:v>
      </x:c>
    </x:row>
    <x:row r="39" ht="27">
      <x:c r="A39" s="2">
        <x:v>214</x:v>
      </x:c>
      <x:c r="B39" s="2">
        <x:v>1134122</x:v>
      </x:c>
      <x:c r="C39" s="2">
        <x:v>107489</x:v>
      </x:c>
      <x:c r="D39" s="2">
        <x:v>10900</x:v>
      </x:c>
      <x:c r="E39" s="2" t="s">
        <x:v>16</x:v>
      </x:c>
      <x:c r="F39" s="2" t="s">
        <x:v>156</x:v>
      </x:c>
      <x:c r="G39" s="2" t="s">
        <x:v>150</x:v>
      </x:c>
      <x:c r="H39" s="2" t="s">
        <x:v>135</x:v>
      </x:c>
      <x:c r="I39" s="2" t="s">
        <x:v>159</x:v>
      </x:c>
      <x:c r="J39" s="2">
        <x:v>4</x:v>
      </x:c>
      <x:c r="K39" s="2" t="s">
        <x:v>117</x:v>
      </x:c>
      <x:c r="L39" s="2" t="s">
        <x:v>110</x:v>
      </x:c>
      <x:c r="M39" s="2"/>
      <x:c r="N39" s="2">
        <x:v>147.69999999999999</x:v>
      </x:c>
      <x:c r="O39" s="2">
        <x:v>133.1</x:v>
      </x:c>
      <x:c r="P39" s="2">
        <x:v>166.1</x:v>
      </x:c>
      <x:c r="Q39" s="2" t="s">
        <x:v>111</x:v>
      </x:c>
      <x:c r="R39" s="2">
        <x:v>147.69999999999999</x:v>
      </x:c>
      <x:c r="S39" s="2" t="s">
        <x:v>111</x:v>
      </x:c>
      <x:c r="T39" s="2">
        <x:v>15</x:v>
      </x:c>
      <x:c r="U39" s="2">
        <x:v>10</x:v>
      </x:c>
      <x:c r="V39" s="2"/>
      <x:c r="W39" s="2"/>
      <x:c r="X39" s="2" t="s">
        <x:v>160</x:v>
      </x:c>
      <x:c r="Y39" s="2" t="s">
        <x:v>113</x:v>
      </x:c>
      <x:c r="Z39" s="2" t="s">
        <x:v>114</x:v>
      </x:c>
    </x:row>
    <x:row r="40" ht="27">
      <x:c r="A40" s="2">
        <x:v>215</x:v>
      </x:c>
      <x:c r="B40" s="2">
        <x:v>1111939</x:v>
      </x:c>
      <x:c r="C40" s="2">
        <x:v>23765</x:v>
      </x:c>
      <x:c r="D40" s="2">
        <x:v>8445</x:v>
      </x:c>
      <x:c r="E40" s="2" t="s">
        <x:v>16</x:v>
      </x:c>
      <x:c r="F40" s="2" t="s">
        <x:v>156</x:v>
      </x:c>
      <x:c r="G40" s="2" t="s">
        <x:v>134</x:v>
      </x:c>
      <x:c r="H40" s="2" t="s">
        <x:v>135</x:v>
      </x:c>
      <x:c r="I40" s="2"/>
      <x:c r="J40" s="2">
        <x:v>4</x:v>
      </x:c>
      <x:c r="K40" s="2" t="s">
        <x:v>117</x:v>
      </x:c>
      <x:c r="L40" s="2" t="s">
        <x:v>110</x:v>
      </x:c>
      <x:c r="M40" s="2"/>
      <x:c r="N40" s="2">
        <x:v>90</x:v>
      </x:c>
      <x:c r="O40" s="2">
        <x:v>58</x:v>
      </x:c>
      <x:c r="P40" s="2">
        <x:v>135</x:v>
      </x:c>
      <x:c r="Q40" s="2" t="s">
        <x:v>111</x:v>
      </x:c>
      <x:c r="R40" s="2">
        <x:v>90</x:v>
      </x:c>
      <x:c r="S40" s="2" t="s">
        <x:v>111</x:v>
      </x:c>
      <x:c r="T40" s="2">
        <x:v>20</x:v>
      </x:c>
      <x:c r="U40" s="2">
        <x:v>10</x:v>
      </x:c>
      <x:c r="V40" s="2"/>
      <x:c r="W40" s="2"/>
      <x:c r="X40" s="2" t="s">
        <x:v>147</x:v>
      </x:c>
      <x:c r="Y40" s="2" t="s">
        <x:v>113</x:v>
      </x:c>
      <x:c r="Z40" s="2" t="s">
        <x:v>114</x:v>
      </x:c>
    </x:row>
    <x:row r="41" ht="27">
      <x:c r="A41" s="2">
        <x:v>228</x:v>
      </x:c>
      <x:c r="B41" s="2">
        <x:v>1111938</x:v>
      </x:c>
      <x:c r="C41" s="2">
        <x:v>23764</x:v>
      </x:c>
      <x:c r="D41" s="2">
        <x:v>8445</x:v>
      </x:c>
      <x:c r="E41" s="2" t="s">
        <x:v>16</x:v>
      </x:c>
      <x:c r="F41" s="2" t="s">
        <x:v>156</x:v>
      </x:c>
      <x:c r="G41" s="2" t="s">
        <x:v>134</x:v>
      </x:c>
      <x:c r="H41" s="2" t="s">
        <x:v>135</x:v>
      </x:c>
      <x:c r="I41" s="2"/>
      <x:c r="J41" s="2">
        <x:v>4</x:v>
      </x:c>
      <x:c r="K41" s="2" t="s">
        <x:v>117</x:v>
      </x:c>
      <x:c r="L41" s="2" t="s">
        <x:v>110</x:v>
      </x:c>
      <x:c r="M41" s="2"/>
      <x:c r="N41" s="2">
        <x:v>337</x:v>
      </x:c>
      <x:c r="O41" s="2">
        <x:v>184</x:v>
      </x:c>
      <x:c r="P41" s="2">
        <x:v>530</x:v>
      </x:c>
      <x:c r="Q41" s="2" t="s">
        <x:v>111</x:v>
      </x:c>
      <x:c r="R41" s="2">
        <x:v>337</x:v>
      </x:c>
      <x:c r="S41" s="2" t="s">
        <x:v>111</x:v>
      </x:c>
      <x:c r="T41" s="2">
        <x:v>20</x:v>
      </x:c>
      <x:c r="U41" s="2">
        <x:v>10</x:v>
      </x:c>
      <x:c r="V41" s="2"/>
      <x:c r="W41" s="2"/>
      <x:c r="X41" s="2" t="s">
        <x:v>147</x:v>
      </x:c>
      <x:c r="Y41" s="2" t="s">
        <x:v>113</x:v>
      </x:c>
      <x:c r="Z41" s="2" t="s">
        <x:v>114</x:v>
      </x:c>
    </x:row>
    <x:row r="42" ht="40.5">
      <x:c r="A42" s="2">
        <x:v>268</x:v>
      </x:c>
      <x:c r="B42" s="2">
        <x:v>1078810</x:v>
      </x:c>
      <x:c r="C42" s="2">
        <x:v>12517</x:v>
      </x:c>
      <x:c r="D42" s="2">
        <x:v>6079</x:v>
      </x:c>
      <x:c r="E42" s="2" t="s">
        <x:v>10</x:v>
      </x:c>
      <x:c r="F42" s="2" t="s">
        <x:v>166</x:v>
      </x:c>
      <x:c r="G42" s="2" t="s">
        <x:v>135</x:v>
      </x:c>
      <x:c r="H42" s="2" t="s">
        <x:v>135</x:v>
      </x:c>
      <x:c r="I42" s="2" t="s">
        <x:v>108</x:v>
      </x:c>
      <x:c r="J42" s="2">
        <x:v>4</x:v>
      </x:c>
      <x:c r="K42" s="2" t="s">
        <x:v>117</x:v>
      </x:c>
      <x:c r="L42" s="2" t="s">
        <x:v>110</x:v>
      </x:c>
      <x:c r="M42" s="2"/>
      <x:c r="N42" s="2">
        <x:v>60</x:v>
      </x:c>
      <x:c r="O42" s="2"/>
      <x:c r="P42" s="2"/>
      <x:c r="Q42" s="2" t="s">
        <x:v>111</x:v>
      </x:c>
      <x:c r="R42" s="2">
        <x:v>60</x:v>
      </x:c>
      <x:c r="S42" s="2" t="s">
        <x:v>111</x:v>
      </x:c>
      <x:c r="T42" s="2">
        <x:v>21</x:v>
      </x:c>
      <x:c r="U42" s="2"/>
      <x:c r="V42" s="2"/>
      <x:c r="W42" s="2"/>
      <x:c r="X42" s="2" t="s">
        <x:v>145</x:v>
      </x:c>
      <x:c r="Y42" s="2" t="s">
        <x:v>113</x:v>
      </x:c>
      <x:c r="Z42" s="2" t="s">
        <x:v>114</x:v>
      </x:c>
    </x:row>
    <x:row r="43" ht="40.5">
      <x:c r="A43" s="2">
        <x:v>285</x:v>
      </x:c>
      <x:c r="B43" s="2">
        <x:v>1078809</x:v>
      </x:c>
      <x:c r="C43" s="2">
        <x:v>12516</x:v>
      </x:c>
      <x:c r="D43" s="2">
        <x:v>6079</x:v>
      </x:c>
      <x:c r="E43" s="2" t="s">
        <x:v>10</x:v>
      </x:c>
      <x:c r="F43" s="2" t="s">
        <x:v>166</x:v>
      </x:c>
      <x:c r="G43" s="2" t="s">
        <x:v>135</x:v>
      </x:c>
      <x:c r="H43" s="2" t="s">
        <x:v>135</x:v>
      </x:c>
      <x:c r="I43" s="2"/>
      <x:c r="J43" s="2">
        <x:v>4</x:v>
      </x:c>
      <x:c r="K43" s="2" t="s">
        <x:v>117</x:v>
      </x:c>
      <x:c r="L43" s="2" t="s">
        <x:v>110</x:v>
      </x:c>
      <x:c r="M43" s="2"/>
      <x:c r="N43" s="2">
        <x:v>45</x:v>
      </x:c>
      <x:c r="O43" s="2"/>
      <x:c r="P43" s="2"/>
      <x:c r="Q43" s="2" t="s">
        <x:v>111</x:v>
      </x:c>
      <x:c r="R43" s="2">
        <x:v>45</x:v>
      </x:c>
      <x:c r="S43" s="2" t="s">
        <x:v>111</x:v>
      </x:c>
      <x:c r="T43" s="2">
        <x:v>9</x:v>
      </x:c>
      <x:c r="U43" s="2"/>
      <x:c r="V43" s="2"/>
      <x:c r="W43" s="2"/>
      <x:c r="X43" s="2" t="s">
        <x:v>145</x:v>
      </x:c>
      <x:c r="Y43" s="2" t="s">
        <x:v>113</x:v>
      </x:c>
      <x:c r="Z43" s="2" t="s">
        <x:v>114</x:v>
      </x:c>
    </x:row>
    <x:row r="44" ht="40.5">
      <x:c r="A44" s="2">
        <x:v>322</x:v>
      </x:c>
      <x:c r="B44" s="2">
        <x:v>1078811</x:v>
      </x:c>
      <x:c r="C44" s="2">
        <x:v>12518</x:v>
      </x:c>
      <x:c r="D44" s="2">
        <x:v>6079</x:v>
      </x:c>
      <x:c r="E44" s="2" t="s">
        <x:v>10</x:v>
      </x:c>
      <x:c r="F44" s="2" t="s">
        <x:v>166</x:v>
      </x:c>
      <x:c r="G44" s="2" t="s">
        <x:v>135</x:v>
      </x:c>
      <x:c r="H44" s="2" t="s">
        <x:v>135</x:v>
      </x:c>
      <x:c r="I44" s="2"/>
      <x:c r="J44" s="2">
        <x:v>2</x:v>
      </x:c>
      <x:c r="K44" s="2" t="s">
        <x:v>117</x:v>
      </x:c>
      <x:c r="L44" s="2" t="s">
        <x:v>110</x:v>
      </x:c>
      <x:c r="M44" s="2"/>
      <x:c r="N44" s="2">
        <x:v>105</x:v>
      </x:c>
      <x:c r="O44" s="2"/>
      <x:c r="P44" s="2"/>
      <x:c r="Q44" s="2" t="s">
        <x:v>111</x:v>
      </x:c>
      <x:c r="R44" s="2">
        <x:v>105</x:v>
      </x:c>
      <x:c r="S44" s="2" t="s">
        <x:v>111</x:v>
      </x:c>
      <x:c r="T44" s="2">
        <x:v>9</x:v>
      </x:c>
      <x:c r="U44" s="2"/>
      <x:c r="V44" s="2"/>
      <x:c r="W44" s="2"/>
      <x:c r="X44" s="2" t="s">
        <x:v>145</x:v>
      </x:c>
      <x:c r="Y44" s="2" t="s">
        <x:v>113</x:v>
      </x:c>
      <x:c r="Z44" s="2" t="s">
        <x:v>114</x:v>
      </x:c>
    </x:row>
    <x:row r="45" ht="40.5">
      <x:c r="A45" s="2">
        <x:v>324</x:v>
      </x:c>
      <x:c r="B45" s="2">
        <x:v>1078808</x:v>
      </x:c>
      <x:c r="C45" s="2">
        <x:v>12515</x:v>
      </x:c>
      <x:c r="D45" s="2">
        <x:v>6079</x:v>
      </x:c>
      <x:c r="E45" s="2" t="s">
        <x:v>10</x:v>
      </x:c>
      <x:c r="F45" s="2" t="s">
        <x:v>166</x:v>
      </x:c>
      <x:c r="G45" s="2" t="s">
        <x:v>135</x:v>
      </x:c>
      <x:c r="H45" s="2" t="s">
        <x:v>135</x:v>
      </x:c>
      <x:c r="I45" s="2" t="s">
        <x:v>167</x:v>
      </x:c>
      <x:c r="J45" s="2">
        <x:v>4</x:v>
      </x:c>
      <x:c r="K45" s="2" t="s">
        <x:v>117</x:v>
      </x:c>
      <x:c r="L45" s="2" t="s">
        <x:v>110</x:v>
      </x:c>
      <x:c r="M45" s="2"/>
      <x:c r="N45" s="2">
        <x:v>52</x:v>
      </x:c>
      <x:c r="O45" s="2"/>
      <x:c r="P45" s="2"/>
      <x:c r="Q45" s="2" t="s">
        <x:v>111</x:v>
      </x:c>
      <x:c r="R45" s="2">
        <x:v>52</x:v>
      </x:c>
      <x:c r="S45" s="2" t="s">
        <x:v>111</x:v>
      </x:c>
      <x:c r="T45" s="2">
        <x:v>9</x:v>
      </x:c>
      <x:c r="U45" s="2"/>
      <x:c r="V45" s="2"/>
      <x:c r="W45" s="2"/>
      <x:c r="X45" s="2" t="s">
        <x:v>145</x:v>
      </x:c>
      <x:c r="Y45" s="2" t="s">
        <x:v>113</x:v>
      </x:c>
      <x:c r="Z45" s="2" t="s">
        <x:v>114</x:v>
      </x:c>
    </x:row>
    <x:row r="46" ht="27">
      <x:c r="A46" s="2">
        <x:v>348</x:v>
      </x:c>
      <x:c r="B46" s="2">
        <x:v>1111945</x:v>
      </x:c>
      <x:c r="C46" s="2">
        <x:v>23785</x:v>
      </x:c>
      <x:c r="D46" s="2">
        <x:v>8445</x:v>
      </x:c>
      <x:c r="E46" s="2" t="s">
        <x:v>10</x:v>
      </x:c>
      <x:c r="F46" s="2" t="s">
        <x:v>166</x:v>
      </x:c>
      <x:c r="G46" s="2" t="s">
        <x:v>134</x:v>
      </x:c>
      <x:c r="H46" s="2" t="s">
        <x:v>135</x:v>
      </x:c>
      <x:c r="I46" s="2" t="s">
        <x:v>108</x:v>
      </x:c>
      <x:c r="J46" s="2">
        <x:v>4</x:v>
      </x:c>
      <x:c r="K46" s="2" t="s">
        <x:v>117</x:v>
      </x:c>
      <x:c r="L46" s="2" t="s">
        <x:v>110</x:v>
      </x:c>
      <x:c r="M46" s="2"/>
      <x:c r="N46" s="2">
        <x:v>17</x:v>
      </x:c>
      <x:c r="O46" s="2">
        <x:v>9</x:v>
      </x:c>
      <x:c r="P46" s="2">
        <x:v>29</x:v>
      </x:c>
      <x:c r="Q46" s="2" t="s">
        <x:v>111</x:v>
      </x:c>
      <x:c r="R46" s="2">
        <x:v>17</x:v>
      </x:c>
      <x:c r="S46" s="2" t="s">
        <x:v>111</x:v>
      </x:c>
      <x:c r="T46" s="2">
        <x:v>20</x:v>
      </x:c>
      <x:c r="U46" s="2">
        <x:v>30</x:v>
      </x:c>
      <x:c r="V46" s="2"/>
      <x:c r="W46" s="2"/>
      <x:c r="X46" s="2" t="s">
        <x:v>147</x:v>
      </x:c>
      <x:c r="Y46" s="2" t="s">
        <x:v>113</x:v>
      </x:c>
      <x:c r="Z46" s="2" t="s">
        <x:v>114</x:v>
      </x:c>
    </x:row>
    <x:row r="47" ht="27">
      <x:c r="A47" s="2">
        <x:v>349</x:v>
      </x:c>
      <x:c r="B47" s="2">
        <x:v>1047099</x:v>
      </x:c>
      <x:c r="C47" s="2">
        <x:v>115192</x:v>
      </x:c>
      <x:c r="D47" s="2">
        <x:v>2977</x:v>
      </x:c>
      <x:c r="E47" s="2" t="s">
        <x:v>10</x:v>
      </x:c>
      <x:c r="F47" s="2" t="s">
        <x:v>166</x:v>
      </x:c>
      <x:c r="G47" s="2" t="s">
        <x:v>168</x:v>
      </x:c>
      <x:c r="H47" s="2" t="s">
        <x:v>107</x:v>
      </x:c>
      <x:c r="I47" s="2" t="s">
        <x:v>125</x:v>
      </x:c>
      <x:c r="J47" s="2">
        <x:v>4</x:v>
      </x:c>
      <x:c r="K47" s="2" t="s">
        <x:v>126</x:v>
      </x:c>
      <x:c r="L47" s="2" t="s">
        <x:v>110</x:v>
      </x:c>
      <x:c r="M47" s="2"/>
      <x:c r="N47" s="2">
        <x:v>2.5</x:v>
      </x:c>
      <x:c r="O47" s="2">
        <x:v>0.9</x:v>
      </x:c>
      <x:c r="P47" s="2">
        <x:v>3.9</x:v>
      </x:c>
      <x:c r="Q47" s="2" t="s">
        <x:v>169</x:v>
      </x:c>
      <x:c r="R47" s="2">
        <x:v>2.5</x:v>
      </x:c>
      <x:c r="S47" s="2" t="s">
        <x:v>169</x:v>
      </x:c>
      <x:c r="T47" s="2"/>
      <x:c r="U47" s="2">
        <x:v>35</x:v>
      </x:c>
      <x:c r="V47" s="2"/>
      <x:c r="W47" s="2"/>
      <x:c r="X47" s="2" t="s">
        <x:v>170</x:v>
      </x:c>
      <x:c r="Y47" s="2" t="s">
        <x:v>113</x:v>
      </x:c>
      <x:c r="Z47" s="2" t="s">
        <x:v>114</x:v>
      </x:c>
    </x:row>
    <x:row r="48" ht="40.5">
      <x:c r="A48" s="2">
        <x:v>350</x:v>
      </x:c>
      <x:c r="B48" s="2">
        <x:v>1252479</x:v>
      </x:c>
      <x:c r="C48" s="2">
        <x:v>700796</x:v>
      </x:c>
      <x:c r="D48" s="2">
        <x:v>59877</x:v>
      </x:c>
      <x:c r="E48" s="2" t="s">
        <x:v>10</x:v>
      </x:c>
      <x:c r="F48" s="2" t="s">
        <x:v>166</x:v>
      </x:c>
      <x:c r="G48" s="2" t="s">
        <x:v>157</x:v>
      </x:c>
      <x:c r="H48" s="2" t="s">
        <x:v>107</x:v>
      </x:c>
      <x:c r="I48" s="2"/>
      <x:c r="J48" s="2">
        <x:v>4</x:v>
      </x:c>
      <x:c r="K48" s="2" t="s">
        <x:v>117</x:v>
      </x:c>
      <x:c r="L48" s="2" t="s">
        <x:v>110</x:v>
      </x:c>
      <x:c r="M48" s="2"/>
      <x:c r="N48" s="2">
        <x:v>124.6</x:v>
      </x:c>
      <x:c r="O48" s="2"/>
      <x:c r="P48" s="2"/>
      <x:c r="Q48" s="2" t="s">
        <x:v>111</x:v>
      </x:c>
      <x:c r="R48" s="2">
        <x:v>124.6</x:v>
      </x:c>
      <x:c r="S48" s="2" t="s">
        <x:v>111</x:v>
      </x:c>
      <x:c r="T48" s="2">
        <x:v>20</x:v>
      </x:c>
      <x:c r="U48" s="2">
        <x:v>30</x:v>
      </x:c>
      <x:c r="V48" s="2">
        <x:v>7.9</x:v>
      </x:c>
      <x:c r="W48" s="2"/>
      <x:c r="X48" s="2" t="s">
        <x:v>171</x:v>
      </x:c>
      <x:c r="Y48" s="2" t="s">
        <x:v>113</x:v>
      </x:c>
      <x:c r="Z48" s="2" t="s">
        <x:v>114</x:v>
      </x:c>
    </x:row>
    <x:row r="49" ht="27">
      <x:c r="A49" s="2">
        <x:v>351</x:v>
      </x:c>
      <x:c r="B49" s="2">
        <x:v>1047101</x:v>
      </x:c>
      <x:c r="C49" s="2">
        <x:v>115194</x:v>
      </x:c>
      <x:c r="D49" s="2">
        <x:v>2977</x:v>
      </x:c>
      <x:c r="E49" s="2" t="s">
        <x:v>10</x:v>
      </x:c>
      <x:c r="F49" s="2" t="s">
        <x:v>166</x:v>
      </x:c>
      <x:c r="G49" s="2" t="s">
        <x:v>168</x:v>
      </x:c>
      <x:c r="H49" s="2" t="s">
        <x:v>107</x:v>
      </x:c>
      <x:c r="I49" s="2" t="s">
        <x:v>125</x:v>
      </x:c>
      <x:c r="J49" s="2">
        <x:v>4</x:v>
      </x:c>
      <x:c r="K49" s="2" t="s">
        <x:v>126</x:v>
      </x:c>
      <x:c r="L49" s="2" t="s">
        <x:v>110</x:v>
      </x:c>
      <x:c r="M49" s="2"/>
      <x:c r="N49" s="2">
        <x:v>4.0999999999999996</x:v>
      </x:c>
      <x:c r="O49" s="2">
        <x:v>3.3</x:v>
      </x:c>
      <x:c r="P49" s="2">
        <x:v>5</x:v>
      </x:c>
      <x:c r="Q49" s="2" t="s">
        <x:v>169</x:v>
      </x:c>
      <x:c r="R49" s="2">
        <x:v>4.0999999999999996</x:v>
      </x:c>
      <x:c r="S49" s="2" t="s">
        <x:v>169</x:v>
      </x:c>
      <x:c r="T49" s="2"/>
      <x:c r="U49" s="2">
        <x:v>35</x:v>
      </x:c>
      <x:c r="V49" s="2"/>
      <x:c r="W49" s="2"/>
      <x:c r="X49" s="2" t="s">
        <x:v>170</x:v>
      </x:c>
      <x:c r="Y49" s="2" t="s">
        <x:v>113</x:v>
      </x:c>
      <x:c r="Z49" s="2" t="s">
        <x:v>114</x:v>
      </x:c>
    </x:row>
    <x:row r="50" ht="27">
      <x:c r="A50" s="2">
        <x:v>352</x:v>
      </x:c>
      <x:c r="B50" s="2">
        <x:v>1047097</x:v>
      </x:c>
      <x:c r="C50" s="2">
        <x:v>115190</x:v>
      </x:c>
      <x:c r="D50" s="2">
        <x:v>2977</x:v>
      </x:c>
      <x:c r="E50" s="2" t="s">
        <x:v>10</x:v>
      </x:c>
      <x:c r="F50" s="2" t="s">
        <x:v>166</x:v>
      </x:c>
      <x:c r="G50" s="2" t="s">
        <x:v>168</x:v>
      </x:c>
      <x:c r="H50" s="2" t="s">
        <x:v>107</x:v>
      </x:c>
      <x:c r="I50" s="2" t="s">
        <x:v>125</x:v>
      </x:c>
      <x:c r="J50" s="2">
        <x:v>4</x:v>
      </x:c>
      <x:c r="K50" s="2" t="s">
        <x:v>126</x:v>
      </x:c>
      <x:c r="L50" s="2" t="s">
        <x:v>110</x:v>
      </x:c>
      <x:c r="M50" s="2"/>
      <x:c r="N50" s="2">
        <x:v>1.2</x:v>
      </x:c>
      <x:c r="O50" s="2">
        <x:v>0.6</x:v>
      </x:c>
      <x:c r="P50" s="2">
        <x:v>1.6</x:v>
      </x:c>
      <x:c r="Q50" s="2" t="s">
        <x:v>169</x:v>
      </x:c>
      <x:c r="R50" s="2">
        <x:v>1.2</x:v>
      </x:c>
      <x:c r="S50" s="2" t="s">
        <x:v>169</x:v>
      </x:c>
      <x:c r="T50" s="2"/>
      <x:c r="U50" s="2">
        <x:v>35</x:v>
      </x:c>
      <x:c r="V50" s="2"/>
      <x:c r="W50" s="2"/>
      <x:c r="X50" s="2" t="s">
        <x:v>170</x:v>
      </x:c>
      <x:c r="Y50" s="2" t="s">
        <x:v>113</x:v>
      </x:c>
      <x:c r="Z50" s="2" t="s">
        <x:v>114</x:v>
      </x:c>
    </x:row>
    <x:row r="51" ht="27">
      <x:c r="A51" s="2">
        <x:v>353</x:v>
      </x:c>
      <x:c r="B51" s="2">
        <x:v>1134112</x:v>
      </x:c>
      <x:c r="C51" s="2">
        <x:v>107408</x:v>
      </x:c>
      <x:c r="D51" s="2">
        <x:v>10900</x:v>
      </x:c>
      <x:c r="E51" s="2" t="s">
        <x:v>10</x:v>
      </x:c>
      <x:c r="F51" s="2" t="s">
        <x:v>166</x:v>
      </x:c>
      <x:c r="G51" s="2" t="s">
        <x:v>150</x:v>
      </x:c>
      <x:c r="H51" s="2" t="s">
        <x:v>135</x:v>
      </x:c>
      <x:c r="I51" s="2" t="s">
        <x:v>159</x:v>
      </x:c>
      <x:c r="J51" s="2">
        <x:v>4</x:v>
      </x:c>
      <x:c r="K51" s="2" t="s">
        <x:v>117</x:v>
      </x:c>
      <x:c r="L51" s="2" t="s">
        <x:v>110</x:v>
      </x:c>
      <x:c r="M51" s="2"/>
      <x:c r="N51" s="2">
        <x:v>31.1</x:v>
      </x:c>
      <x:c r="O51" s="2"/>
      <x:c r="P51" s="2"/>
      <x:c r="Q51" s="2" t="s">
        <x:v>111</x:v>
      </x:c>
      <x:c r="R51" s="2">
        <x:v>31.1</x:v>
      </x:c>
      <x:c r="S51" s="2" t="s">
        <x:v>111</x:v>
      </x:c>
      <x:c r="T51" s="2">
        <x:v>15</x:v>
      </x:c>
      <x:c r="U51" s="2">
        <x:v>10</x:v>
      </x:c>
      <x:c r="V51" s="2"/>
      <x:c r="W51" s="2"/>
      <x:c r="X51" s="2" t="s">
        <x:v>160</x:v>
      </x:c>
      <x:c r="Y51" s="2" t="s">
        <x:v>113</x:v>
      </x:c>
      <x:c r="Z51" s="2" t="s">
        <x:v>114</x:v>
      </x:c>
    </x:row>
    <x:row r="52" ht="27">
      <x:c r="A52" s="2">
        <x:v>354</x:v>
      </x:c>
      <x:c r="B52" s="2">
        <x:v>1047100</x:v>
      </x:c>
      <x:c r="C52" s="2">
        <x:v>115193</x:v>
      </x:c>
      <x:c r="D52" s="2">
        <x:v>2977</x:v>
      </x:c>
      <x:c r="E52" s="2" t="s">
        <x:v>10</x:v>
      </x:c>
      <x:c r="F52" s="2" t="s">
        <x:v>166</x:v>
      </x:c>
      <x:c r="G52" s="2" t="s">
        <x:v>168</x:v>
      </x:c>
      <x:c r="H52" s="2" t="s">
        <x:v>107</x:v>
      </x:c>
      <x:c r="I52" s="2" t="s">
        <x:v>125</x:v>
      </x:c>
      <x:c r="J52" s="2">
        <x:v>4</x:v>
      </x:c>
      <x:c r="K52" s="2" t="s">
        <x:v>126</x:v>
      </x:c>
      <x:c r="L52" s="2" t="s">
        <x:v>110</x:v>
      </x:c>
      <x:c r="M52" s="2"/>
      <x:c r="N52" s="2">
        <x:v>2.9</x:v>
      </x:c>
      <x:c r="O52" s="2">
        <x:v>1.5</x:v>
      </x:c>
      <x:c r="P52" s="2">
        <x:v>4.2</x:v>
      </x:c>
      <x:c r="Q52" s="2" t="s">
        <x:v>169</x:v>
      </x:c>
      <x:c r="R52" s="2">
        <x:v>2.9</x:v>
      </x:c>
      <x:c r="S52" s="2" t="s">
        <x:v>169</x:v>
      </x:c>
      <x:c r="T52" s="2"/>
      <x:c r="U52" s="2">
        <x:v>35</x:v>
      </x:c>
      <x:c r="V52" s="2"/>
      <x:c r="W52" s="2"/>
      <x:c r="X52" s="2" t="s">
        <x:v>170</x:v>
      </x:c>
      <x:c r="Y52" s="2" t="s">
        <x:v>113</x:v>
      </x:c>
      <x:c r="Z52" s="2" t="s">
        <x:v>114</x:v>
      </x:c>
    </x:row>
    <x:row r="53" ht="27">
      <x:c r="A53" s="2">
        <x:v>355</x:v>
      </x:c>
      <x:c r="B53" s="2">
        <x:v>1134111</x:v>
      </x:c>
      <x:c r="C53" s="2">
        <x:v>107407</x:v>
      </x:c>
      <x:c r="D53" s="2">
        <x:v>10900</x:v>
      </x:c>
      <x:c r="E53" s="2" t="s">
        <x:v>10</x:v>
      </x:c>
      <x:c r="F53" s="2" t="s">
        <x:v>166</x:v>
      </x:c>
      <x:c r="G53" s="2" t="s">
        <x:v>150</x:v>
      </x:c>
      <x:c r="H53" s="2" t="s">
        <x:v>135</x:v>
      </x:c>
      <x:c r="I53" s="2" t="s">
        <x:v>159</x:v>
      </x:c>
      <x:c r="J53" s="2">
        <x:v>4</x:v>
      </x:c>
      <x:c r="K53" s="2" t="s">
        <x:v>117</x:v>
      </x:c>
      <x:c r="L53" s="2" t="s">
        <x:v>110</x:v>
      </x:c>
      <x:c r="M53" s="2"/>
      <x:c r="N53" s="2">
        <x:v>30.6</x:v>
      </x:c>
      <x:c r="O53" s="2"/>
      <x:c r="P53" s="2"/>
      <x:c r="Q53" s="2" t="s">
        <x:v>111</x:v>
      </x:c>
      <x:c r="R53" s="2">
        <x:v>30.6</x:v>
      </x:c>
      <x:c r="S53" s="2" t="s">
        <x:v>111</x:v>
      </x:c>
      <x:c r="T53" s="2">
        <x:v>15</x:v>
      </x:c>
      <x:c r="U53" s="2">
        <x:v>10</x:v>
      </x:c>
      <x:c r="V53" s="2"/>
      <x:c r="W53" s="2"/>
      <x:c r="X53" s="2" t="s">
        <x:v>160</x:v>
      </x:c>
      <x:c r="Y53" s="2" t="s">
        <x:v>113</x:v>
      </x:c>
      <x:c r="Z53" s="2" t="s">
        <x:v>114</x:v>
      </x:c>
    </x:row>
    <x:row r="54" ht="27">
      <x:c r="A54" s="2">
        <x:v>356</x:v>
      </x:c>
      <x:c r="B54" s="2">
        <x:v>1134115</x:v>
      </x:c>
      <x:c r="C54" s="2">
        <x:v>107411</x:v>
      </x:c>
      <x:c r="D54" s="2">
        <x:v>10900</x:v>
      </x:c>
      <x:c r="E54" s="2" t="s">
        <x:v>10</x:v>
      </x:c>
      <x:c r="F54" s="2" t="s">
        <x:v>166</x:v>
      </x:c>
      <x:c r="G54" s="2" t="s">
        <x:v>150</x:v>
      </x:c>
      <x:c r="H54" s="2" t="s">
        <x:v>135</x:v>
      </x:c>
      <x:c r="I54" s="2" t="s">
        <x:v>159</x:v>
      </x:c>
      <x:c r="J54" s="2">
        <x:v>4</x:v>
      </x:c>
      <x:c r="K54" s="2" t="s">
        <x:v>117</x:v>
      </x:c>
      <x:c r="L54" s="2" t="s">
        <x:v>110</x:v>
      </x:c>
      <x:c r="M54" s="2"/>
      <x:c r="N54" s="2">
        <x:v>33.700000000000003</x:v>
      </x:c>
      <x:c r="O54" s="2">
        <x:v>24</x:v>
      </x:c>
      <x:c r="P54" s="2">
        <x:v>46</x:v>
      </x:c>
      <x:c r="Q54" s="2" t="s">
        <x:v>111</x:v>
      </x:c>
      <x:c r="R54" s="2">
        <x:v>33.700000000000003</x:v>
      </x:c>
      <x:c r="S54" s="2" t="s">
        <x:v>111</x:v>
      </x:c>
      <x:c r="T54" s="2">
        <x:v>15</x:v>
      </x:c>
      <x:c r="U54" s="2">
        <x:v>10</x:v>
      </x:c>
      <x:c r="V54" s="2"/>
      <x:c r="W54" s="2"/>
      <x:c r="X54" s="2" t="s">
        <x:v>160</x:v>
      </x:c>
      <x:c r="Y54" s="2" t="s">
        <x:v>113</x:v>
      </x:c>
      <x:c r="Z54" s="2" t="s">
        <x:v>114</x:v>
      </x:c>
    </x:row>
    <x:row r="55" ht="27">
      <x:c r="A55" s="2">
        <x:v>357</x:v>
      </x:c>
      <x:c r="B55" s="2">
        <x:v>1134113</x:v>
      </x:c>
      <x:c r="C55" s="2">
        <x:v>107409</x:v>
      </x:c>
      <x:c r="D55" s="2">
        <x:v>10900</x:v>
      </x:c>
      <x:c r="E55" s="2" t="s">
        <x:v>10</x:v>
      </x:c>
      <x:c r="F55" s="2" t="s">
        <x:v>166</x:v>
      </x:c>
      <x:c r="G55" s="2" t="s">
        <x:v>150</x:v>
      </x:c>
      <x:c r="H55" s="2" t="s">
        <x:v>135</x:v>
      </x:c>
      <x:c r="I55" s="2" t="s">
        <x:v>159</x:v>
      </x:c>
      <x:c r="J55" s="2">
        <x:v>4</x:v>
      </x:c>
      <x:c r="K55" s="2" t="s">
        <x:v>117</x:v>
      </x:c>
      <x:c r="L55" s="2" t="s">
        <x:v>110</x:v>
      </x:c>
      <x:c r="M55" s="2"/>
      <x:c r="N55" s="2">
        <x:v>28.7</x:v>
      </x:c>
      <x:c r="O55" s="2"/>
      <x:c r="P55" s="2"/>
      <x:c r="Q55" s="2" t="s">
        <x:v>111</x:v>
      </x:c>
      <x:c r="R55" s="2">
        <x:v>28.7</x:v>
      </x:c>
      <x:c r="S55" s="2" t="s">
        <x:v>111</x:v>
      </x:c>
      <x:c r="T55" s="2">
        <x:v>15</x:v>
      </x:c>
      <x:c r="U55" s="2">
        <x:v>10</x:v>
      </x:c>
      <x:c r="V55" s="2"/>
      <x:c r="W55" s="2"/>
      <x:c r="X55" s="2" t="s">
        <x:v>160</x:v>
      </x:c>
      <x:c r="Y55" s="2" t="s">
        <x:v>113</x:v>
      </x:c>
      <x:c r="Z55" s="2" t="s">
        <x:v>114</x:v>
      </x:c>
    </x:row>
    <x:row r="56" ht="27">
      <x:c r="A56" s="2">
        <x:v>358</x:v>
      </x:c>
      <x:c r="B56" s="2">
        <x:v>1047096</x:v>
      </x:c>
      <x:c r="C56" s="2">
        <x:v>115189</x:v>
      </x:c>
      <x:c r="D56" s="2">
        <x:v>2977</x:v>
      </x:c>
      <x:c r="E56" s="2" t="s">
        <x:v>10</x:v>
      </x:c>
      <x:c r="F56" s="2" t="s">
        <x:v>166</x:v>
      </x:c>
      <x:c r="G56" s="2" t="s">
        <x:v>168</x:v>
      </x:c>
      <x:c r="H56" s="2" t="s">
        <x:v>107</x:v>
      </x:c>
      <x:c r="I56" s="2" t="s">
        <x:v>172</x:v>
      </x:c>
      <x:c r="J56" s="2">
        <x:v>4</x:v>
      </x:c>
      <x:c r="K56" s="2" t="s">
        <x:v>126</x:v>
      </x:c>
      <x:c r="L56" s="2" t="s">
        <x:v>110</x:v>
      </x:c>
      <x:c r="M56" s="2"/>
      <x:c r="N56" s="2">
        <x:v>3.6</x:v>
      </x:c>
      <x:c r="O56" s="2">
        <x:v>1.2</x:v>
      </x:c>
      <x:c r="P56" s="2">
        <x:v>6.2</x:v>
      </x:c>
      <x:c r="Q56" s="2" t="s">
        <x:v>169</x:v>
      </x:c>
      <x:c r="R56" s="2">
        <x:v>3.6</x:v>
      </x:c>
      <x:c r="S56" s="2" t="s">
        <x:v>169</x:v>
      </x:c>
      <x:c r="T56" s="2"/>
      <x:c r="U56" s="2">
        <x:v>35</x:v>
      </x:c>
      <x:c r="V56" s="2"/>
      <x:c r="W56" s="2"/>
      <x:c r="X56" s="2" t="s">
        <x:v>170</x:v>
      </x:c>
      <x:c r="Y56" s="2" t="s">
        <x:v>113</x:v>
      </x:c>
      <x:c r="Z56" s="2" t="s">
        <x:v>114</x:v>
      </x:c>
    </x:row>
    <x:row r="57" ht="27">
      <x:c r="A57" s="2">
        <x:v>359</x:v>
      </x:c>
      <x:c r="B57" s="2">
        <x:v>1111944</x:v>
      </x:c>
      <x:c r="C57" s="2">
        <x:v>23784</x:v>
      </x:c>
      <x:c r="D57" s="2">
        <x:v>8445</x:v>
      </x:c>
      <x:c r="E57" s="2" t="s">
        <x:v>10</x:v>
      </x:c>
      <x:c r="F57" s="2" t="s">
        <x:v>166</x:v>
      </x:c>
      <x:c r="G57" s="2" t="s">
        <x:v>134</x:v>
      </x:c>
      <x:c r="H57" s="2" t="s">
        <x:v>135</x:v>
      </x:c>
      <x:c r="I57" s="2" t="s">
        <x:v>148</x:v>
      </x:c>
      <x:c r="J57" s="2">
        <x:v>4</x:v>
      </x:c>
      <x:c r="K57" s="2" t="s">
        <x:v>117</x:v>
      </x:c>
      <x:c r="L57" s="2" t="s">
        <x:v>110</x:v>
      </x:c>
      <x:c r="M57" s="2"/>
      <x:c r="N57" s="2">
        <x:v>55</x:v>
      </x:c>
      <x:c r="O57" s="2">
        <x:v>36</x:v>
      </x:c>
      <x:c r="P57" s="2">
        <x:v>76</x:v>
      </x:c>
      <x:c r="Q57" s="2" t="s">
        <x:v>111</x:v>
      </x:c>
      <x:c r="R57" s="2">
        <x:v>55</x:v>
      </x:c>
      <x:c r="S57" s="2" t="s">
        <x:v>111</x:v>
      </x:c>
      <x:c r="T57" s="2">
        <x:v>20</x:v>
      </x:c>
      <x:c r="U57" s="2">
        <x:v>10</x:v>
      </x:c>
      <x:c r="V57" s="2"/>
      <x:c r="W57" s="2"/>
      <x:c r="X57" s="2" t="s">
        <x:v>147</x:v>
      </x:c>
      <x:c r="Y57" s="2" t="s">
        <x:v>113</x:v>
      </x:c>
      <x:c r="Z57" s="2" t="s">
        <x:v>114</x:v>
      </x:c>
    </x:row>
    <x:row r="58" ht="27">
      <x:c r="A58" s="2">
        <x:v>360</x:v>
      </x:c>
      <x:c r="B58" s="2">
        <x:v>1047106</x:v>
      </x:c>
      <x:c r="C58" s="2">
        <x:v>115199</x:v>
      </x:c>
      <x:c r="D58" s="2">
        <x:v>2977</x:v>
      </x:c>
      <x:c r="E58" s="2" t="s">
        <x:v>10</x:v>
      </x:c>
      <x:c r="F58" s="2" t="s">
        <x:v>166</x:v>
      </x:c>
      <x:c r="G58" s="2" t="s">
        <x:v>168</x:v>
      </x:c>
      <x:c r="H58" s="2" t="s">
        <x:v>107</x:v>
      </x:c>
      <x:c r="I58" s="2" t="s">
        <x:v>173</x:v>
      </x:c>
      <x:c r="J58" s="2">
        <x:v>4</x:v>
      </x:c>
      <x:c r="K58" s="2" t="s">
        <x:v>126</x:v>
      </x:c>
      <x:c r="L58" s="2" t="s">
        <x:v>110</x:v>
      </x:c>
      <x:c r="M58" s="2"/>
      <x:c r="N58" s="2">
        <x:v>6.2</x:v>
      </x:c>
      <x:c r="O58" s="2">
        <x:v>3.9</x:v>
      </x:c>
      <x:c r="P58" s="2">
        <x:v>7.9</x:v>
      </x:c>
      <x:c r="Q58" s="2" t="s">
        <x:v>169</x:v>
      </x:c>
      <x:c r="R58" s="2">
        <x:v>6.2</x:v>
      </x:c>
      <x:c r="S58" s="2" t="s">
        <x:v>169</x:v>
      </x:c>
      <x:c r="T58" s="2"/>
      <x:c r="U58" s="2">
        <x:v>35</x:v>
      </x:c>
      <x:c r="V58" s="2"/>
      <x:c r="W58" s="2"/>
      <x:c r="X58" s="2" t="s">
        <x:v>170</x:v>
      </x:c>
      <x:c r="Y58" s="2" t="s">
        <x:v>113</x:v>
      </x:c>
      <x:c r="Z58" s="2" t="s">
        <x:v>114</x:v>
      </x:c>
    </x:row>
    <x:row r="59" ht="27">
      <x:c r="A59" s="2">
        <x:v>361</x:v>
      </x:c>
      <x:c r="B59" s="2">
        <x:v>1047104</x:v>
      </x:c>
      <x:c r="C59" s="2">
        <x:v>115197</x:v>
      </x:c>
      <x:c r="D59" s="2">
        <x:v>2977</x:v>
      </x:c>
      <x:c r="E59" s="2" t="s">
        <x:v>10</x:v>
      </x:c>
      <x:c r="F59" s="2" t="s">
        <x:v>166</x:v>
      </x:c>
      <x:c r="G59" s="2" t="s">
        <x:v>168</x:v>
      </x:c>
      <x:c r="H59" s="2" t="s">
        <x:v>107</x:v>
      </x:c>
      <x:c r="I59" s="2" t="s">
        <x:v>173</x:v>
      </x:c>
      <x:c r="J59" s="2">
        <x:v>4</x:v>
      </x:c>
      <x:c r="K59" s="2" t="s">
        <x:v>126</x:v>
      </x:c>
      <x:c r="L59" s="2" t="s">
        <x:v>110</x:v>
      </x:c>
      <x:c r="M59" s="2"/>
      <x:c r="N59" s="2">
        <x:v>7.8</x:v>
      </x:c>
      <x:c r="O59" s="2">
        <x:v>4.5</x:v>
      </x:c>
      <x:c r="P59" s="2">
        <x:v>11.5</x:v>
      </x:c>
      <x:c r="Q59" s="2" t="s">
        <x:v>169</x:v>
      </x:c>
      <x:c r="R59" s="2">
        <x:v>7.8</x:v>
      </x:c>
      <x:c r="S59" s="2" t="s">
        <x:v>169</x:v>
      </x:c>
      <x:c r="T59" s="2"/>
      <x:c r="U59" s="2">
        <x:v>35</x:v>
      </x:c>
      <x:c r="V59" s="2"/>
      <x:c r="W59" s="2"/>
      <x:c r="X59" s="2" t="s">
        <x:v>170</x:v>
      </x:c>
      <x:c r="Y59" s="2" t="s">
        <x:v>113</x:v>
      </x:c>
      <x:c r="Z59" s="2" t="s">
        <x:v>114</x:v>
      </x:c>
    </x:row>
    <x:row r="60" ht="27">
      <x:c r="A60" s="2">
        <x:v>362</x:v>
      </x:c>
      <x:c r="B60" s="2">
        <x:v>1047102</x:v>
      </x:c>
      <x:c r="C60" s="2">
        <x:v>115195</x:v>
      </x:c>
      <x:c r="D60" s="2">
        <x:v>2977</x:v>
      </x:c>
      <x:c r="E60" s="2" t="s">
        <x:v>10</x:v>
      </x:c>
      <x:c r="F60" s="2" t="s">
        <x:v>166</x:v>
      </x:c>
      <x:c r="G60" s="2" t="s">
        <x:v>168</x:v>
      </x:c>
      <x:c r="H60" s="2" t="s">
        <x:v>107</x:v>
      </x:c>
      <x:c r="I60" s="2" t="s">
        <x:v>125</x:v>
      </x:c>
      <x:c r="J60" s="2">
        <x:v>4</x:v>
      </x:c>
      <x:c r="K60" s="2" t="s">
        <x:v>126</x:v>
      </x:c>
      <x:c r="L60" s="2" t="s">
        <x:v>110</x:v>
      </x:c>
      <x:c r="M60" s="2"/>
      <x:c r="N60" s="2">
        <x:v>4.8</x:v>
      </x:c>
      <x:c r="O60" s="2">
        <x:v>3.5</x:v>
      </x:c>
      <x:c r="P60" s="2">
        <x:v>6.1</x:v>
      </x:c>
      <x:c r="Q60" s="2" t="s">
        <x:v>169</x:v>
      </x:c>
      <x:c r="R60" s="2">
        <x:v>4.8</x:v>
      </x:c>
      <x:c r="S60" s="2" t="s">
        <x:v>169</x:v>
      </x:c>
      <x:c r="T60" s="2"/>
      <x:c r="U60" s="2">
        <x:v>35</x:v>
      </x:c>
      <x:c r="V60" s="2"/>
      <x:c r="W60" s="2"/>
      <x:c r="X60" s="2" t="s">
        <x:v>170</x:v>
      </x:c>
      <x:c r="Y60" s="2" t="s">
        <x:v>113</x:v>
      </x:c>
      <x:c r="Z60" s="2" t="s">
        <x:v>114</x:v>
      </x:c>
    </x:row>
    <x:row r="61" ht="27">
      <x:c r="A61" s="2">
        <x:v>363</x:v>
      </x:c>
      <x:c r="B61" s="2">
        <x:v>1111943</x:v>
      </x:c>
      <x:c r="C61" s="2">
        <x:v>23783</x:v>
      </x:c>
      <x:c r="D61" s="2">
        <x:v>8445</x:v>
      </x:c>
      <x:c r="E61" s="2" t="s">
        <x:v>10</x:v>
      </x:c>
      <x:c r="F61" s="2" t="s">
        <x:v>166</x:v>
      </x:c>
      <x:c r="G61" s="2" t="s">
        <x:v>134</x:v>
      </x:c>
      <x:c r="H61" s="2" t="s">
        <x:v>135</x:v>
      </x:c>
      <x:c r="I61" s="2"/>
      <x:c r="J61" s="2">
        <x:v>4</x:v>
      </x:c>
      <x:c r="K61" s="2" t="s">
        <x:v>117</x:v>
      </x:c>
      <x:c r="L61" s="2" t="s">
        <x:v>110</x:v>
      </x:c>
      <x:c r="M61" s="2"/>
      <x:c r="N61" s="2">
        <x:v>31</x:v>
      </x:c>
      <x:c r="O61" s="2">
        <x:v>21</x:v>
      </x:c>
      <x:c r="P61" s="2">
        <x:v>44</x:v>
      </x:c>
      <x:c r="Q61" s="2" t="s">
        <x:v>111</x:v>
      </x:c>
      <x:c r="R61" s="2">
        <x:v>31</x:v>
      </x:c>
      <x:c r="S61" s="2" t="s">
        <x:v>111</x:v>
      </x:c>
      <x:c r="T61" s="2">
        <x:v>20</x:v>
      </x:c>
      <x:c r="U61" s="2">
        <x:v>10</x:v>
      </x:c>
      <x:c r="V61" s="2"/>
      <x:c r="W61" s="2"/>
      <x:c r="X61" s="2" t="s">
        <x:v>147</x:v>
      </x:c>
      <x:c r="Y61" s="2" t="s">
        <x:v>113</x:v>
      </x:c>
      <x:c r="Z61" s="2" t="s">
        <x:v>114</x:v>
      </x:c>
    </x:row>
    <x:row r="62" ht="27">
      <x:c r="A62" s="2">
        <x:v>364</x:v>
      </x:c>
      <x:c r="B62" s="2">
        <x:v>1111946</x:v>
      </x:c>
      <x:c r="C62" s="2">
        <x:v>23786</x:v>
      </x:c>
      <x:c r="D62" s="2">
        <x:v>8445</x:v>
      </x:c>
      <x:c r="E62" s="2" t="s">
        <x:v>10</x:v>
      </x:c>
      <x:c r="F62" s="2" t="s">
        <x:v>166</x:v>
      </x:c>
      <x:c r="G62" s="2" t="s">
        <x:v>134</x:v>
      </x:c>
      <x:c r="H62" s="2" t="s">
        <x:v>135</x:v>
      </x:c>
      <x:c r="I62" s="2" t="s">
        <x:v>149</x:v>
      </x:c>
      <x:c r="J62" s="2">
        <x:v>4</x:v>
      </x:c>
      <x:c r="K62" s="2" t="s">
        <x:v>117</x:v>
      </x:c>
      <x:c r="L62" s="2" t="s">
        <x:v>110</x:v>
      </x:c>
      <x:c r="M62" s="2"/>
      <x:c r="N62" s="2">
        <x:v>64</x:v>
      </x:c>
      <x:c r="O62" s="2"/>
      <x:c r="P62" s="2"/>
      <x:c r="Q62" s="2" t="s">
        <x:v>111</x:v>
      </x:c>
      <x:c r="R62" s="2">
        <x:v>64</x:v>
      </x:c>
      <x:c r="S62" s="2" t="s">
        <x:v>111</x:v>
      </x:c>
      <x:c r="T62" s="2">
        <x:v>20</x:v>
      </x:c>
      <x:c r="U62" s="2">
        <x:v>10</x:v>
      </x:c>
      <x:c r="V62" s="2"/>
      <x:c r="W62" s="2"/>
      <x:c r="X62" s="2" t="s">
        <x:v>147</x:v>
      </x:c>
      <x:c r="Y62" s="2" t="s">
        <x:v>113</x:v>
      </x:c>
      <x:c r="Z62" s="2" t="s">
        <x:v>114</x:v>
      </x:c>
    </x:row>
    <x:row r="63" ht="27">
      <x:c r="A63" s="2">
        <x:v>365</x:v>
      </x:c>
      <x:c r="B63" s="2">
        <x:v>1047098</x:v>
      </x:c>
      <x:c r="C63" s="2">
        <x:v>115191</x:v>
      </x:c>
      <x:c r="D63" s="2">
        <x:v>2977</x:v>
      </x:c>
      <x:c r="E63" s="2" t="s">
        <x:v>10</x:v>
      </x:c>
      <x:c r="F63" s="2" t="s">
        <x:v>166</x:v>
      </x:c>
      <x:c r="G63" s="2" t="s">
        <x:v>168</x:v>
      </x:c>
      <x:c r="H63" s="2" t="s">
        <x:v>107</x:v>
      </x:c>
      <x:c r="I63" s="2" t="s">
        <x:v>125</x:v>
      </x:c>
      <x:c r="J63" s="2">
        <x:v>4</x:v>
      </x:c>
      <x:c r="K63" s="2" t="s">
        <x:v>126</x:v>
      </x:c>
      <x:c r="L63" s="2" t="s">
        <x:v>110</x:v>
      </x:c>
      <x:c r="M63" s="2"/>
      <x:c r="N63" s="2">
        <x:v>0.3</x:v>
      </x:c>
      <x:c r="O63" s="2">
        <x:v>0.02</x:v>
      </x:c>
      <x:c r="P63" s="2">
        <x:v>2</x:v>
      </x:c>
      <x:c r="Q63" s="2" t="s">
        <x:v>169</x:v>
      </x:c>
      <x:c r="R63" s="2">
        <x:v>0.3</x:v>
      </x:c>
      <x:c r="S63" s="2" t="s">
        <x:v>169</x:v>
      </x:c>
      <x:c r="T63" s="2"/>
      <x:c r="U63" s="2">
        <x:v>35</x:v>
      </x:c>
      <x:c r="V63" s="2"/>
      <x:c r="W63" s="2"/>
      <x:c r="X63" s="2" t="s">
        <x:v>170</x:v>
      </x:c>
      <x:c r="Y63" s="2" t="s">
        <x:v>113</x:v>
      </x:c>
      <x:c r="Z63" s="2" t="s">
        <x:v>114</x:v>
      </x:c>
    </x:row>
    <x:row r="64" ht="27">
      <x:c r="A64" s="2">
        <x:v>366</x:v>
      </x:c>
      <x:c r="B64" s="2">
        <x:v>1047103</x:v>
      </x:c>
      <x:c r="C64" s="2">
        <x:v>115196</x:v>
      </x:c>
      <x:c r="D64" s="2">
        <x:v>2977</x:v>
      </x:c>
      <x:c r="E64" s="2" t="s">
        <x:v>10</x:v>
      </x:c>
      <x:c r="F64" s="2" t="s">
        <x:v>166</x:v>
      </x:c>
      <x:c r="G64" s="2" t="s">
        <x:v>168</x:v>
      </x:c>
      <x:c r="H64" s="2" t="s">
        <x:v>107</x:v>
      </x:c>
      <x:c r="I64" s="2" t="s">
        <x:v>173</x:v>
      </x:c>
      <x:c r="J64" s="2">
        <x:v>4</x:v>
      </x:c>
      <x:c r="K64" s="2" t="s">
        <x:v>126</x:v>
      </x:c>
      <x:c r="L64" s="2" t="s">
        <x:v>110</x:v>
      </x:c>
      <x:c r="M64" s="2"/>
      <x:c r="N64" s="2">
        <x:v>5.9</x:v>
      </x:c>
      <x:c r="O64" s="2">
        <x:v>4.5999999999999996</x:v>
      </x:c>
      <x:c r="P64" s="2">
        <x:v>7.2</x:v>
      </x:c>
      <x:c r="Q64" s="2" t="s">
        <x:v>169</x:v>
      </x:c>
      <x:c r="R64" s="2">
        <x:v>5.9</x:v>
      </x:c>
      <x:c r="S64" s="2" t="s">
        <x:v>169</x:v>
      </x:c>
      <x:c r="T64" s="2"/>
      <x:c r="U64" s="2">
        <x:v>35</x:v>
      </x:c>
      <x:c r="V64" s="2"/>
      <x:c r="W64" s="2"/>
      <x:c r="X64" s="2" t="s">
        <x:v>170</x:v>
      </x:c>
      <x:c r="Y64" s="2" t="s">
        <x:v>113</x:v>
      </x:c>
      <x:c r="Z64" s="2" t="s">
        <x:v>114</x:v>
      </x:c>
    </x:row>
    <x:row r="65" ht="27">
      <x:c r="A65" s="2">
        <x:v>367</x:v>
      </x:c>
      <x:c r="B65" s="2">
        <x:v>1047105</x:v>
      </x:c>
      <x:c r="C65" s="2">
        <x:v>115198</x:v>
      </x:c>
      <x:c r="D65" s="2">
        <x:v>2977</x:v>
      </x:c>
      <x:c r="E65" s="2" t="s">
        <x:v>10</x:v>
      </x:c>
      <x:c r="F65" s="2" t="s">
        <x:v>166</x:v>
      </x:c>
      <x:c r="G65" s="2" t="s">
        <x:v>168</x:v>
      </x:c>
      <x:c r="H65" s="2" t="s">
        <x:v>107</x:v>
      </x:c>
      <x:c r="I65" s="2" t="s">
        <x:v>173</x:v>
      </x:c>
      <x:c r="J65" s="2">
        <x:v>4</x:v>
      </x:c>
      <x:c r="K65" s="2" t="s">
        <x:v>126</x:v>
      </x:c>
      <x:c r="L65" s="2" t="s">
        <x:v>110</x:v>
      </x:c>
      <x:c r="M65" s="2"/>
      <x:c r="N65" s="2">
        <x:v>6.5</x:v>
      </x:c>
      <x:c r="O65" s="2">
        <x:v>5</x:v>
      </x:c>
      <x:c r="P65" s="2">
        <x:v>8.1999999999999993</x:v>
      </x:c>
      <x:c r="Q65" s="2" t="s">
        <x:v>169</x:v>
      </x:c>
      <x:c r="R65" s="2">
        <x:v>6.5</x:v>
      </x:c>
      <x:c r="S65" s="2" t="s">
        <x:v>169</x:v>
      </x:c>
      <x:c r="T65" s="2"/>
      <x:c r="U65" s="2">
        <x:v>35</x:v>
      </x:c>
      <x:c r="V65" s="2"/>
      <x:c r="W65" s="2"/>
      <x:c r="X65" s="2" t="s">
        <x:v>170</x:v>
      </x:c>
      <x:c r="Y65" s="2" t="s">
        <x:v>113</x:v>
      </x:c>
      <x:c r="Z65" s="2" t="s">
        <x:v>114</x:v>
      </x:c>
    </x:row>
    <x:row r="66" ht="27">
      <x:c r="A66" s="2">
        <x:v>368</x:v>
      </x:c>
      <x:c r="B66" s="2">
        <x:v>1047107</x:v>
      </x:c>
      <x:c r="C66" s="2">
        <x:v>115200</x:v>
      </x:c>
      <x:c r="D66" s="2">
        <x:v>2977</x:v>
      </x:c>
      <x:c r="E66" s="2" t="s">
        <x:v>10</x:v>
      </x:c>
      <x:c r="F66" s="2" t="s">
        <x:v>166</x:v>
      </x:c>
      <x:c r="G66" s="2" t="s">
        <x:v>168</x:v>
      </x:c>
      <x:c r="H66" s="2" t="s">
        <x:v>107</x:v>
      </x:c>
      <x:c r="I66" s="2" t="s">
        <x:v>173</x:v>
      </x:c>
      <x:c r="J66" s="2">
        <x:v>4</x:v>
      </x:c>
      <x:c r="K66" s="2" t="s">
        <x:v>126</x:v>
      </x:c>
      <x:c r="L66" s="2" t="s">
        <x:v>110</x:v>
      </x:c>
      <x:c r="M66" s="2"/>
      <x:c r="N66" s="2">
        <x:v>6.2</x:v>
      </x:c>
      <x:c r="O66" s="2">
        <x:v>4.5</x:v>
      </x:c>
      <x:c r="P66" s="2">
        <x:v>7.9</x:v>
      </x:c>
      <x:c r="Q66" s="2" t="s">
        <x:v>169</x:v>
      </x:c>
      <x:c r="R66" s="2">
        <x:v>6.2</x:v>
      </x:c>
      <x:c r="S66" s="2" t="s">
        <x:v>169</x:v>
      </x:c>
      <x:c r="T66" s="2"/>
      <x:c r="U66" s="2">
        <x:v>35</x:v>
      </x:c>
      <x:c r="V66" s="2"/>
      <x:c r="W66" s="2"/>
      <x:c r="X66" s="2" t="s">
        <x:v>170</x:v>
      </x:c>
      <x:c r="Y66" s="2" t="s">
        <x:v>113</x:v>
      </x:c>
      <x:c r="Z66" s="2" t="s">
        <x:v>114</x:v>
      </x:c>
    </x:row>
    <x:row r="67" ht="27">
      <x:c r="A67" s="2">
        <x:v>369</x:v>
      </x:c>
      <x:c r="B67" s="2">
        <x:v>1134114</x:v>
      </x:c>
      <x:c r="C67" s="2">
        <x:v>107410</x:v>
      </x:c>
      <x:c r="D67" s="2">
        <x:v>10900</x:v>
      </x:c>
      <x:c r="E67" s="2" t="s">
        <x:v>10</x:v>
      </x:c>
      <x:c r="F67" s="2" t="s">
        <x:v>166</x:v>
      </x:c>
      <x:c r="G67" s="2" t="s">
        <x:v>150</x:v>
      </x:c>
      <x:c r="H67" s="2" t="s">
        <x:v>135</x:v>
      </x:c>
      <x:c r="I67" s="2" t="s">
        <x:v>159</x:v>
      </x:c>
      <x:c r="J67" s="2">
        <x:v>4</x:v>
      </x:c>
      <x:c r="K67" s="2" t="s">
        <x:v>117</x:v>
      </x:c>
      <x:c r="L67" s="2" t="s">
        <x:v>110</x:v>
      </x:c>
      <x:c r="M67" s="2"/>
      <x:c r="N67" s="2">
        <x:v>7.5</x:v>
      </x:c>
      <x:c r="O67" s="2">
        <x:v>1.5</x:v>
      </x:c>
      <x:c r="P67" s="2">
        <x:v>44.7</x:v>
      </x:c>
      <x:c r="Q67" s="2" t="s">
        <x:v>111</x:v>
      </x:c>
      <x:c r="R67" s="2">
        <x:v>7.5</x:v>
      </x:c>
      <x:c r="S67" s="2" t="s">
        <x:v>111</x:v>
      </x:c>
      <x:c r="T67" s="2">
        <x:v>15</x:v>
      </x:c>
      <x:c r="U67" s="2">
        <x:v>10</x:v>
      </x:c>
      <x:c r="V67" s="2"/>
      <x:c r="W67" s="2"/>
      <x:c r="X67" s="2" t="s">
        <x:v>160</x:v>
      </x:c>
      <x:c r="Y67" s="2" t="s">
        <x:v>113</x:v>
      </x:c>
      <x:c r="Z67" s="2" t="s">
        <x:v>114</x:v>
      </x:c>
    </x:row>
    <x:row r="68" ht="27">
      <x:c r="A68" s="2">
        <x:v>370</x:v>
      </x:c>
      <x:c r="B68" s="2">
        <x:v>1047108</x:v>
      </x:c>
      <x:c r="C68" s="2">
        <x:v>115201</x:v>
      </x:c>
      <x:c r="D68" s="2">
        <x:v>2977</x:v>
      </x:c>
      <x:c r="E68" s="2" t="s">
        <x:v>10</x:v>
      </x:c>
      <x:c r="F68" s="2" t="s">
        <x:v>166</x:v>
      </x:c>
      <x:c r="G68" s="2" t="s">
        <x:v>168</x:v>
      </x:c>
      <x:c r="H68" s="2" t="s">
        <x:v>107</x:v>
      </x:c>
      <x:c r="I68" s="2" t="str">
        <x:v>Adult</x:v>
      </x:c>
      <x:c r="J68" s="2">
        <x:v>4</x:v>
      </x:c>
      <x:c r="K68" s="2" t="s">
        <x:v>126</x:v>
      </x:c>
      <x:c r="L68" s="2" t="s">
        <x:v>110</x:v>
      </x:c>
      <x:c r="M68" s="2"/>
      <x:c r="N68" s="2">
        <x:v>12</x:v>
      </x:c>
      <x:c r="O68" s="2">
        <x:v>10</x:v>
      </x:c>
      <x:c r="P68" s="2">
        <x:v>14</x:v>
      </x:c>
      <x:c r="Q68" s="2" t="s">
        <x:v>169</x:v>
      </x:c>
      <x:c r="R68" s="2">
        <x:v>12</x:v>
      </x:c>
      <x:c r="S68" s="2" t="s">
        <x:v>169</x:v>
      </x:c>
      <x:c r="T68" s="2"/>
      <x:c r="U68" s="2">
        <x:v>35</x:v>
      </x:c>
      <x:c r="V68" s="2"/>
      <x:c r="W68" s="2"/>
      <x:c r="X68" s="2" t="s">
        <x:v>170</x:v>
      </x:c>
      <x:c r="Y68" s="2" t="s">
        <x:v>113</x:v>
      </x:c>
      <x:c r="Z68" s="2" t="s">
        <x:v>114</x:v>
      </x:c>
    </x:row>
    <x:row r="69">
      <x:c r="A69" s="2">
        <x:v>392</x:v>
      </x:c>
      <x:c r="B69" s="2">
        <x:v>1053485</x:v>
      </x:c>
      <x:c r="C69" s="2">
        <x:v>129448</x:v>
      </x:c>
      <x:c r="D69" s="2">
        <x:v>3734</x:v>
      </x:c>
      <x:c r="E69" s="2" t="s">
        <x:v>21</x:v>
      </x:c>
      <x:c r="F69" s="2" t="s">
        <x:v>174</x:v>
      </x:c>
      <x:c r="G69" s="2" t="s">
        <x:v>146</x:v>
      </x:c>
      <x:c r="H69" s="2" t="s">
        <x:v>135</x:v>
      </x:c>
      <x:c r="I69" s="2"/>
      <x:c r="J69" s="2">
        <x:v>4</x:v>
      </x:c>
      <x:c r="K69" s="2" t="s">
        <x:v>117</x:v>
      </x:c>
      <x:c r="L69" s="2" t="s">
        <x:v>110</x:v>
      </x:c>
      <x:c r="M69" s="2"/>
      <x:c r="N69" s="2">
        <x:v>1783</x:v>
      </x:c>
      <x:c r="O69" s="2">
        <x:v>1490</x:v>
      </x:c>
      <x:c r="P69" s="2">
        <x:v>2090</x:v>
      </x:c>
      <x:c r="Q69" s="2" t="s">
        <x:v>111</x:v>
      </x:c>
      <x:c r="R69" s="2">
        <x:v>1783</x:v>
      </x:c>
      <x:c r="S69" s="2" t="s">
        <x:v>111</x:v>
      </x:c>
      <x:c r="T69" s="2">
        <x:v>20</x:v>
      </x:c>
      <x:c r="U69" s="2">
        <x:v>30</x:v>
      </x:c>
      <x:c r="V69" s="2"/>
      <x:c r="W69" s="2"/>
      <x:c r="X69" s="2" t="s">
        <x:v>143</x:v>
      </x:c>
      <x:c r="Y69" s="2" t="s">
        <x:v>113</x:v>
      </x:c>
      <x:c r="Z69" s="2" t="s">
        <x:v>114</x:v>
      </x:c>
    </x:row>
    <x:row r="70">
      <x:c r="A70" s="2">
        <x:v>403</x:v>
      </x:c>
      <x:c r="B70" s="2">
        <x:v>1053484</x:v>
      </x:c>
      <x:c r="C70" s="2">
        <x:v>129447</x:v>
      </x:c>
      <x:c r="D70" s="2">
        <x:v>3734</x:v>
      </x:c>
      <x:c r="E70" s="2" t="s">
        <x:v>21</x:v>
      </x:c>
      <x:c r="F70" s="2" t="s">
        <x:v>174</x:v>
      </x:c>
      <x:c r="G70" s="2" t="s">
        <x:v>141</x:v>
      </x:c>
      <x:c r="H70" s="2" t="s">
        <x:v>135</x:v>
      </x:c>
      <x:c r="I70" s="2"/>
      <x:c r="J70" s="2">
        <x:v>4</x:v>
      </x:c>
      <x:c r="K70" s="2" t="s">
        <x:v>117</x:v>
      </x:c>
      <x:c r="L70" s="2" t="s">
        <x:v>110</x:v>
      </x:c>
      <x:c r="M70" s="2"/>
      <x:c r="N70" s="2">
        <x:v>950</x:v>
      </x:c>
      <x:c r="O70" s="2">
        <x:v>712</x:v>
      </x:c>
      <x:c r="P70" s="2">
        <x:v>1338</x:v>
      </x:c>
      <x:c r="Q70" s="2" t="s">
        <x:v>111</x:v>
      </x:c>
      <x:c r="R70" s="2">
        <x:v>950</x:v>
      </x:c>
      <x:c r="S70" s="2" t="s">
        <x:v>111</x:v>
      </x:c>
      <x:c r="T70" s="2">
        <x:v>10</x:v>
      </x:c>
      <x:c r="U70" s="2">
        <x:v>30</x:v>
      </x:c>
      <x:c r="V70" s="2"/>
      <x:c r="W70" s="2"/>
      <x:c r="X70" s="2" t="s">
        <x:v>143</x:v>
      </x:c>
      <x:c r="Y70" s="2" t="s">
        <x:v>113</x:v>
      </x:c>
      <x:c r="Z70" s="2" t="s">
        <x:v>114</x:v>
      </x:c>
    </x:row>
    <x:row r="71">
      <x:c r="A71" s="2">
        <x:v>404</x:v>
      </x:c>
      <x:c r="B71" s="2">
        <x:v>1053486</x:v>
      </x:c>
      <x:c r="C71" s="2">
        <x:v>129449</x:v>
      </x:c>
      <x:c r="D71" s="2">
        <x:v>3734</x:v>
      </x:c>
      <x:c r="E71" s="2" t="s">
        <x:v>21</x:v>
      </x:c>
      <x:c r="F71" s="2" t="s">
        <x:v>174</x:v>
      </x:c>
      <x:c r="G71" s="2" t="s">
        <x:v>150</x:v>
      </x:c>
      <x:c r="H71" s="2" t="s">
        <x:v>135</x:v>
      </x:c>
      <x:c r="I71" s="2"/>
      <x:c r="J71" s="2">
        <x:v>4</x:v>
      </x:c>
      <x:c r="K71" s="2" t="s">
        <x:v>117</x:v>
      </x:c>
      <x:c r="L71" s="2" t="s">
        <x:v>110</x:v>
      </x:c>
      <x:c r="M71" s="2"/>
      <x:c r="N71" s="2">
        <x:v>4090</x:v>
      </x:c>
      <x:c r="O71" s="2">
        <x:v>3170</x:v>
      </x:c>
      <x:c r="P71" s="2">
        <x:v>4960</x:v>
      </x:c>
      <x:c r="Q71" s="2" t="s">
        <x:v>111</x:v>
      </x:c>
      <x:c r="R71" s="2">
        <x:v>4090</x:v>
      </x:c>
      <x:c r="S71" s="2" t="s">
        <x:v>111</x:v>
      </x:c>
      <x:c r="T71" s="2">
        <x:v>20</x:v>
      </x:c>
      <x:c r="U71" s="2">
        <x:v>30</x:v>
      </x:c>
      <x:c r="V71" s="2"/>
      <x:c r="W71" s="2"/>
      <x:c r="X71" s="2" t="s">
        <x:v>143</x:v>
      </x:c>
      <x:c r="Y71" s="2" t="s">
        <x:v>113</x:v>
      </x:c>
      <x:c r="Z71" s="2" t="s">
        <x:v>114</x:v>
      </x:c>
    </x:row>
    <x:row r="72">
      <x:c r="A72" s="2">
        <x:v>405</x:v>
      </x:c>
      <x:c r="B72" s="2">
        <x:v>1053483</x:v>
      </x:c>
      <x:c r="C72" s="2">
        <x:v>129446</x:v>
      </x:c>
      <x:c r="D72" s="2">
        <x:v>3734</x:v>
      </x:c>
      <x:c r="E72" s="2" t="s">
        <x:v>21</x:v>
      </x:c>
      <x:c r="F72" s="2" t="s">
        <x:v>174</x:v>
      </x:c>
      <x:c r="G72" s="2" t="s">
        <x:v>134</x:v>
      </x:c>
      <x:c r="H72" s="2" t="s">
        <x:v>135</x:v>
      </x:c>
      <x:c r="I72" s="2"/>
      <x:c r="J72" s="2">
        <x:v>4</x:v>
      </x:c>
      <x:c r="K72" s="2" t="s">
        <x:v>117</x:v>
      </x:c>
      <x:c r="L72" s="2" t="s">
        <x:v>110</x:v>
      </x:c>
      <x:c r="M72" s="2"/>
      <x:c r="N72" s="2">
        <x:v>290</x:v>
      </x:c>
      <x:c r="O72" s="2">
        <x:v>180</x:v>
      </x:c>
      <x:c r="P72" s="2">
        <x:v>440</x:v>
      </x:c>
      <x:c r="Q72" s="2" t="s">
        <x:v>111</x:v>
      </x:c>
      <x:c r="R72" s="2">
        <x:v>290</x:v>
      </x:c>
      <x:c r="S72" s="2" t="s">
        <x:v>111</x:v>
      </x:c>
      <x:c r="T72" s="2">
        <x:v>20</x:v>
      </x:c>
      <x:c r="U72" s="2">
        <x:v>30</x:v>
      </x:c>
      <x:c r="V72" s="2"/>
      <x:c r="W72" s="2"/>
      <x:c r="X72" s="2" t="s">
        <x:v>143</x:v>
      </x:c>
      <x:c r="Y72" s="2" t="s">
        <x:v>113</x:v>
      </x:c>
      <x:c r="Z72" s="2" t="s">
        <x:v>114</x:v>
      </x:c>
    </x:row>
    <x:row r="73" ht="40.5">
      <x:c r="A73" s="2">
        <x:v>410</x:v>
      </x:c>
      <x:c r="B73" s="2">
        <x:v>2154475</x:v>
      </x:c>
      <x:c r="C73" s="2">
        <x:v>2295509</x:v>
      </x:c>
      <x:c r="D73" s="2">
        <x:v>166814</x:v>
      </x:c>
      <x:c r="E73" s="2" t="s">
        <x:v>10</x:v>
      </x:c>
      <x:c r="F73" s="2" t="s">
        <x:v>177</x:v>
      </x:c>
      <x:c r="G73" s="2" t="s">
        <x:v>182</x:v>
      </x:c>
      <x:c r="H73" s="2" t="s">
        <x:v>107</x:v>
      </x:c>
      <x:c r="I73" s="2" t="s">
        <x:v>125</x:v>
      </x:c>
      <x:c r="J73" s="2">
        <x:v>4</x:v>
      </x:c>
      <x:c r="K73" s="2" t="s">
        <x:v>117</x:v>
      </x:c>
      <x:c r="L73" s="2" t="s">
        <x:v>110</x:v>
      </x:c>
      <x:c r="M73" s="2"/>
      <x:c r="N73" s="2">
        <x:v>50</x:v>
      </x:c>
      <x:c r="O73" s="2"/>
      <x:c r="P73" s="2"/>
      <x:c r="Q73" s="2" t="s">
        <x:v>111</x:v>
      </x:c>
      <x:c r="R73" s="2">
        <x:v>50</x:v>
      </x:c>
      <x:c r="S73" s="2" t="s">
        <x:v>111</x:v>
      </x:c>
      <x:c r="T73" s="2">
        <x:v>20</x:v>
      </x:c>
      <x:c r="U73" s="2">
        <x:v>38</x:v>
      </x:c>
      <x:c r="V73" s="2"/>
      <x:c r="W73" s="2"/>
      <x:c r="X73" s="2" t="s">
        <x:v>183</x:v>
      </x:c>
      <x:c r="Y73" s="2" t="s">
        <x:v>113</x:v>
      </x:c>
      <x:c r="Z73" s="2" t="s">
        <x:v>114</x:v>
      </x:c>
    </x:row>
    <x:row r="74" ht="27">
      <x:c r="A74" s="2">
        <x:v>501</x:v>
      </x:c>
      <x:c r="B74" s="2">
        <x:v>2148070</x:v>
      </x:c>
      <x:c r="C74" s="2">
        <x:v>2282197</x:v>
      </x:c>
      <x:c r="D74" s="2">
        <x:v>169914</x:v>
      </x:c>
      <x:c r="E74" s="2" t="s">
        <x:v>10</x:v>
      </x:c>
      <x:c r="F74" s="2" t="s">
        <x:v>177</x:v>
      </x:c>
      <x:c r="G74" s="2" t="s">
        <x:v>182</x:v>
      </x:c>
      <x:c r="H74" s="2" t="s">
        <x:v>107</x:v>
      </x:c>
      <x:c r="I74" s="2" t="s">
        <x:v>125</x:v>
      </x:c>
      <x:c r="J74" s="2">
        <x:v>4</x:v>
      </x:c>
      <x:c r="K74" s="2" t="s">
        <x:v>109</x:v>
      </x:c>
      <x:c r="L74" s="2" t="s">
        <x:v>110</x:v>
      </x:c>
      <x:c r="M74" s="2"/>
      <x:c r="N74" s="2">
        <x:v>0.14000000000000001</x:v>
      </x:c>
      <x:c r="O74" s="2"/>
      <x:c r="P74" s="2"/>
      <x:c r="Q74" s="2" t="s">
        <x:v>121</x:v>
      </x:c>
      <x:c r="R74" s="2">
        <x:v>0.14000000000000001</x:v>
      </x:c>
      <x:c r="S74" s="2" t="s">
        <x:v>121</x:v>
      </x:c>
      <x:c r="T74" s="2"/>
      <x:c r="U74" s="2"/>
      <x:c r="V74" s="2"/>
      <x:c r="W74" s="2"/>
      <x:c r="X74" s="2" t="s">
        <x:v>185</x:v>
      </x:c>
      <x:c r="Y74" s="2" t="s">
        <x:v>113</x:v>
      </x:c>
      <x:c r="Z74" s="2" t="s">
        <x:v>114</x:v>
      </x:c>
    </x:row>
    <x:row r="75" ht="27">
      <x:c r="A75" s="2">
        <x:v>531</x:v>
      </x:c>
      <x:c r="B75" s="2">
        <x:v>2142112</x:v>
      </x:c>
      <x:c r="C75" s="2">
        <x:v>2267554</x:v>
      </x:c>
      <x:c r="D75" s="2">
        <x:v>166161</x:v>
      </x:c>
      <x:c r="E75" s="2" t="s">
        <x:v>10</x:v>
      </x:c>
      <x:c r="F75" s="2" t="s">
        <x:v>177</x:v>
      </x:c>
      <x:c r="G75" s="2" t="s">
        <x:v>178</x:v>
      </x:c>
      <x:c r="H75" s="2" t="s">
        <x:v>107</x:v>
      </x:c>
      <x:c r="I75" s="2" t="s">
        <x:v>108</x:v>
      </x:c>
      <x:c r="J75" s="2">
        <x:v>4</x:v>
      </x:c>
      <x:c r="K75" s="2" t="s">
        <x:v>109</x:v>
      </x:c>
      <x:c r="L75" s="2" t="s">
        <x:v>120</x:v>
      </x:c>
      <x:c r="M75" s="2"/>
      <x:c r="N75" s="2">
        <x:v>334.24</x:v>
      </x:c>
      <x:c r="O75" s="2">
        <x:v>280.60000000000002</x:v>
      </x:c>
      <x:c r="P75" s="2">
        <x:v>396.1</x:v>
      </x:c>
      <x:c r="Q75" s="2" t="s">
        <x:v>111</x:v>
      </x:c>
      <x:c r="R75" s="2">
        <x:v>334.24</x:v>
      </x:c>
      <x:c r="S75" s="2" t="s">
        <x:v>111</x:v>
      </x:c>
      <x:c r="T75" s="2"/>
      <x:c r="U75" s="2">
        <x:v>30</x:v>
      </x:c>
      <x:c r="V75" s="2"/>
      <x:c r="W75" s="2"/>
      <x:c r="X75" s="2" t="s">
        <x:v>180</x:v>
      </x:c>
      <x:c r="Y75" s="2" t="s">
        <x:v>113</x:v>
      </x:c>
      <x:c r="Z75" s="2" t="s">
        <x:v>114</x:v>
      </x:c>
    </x:row>
    <x:row r="76" ht="40.5">
      <x:c r="A76" s="2">
        <x:v>541</x:v>
      </x:c>
      <x:c r="B76" s="2">
        <x:v>1202376</x:v>
      </x:c>
      <x:c r="C76" s="2">
        <x:v>128159</x:v>
      </x:c>
      <x:c r="D76" s="2">
        <x:v>18395</x:v>
      </x:c>
      <x:c r="E76" s="2" t="s">
        <x:v>10</x:v>
      </x:c>
      <x:c r="F76" s="2" t="s">
        <x:v>177</x:v>
      </x:c>
      <x:c r="G76" s="2" t="s">
        <x:v>150</x:v>
      </x:c>
      <x:c r="H76" s="2" t="s">
        <x:v>135</x:v>
      </x:c>
      <x:c r="I76" s="2" t="s">
        <x:v>125</x:v>
      </x:c>
      <x:c r="J76" s="2">
        <x:v>4</x:v>
      </x:c>
      <x:c r="K76" s="2" t="s">
        <x:v>126</x:v>
      </x:c>
      <x:c r="L76" s="2" t="s">
        <x:v>120</x:v>
      </x:c>
      <x:c r="M76" s="2"/>
      <x:c r="N76" s="2">
        <x:v>69.400000000000006</x:v>
      </x:c>
      <x:c r="O76" s="2">
        <x:v>60.7</x:v>
      </x:c>
      <x:c r="P76" s="2">
        <x:v>79.45</x:v>
      </x:c>
      <x:c r="Q76" s="2" t="s">
        <x:v>111</x:v>
      </x:c>
      <x:c r="R76" s="2">
        <x:v>69.400000000000006</x:v>
      </x:c>
      <x:c r="S76" s="2" t="s">
        <x:v>111</x:v>
      </x:c>
      <x:c r="T76" s="2"/>
      <x:c r="U76" s="2"/>
      <x:c r="V76" s="2"/>
      <x:c r="W76" s="2"/>
      <x:c r="X76" s="2" t="s">
        <x:v>190</x:v>
      </x:c>
      <x:c r="Y76" s="2" t="s">
        <x:v>113</x:v>
      </x:c>
      <x:c r="Z76" s="2" t="s">
        <x:v>114</x:v>
      </x:c>
    </x:row>
    <x:row r="77" ht="27">
      <x:c r="A77" s="2">
        <x:v>545</x:v>
      </x:c>
      <x:c r="B77" s="2">
        <x:v>2145455</x:v>
      </x:c>
      <x:c r="C77" s="2">
        <x:v>2274198</x:v>
      </x:c>
      <x:c r="D77" s="2">
        <x:v>169337</x:v>
      </x:c>
      <x:c r="E77" s="2" t="s">
        <x:v>10</x:v>
      </x:c>
      <x:c r="F77" s="2" t="s">
        <x:v>177</x:v>
      </x:c>
      <x:c r="G77" s="2" t="s">
        <x:v>129</x:v>
      </x:c>
      <x:c r="H77" s="2" t="s">
        <x:v>107</x:v>
      </x:c>
      <x:c r="I77" s="2"/>
      <x:c r="J77" s="2">
        <x:v>4</x:v>
      </x:c>
      <x:c r="K77" s="2" t="s">
        <x:v>117</x:v>
      </x:c>
      <x:c r="L77" s="2" t="s">
        <x:v>110</x:v>
      </x:c>
      <x:c r="M77" s="2"/>
      <x:c r="N77" s="2">
        <x:v>2100</x:v>
      </x:c>
      <x:c r="O77" s="2">
        <x:v>1800</x:v>
      </x:c>
      <x:c r="P77" s="2">
        <x:v>2700</x:v>
      </x:c>
      <x:c r="Q77" s="2" t="s">
        <x:v>111</x:v>
      </x:c>
      <x:c r="R77" s="2">
        <x:v>2100</x:v>
      </x:c>
      <x:c r="S77" s="2" t="s">
        <x:v>111</x:v>
      </x:c>
      <x:c r="T77" s="2">
        <x:v>22</x:v>
      </x:c>
      <x:c r="U77" s="2">
        <x:v>7</x:v>
      </x:c>
      <x:c r="V77" s="2">
        <x:v>8.1999999999999993</x:v>
      </x:c>
      <x:c r="W77" s="2"/>
      <x:c r="X77" s="2" t="s">
        <x:v>191</x:v>
      </x:c>
      <x:c r="Y77" s="2" t="s">
        <x:v>113</x:v>
      </x:c>
      <x:c r="Z77" s="2" t="s">
        <x:v>114</x:v>
      </x:c>
    </x:row>
    <x:row r="78" ht="40.5">
      <x:c r="A78" s="2">
        <x:v>548</x:v>
      </x:c>
      <x:c r="B78" s="2">
        <x:v>2140664</x:v>
      </x:c>
      <x:c r="C78" s="2">
        <x:v>2263491</x:v>
      </x:c>
      <x:c r="D78" s="2">
        <x:v>166133</x:v>
      </x:c>
      <x:c r="E78" s="2" t="s">
        <x:v>10</x:v>
      </x:c>
      <x:c r="F78" s="2" t="s">
        <x:v>177</x:v>
      </x:c>
      <x:c r="G78" s="2" t="s">
        <x:v>134</x:v>
      </x:c>
      <x:c r="H78" s="2" t="s">
        <x:v>135</x:v>
      </x:c>
      <x:c r="I78" s="2" t="s">
        <x:v>159</x:v>
      </x:c>
      <x:c r="J78" s="2">
        <x:v>2</x:v>
      </x:c>
      <x:c r="K78" s="2" t="s">
        <x:v>126</x:v>
      </x:c>
      <x:c r="L78" s="2" t="s">
        <x:v>120</x:v>
      </x:c>
      <x:c r="M78" s="2"/>
      <x:c r="N78" s="2">
        <x:v>67.400000000000006</x:v>
      </x:c>
      <x:c r="O78" s="2">
        <x:v>43.2</x:v>
      </x:c>
      <x:c r="P78" s="2">
        <x:v>92.9</x:v>
      </x:c>
      <x:c r="Q78" s="2" t="s">
        <x:v>111</x:v>
      </x:c>
      <x:c r="R78" s="2">
        <x:v>67.400000000000006</x:v>
      </x:c>
      <x:c r="S78" s="2" t="s">
        <x:v>111</x:v>
      </x:c>
      <x:c r="T78" s="2">
        <x:v>20</x:v>
      </x:c>
      <x:c r="U78" s="2">
        <x:v>15</x:v>
      </x:c>
      <x:c r="V78" s="2">
        <x:v>7.21</x:v>
      </x:c>
      <x:c r="W78" s="2">
        <x:v>0.1</x:v>
      </x:c>
      <x:c r="X78" s="2" t="s">
        <x:v>188</x:v>
      </x:c>
      <x:c r="Y78" s="2" t="s">
        <x:v>113</x:v>
      </x:c>
      <x:c r="Z78" s="2" t="s">
        <x:v>114</x:v>
      </x:c>
    </x:row>
    <x:row r="79" ht="27">
      <x:c r="A79" s="2">
        <x:v>552</x:v>
      </x:c>
      <x:c r="B79" s="2">
        <x:v>1312979</x:v>
      </x:c>
      <x:c r="C79" s="2">
        <x:v>770475</x:v>
      </x:c>
      <x:c r="D79" s="2">
        <x:v>107036</x:v>
      </x:c>
      <x:c r="E79" s="2" t="s">
        <x:v>10</x:v>
      </x:c>
      <x:c r="F79" s="2" t="s">
        <x:v>177</x:v>
      </x:c>
      <x:c r="G79" s="2" t="s">
        <x:v>150</x:v>
      </x:c>
      <x:c r="H79" s="2" t="s">
        <x:v>135</x:v>
      </x:c>
      <x:c r="I79" s="2" t="s">
        <x:v>125</x:v>
      </x:c>
      <x:c r="J79" s="2">
        <x:v>4</x:v>
      </x:c>
      <x:c r="K79" s="2" t="s">
        <x:v>117</x:v>
      </x:c>
      <x:c r="L79" s="2" t="s">
        <x:v>120</x:v>
      </x:c>
      <x:c r="M79" s="2"/>
      <x:c r="N79" s="2">
        <x:v>104</x:v>
      </x:c>
      <x:c r="O79" s="2">
        <x:v>94.2</x:v>
      </x:c>
      <x:c r="P79" s="2">
        <x:v>109</x:v>
      </x:c>
      <x:c r="Q79" s="2" t="s">
        <x:v>111</x:v>
      </x:c>
      <x:c r="R79" s="2">
        <x:v>104</x:v>
      </x:c>
      <x:c r="S79" s="2" t="s">
        <x:v>111</x:v>
      </x:c>
      <x:c r="T79" s="2"/>
      <x:c r="U79" s="2">
        <x:v>5</x:v>
      </x:c>
      <x:c r="V79" s="2"/>
      <x:c r="W79" s="2"/>
      <x:c r="X79" s="2" t="s">
        <x:v>186</x:v>
      </x:c>
      <x:c r="Y79" s="2" t="s">
        <x:v>113</x:v>
      </x:c>
      <x:c r="Z79" s="2" t="s">
        <x:v>114</x:v>
      </x:c>
    </x:row>
    <x:row r="80" ht="40.5">
      <x:c r="A80" s="2">
        <x:v>562</x:v>
      </x:c>
      <x:c r="B80" s="2">
        <x:v>1202375</x:v>
      </x:c>
      <x:c r="C80" s="2">
        <x:v>76832</x:v>
      </x:c>
      <x:c r="D80" s="2">
        <x:v>18395</x:v>
      </x:c>
      <x:c r="E80" s="2" t="s">
        <x:v>10</x:v>
      </x:c>
      <x:c r="F80" s="2" t="s">
        <x:v>177</x:v>
      </x:c>
      <x:c r="G80" s="2" t="s">
        <x:v>150</x:v>
      </x:c>
      <x:c r="H80" s="2" t="s">
        <x:v>135</x:v>
      </x:c>
      <x:c r="I80" s="2" t="s">
        <x:v>125</x:v>
      </x:c>
      <x:c r="J80" s="2">
        <x:v>2</x:v>
      </x:c>
      <x:c r="K80" s="2" t="s">
        <x:v>117</x:v>
      </x:c>
      <x:c r="L80" s="2" t="s">
        <x:v>120</x:v>
      </x:c>
      <x:c r="M80" s="2"/>
      <x:c r="N80" s="2">
        <x:v>83</x:v>
      </x:c>
      <x:c r="O80" s="2">
        <x:v>75.31</x:v>
      </x:c>
      <x:c r="P80" s="2">
        <x:v>91.68</x:v>
      </x:c>
      <x:c r="Q80" s="2" t="s">
        <x:v>111</x:v>
      </x:c>
      <x:c r="R80" s="2">
        <x:v>83</x:v>
      </x:c>
      <x:c r="S80" s="2" t="s">
        <x:v>111</x:v>
      </x:c>
      <x:c r="T80" s="2"/>
      <x:c r="U80" s="2">
        <x:v>14</x:v>
      </x:c>
      <x:c r="V80" s="2"/>
      <x:c r="W80" s="2"/>
      <x:c r="X80" s="2" t="s">
        <x:v>190</x:v>
      </x:c>
      <x:c r="Y80" s="2" t="s">
        <x:v>113</x:v>
      </x:c>
      <x:c r="Z80" s="2" t="s">
        <x:v>114</x:v>
      </x:c>
    </x:row>
    <x:row r="81" ht="40.5">
      <x:c r="A81" s="2">
        <x:v>567</x:v>
      </x:c>
      <x:c r="B81" s="2">
        <x:v>1300832</x:v>
      </x:c>
      <x:c r="C81" s="2">
        <x:v>756507</x:v>
      </x:c>
      <x:c r="D81" s="2">
        <x:v>115854</x:v>
      </x:c>
      <x:c r="E81" s="2" t="s">
        <x:v>10</x:v>
      </x:c>
      <x:c r="F81" s="2" t="s">
        <x:v>177</x:v>
      </x:c>
      <x:c r="G81" s="2" t="s">
        <x:v>106</x:v>
      </x:c>
      <x:c r="H81" s="2" t="s">
        <x:v>107</x:v>
      </x:c>
      <x:c r="I81" s="2" t="s">
        <x:v>108</x:v>
      </x:c>
      <x:c r="J81" s="2">
        <x:v>4</x:v>
      </x:c>
      <x:c r="K81" s="2" t="s">
        <x:v>109</x:v>
      </x:c>
      <x:c r="L81" s="2" t="s">
        <x:v>110</x:v>
      </x:c>
      <x:c r="M81" s="2"/>
      <x:c r="N81" s="2">
        <x:v>813</x:v>
      </x:c>
      <x:c r="O81" s="2"/>
      <x:c r="P81" s="2"/>
      <x:c r="Q81" s="2" t="s">
        <x:v>111</x:v>
      </x:c>
      <x:c r="R81" s="2">
        <x:v>813</x:v>
      </x:c>
      <x:c r="S81" s="2" t="s">
        <x:v>111</x:v>
      </x:c>
      <x:c r="T81" s="2">
        <x:v>25</x:v>
      </x:c>
      <x:c r="U81" s="2">
        <x:v>33</x:v>
      </x:c>
      <x:c r="V81" s="2"/>
      <x:c r="W81" s="2"/>
      <x:c r="X81" s="2" t="s">
        <x:v>112</x:v>
      </x:c>
      <x:c r="Y81" s="2" t="s">
        <x:v>113</x:v>
      </x:c>
      <x:c r="Z81" s="2" t="s">
        <x:v>114</x:v>
      </x:c>
    </x:row>
    <x:row r="82" ht="27">
      <x:c r="A82" s="2">
        <x:v>576</x:v>
      </x:c>
      <x:c r="B82" s="2">
        <x:v>1312981</x:v>
      </x:c>
      <x:c r="C82" s="2">
        <x:v>770477</x:v>
      </x:c>
      <x:c r="D82" s="2">
        <x:v>107036</x:v>
      </x:c>
      <x:c r="E82" s="2" t="s">
        <x:v>10</x:v>
      </x:c>
      <x:c r="F82" s="2" t="s">
        <x:v>177</x:v>
      </x:c>
      <x:c r="G82" s="2" t="s">
        <x:v>150</x:v>
      </x:c>
      <x:c r="H82" s="2" t="s">
        <x:v>135</x:v>
      </x:c>
      <x:c r="I82" s="2" t="s">
        <x:v>125</x:v>
      </x:c>
      <x:c r="J82" s="2">
        <x:v>4</x:v>
      </x:c>
      <x:c r="K82" s="2" t="s">
        <x:v>117</x:v>
      </x:c>
      <x:c r="L82" s="2" t="s">
        <x:v>120</x:v>
      </x:c>
      <x:c r="M82" s="2"/>
      <x:c r="N82" s="2">
        <x:v>58.1</x:v>
      </x:c>
      <x:c r="O82" s="2">
        <x:v>52</x:v>
      </x:c>
      <x:c r="P82" s="2">
        <x:v>64.900000000000006</x:v>
      </x:c>
      <x:c r="Q82" s="2" t="s">
        <x:v>111</x:v>
      </x:c>
      <x:c r="R82" s="2">
        <x:v>58.1</x:v>
      </x:c>
      <x:c r="S82" s="2" t="s">
        <x:v>111</x:v>
      </x:c>
      <x:c r="T82" s="2">
        <x:v>25</x:v>
      </x:c>
      <x:c r="U82" s="2">
        <x:v>25</x:v>
      </x:c>
      <x:c r="V82" s="2"/>
      <x:c r="W82" s="2"/>
      <x:c r="X82" s="2" t="s">
        <x:v>186</x:v>
      </x:c>
      <x:c r="Y82" s="2" t="s">
        <x:v>113</x:v>
      </x:c>
      <x:c r="Z82" s="2" t="s">
        <x:v>114</x:v>
      </x:c>
    </x:row>
    <x:row r="83" ht="40.5">
      <x:c r="A83" s="2">
        <x:v>577</x:v>
      </x:c>
      <x:c r="B83" s="2">
        <x:v>2140665</x:v>
      </x:c>
      <x:c r="C83" s="2">
        <x:v>2263492</x:v>
      </x:c>
      <x:c r="D83" s="2">
        <x:v>166133</x:v>
      </x:c>
      <x:c r="E83" s="2" t="s">
        <x:v>10</x:v>
      </x:c>
      <x:c r="F83" s="2" t="s">
        <x:v>177</x:v>
      </x:c>
      <x:c r="G83" s="2" t="s">
        <x:v>134</x:v>
      </x:c>
      <x:c r="H83" s="2" t="s">
        <x:v>135</x:v>
      </x:c>
      <x:c r="I83" s="2" t="s">
        <x:v>159</x:v>
      </x:c>
      <x:c r="J83" s="2">
        <x:v>2</x:v>
      </x:c>
      <x:c r="K83" s="2" t="s">
        <x:v>126</x:v>
      </x:c>
      <x:c r="L83" s="2" t="s">
        <x:v>120</x:v>
      </x:c>
      <x:c r="M83" s="2"/>
      <x:c r="N83" s="2">
        <x:v>108.7</x:v>
      </x:c>
      <x:c r="O83" s="2">
        <x:v>79.3</x:v>
      </x:c>
      <x:c r="P83" s="2">
        <x:v>128.19999999999999</x:v>
      </x:c>
      <x:c r="Q83" s="2" t="s">
        <x:v>111</x:v>
      </x:c>
      <x:c r="R83" s="2">
        <x:v>108.7</x:v>
      </x:c>
      <x:c r="S83" s="2" t="s">
        <x:v>111</x:v>
      </x:c>
      <x:c r="T83" s="2">
        <x:v>20</x:v>
      </x:c>
      <x:c r="U83" s="2">
        <x:v>30</x:v>
      </x:c>
      <x:c r="V83" s="2">
        <x:v>7.49</x:v>
      </x:c>
      <x:c r="W83" s="2">
        <x:v>0.1</x:v>
      </x:c>
      <x:c r="X83" s="2" t="s">
        <x:v>188</x:v>
      </x:c>
      <x:c r="Y83" s="2" t="s">
        <x:v>113</x:v>
      </x:c>
      <x:c r="Z83" s="2" t="s">
        <x:v>114</x:v>
      </x:c>
    </x:row>
    <x:row r="84" ht="40.5">
      <x:c r="A84" s="2">
        <x:v>584</x:v>
      </x:c>
      <x:c r="B84" s="2">
        <x:v>2140661</x:v>
      </x:c>
      <x:c r="C84" s="2">
        <x:v>2263489</x:v>
      </x:c>
      <x:c r="D84" s="2">
        <x:v>166133</x:v>
      </x:c>
      <x:c r="E84" s="2" t="s">
        <x:v>10</x:v>
      </x:c>
      <x:c r="F84" s="2" t="s">
        <x:v>177</x:v>
      </x:c>
      <x:c r="G84" s="2" t="s">
        <x:v>134</x:v>
      </x:c>
      <x:c r="H84" s="2" t="s">
        <x:v>135</x:v>
      </x:c>
      <x:c r="I84" s="2" t="s">
        <x:v>159</x:v>
      </x:c>
      <x:c r="J84" s="2">
        <x:v>2</x:v>
      </x:c>
      <x:c r="K84" s="2" t="s">
        <x:v>126</x:v>
      </x:c>
      <x:c r="L84" s="2" t="s">
        <x:v>120</x:v>
      </x:c>
      <x:c r="M84" s="2"/>
      <x:c r="N84" s="2">
        <x:v>41.8</x:v>
      </x:c>
      <x:c r="O84" s="2">
        <x:v>33.200000000000003</x:v>
      </x:c>
      <x:c r="P84" s="2">
        <x:v>52.2</x:v>
      </x:c>
      <x:c r="Q84" s="2" t="s">
        <x:v>111</x:v>
      </x:c>
      <x:c r="R84" s="2">
        <x:v>41.8</x:v>
      </x:c>
      <x:c r="S84" s="2" t="s">
        <x:v>111</x:v>
      </x:c>
      <x:c r="T84" s="2">
        <x:v>20</x:v>
      </x:c>
      <x:c r="U84" s="2">
        <x:v>5</x:v>
      </x:c>
      <x:c r="V84" s="2">
        <x:v>6.88</x:v>
      </x:c>
      <x:c r="W84" s="2">
        <x:v>0.1</x:v>
      </x:c>
      <x:c r="X84" s="2" t="s">
        <x:v>188</x:v>
      </x:c>
      <x:c r="Y84" s="2" t="s">
        <x:v>113</x:v>
      </x:c>
      <x:c r="Z84" s="2" t="s">
        <x:v>114</x:v>
      </x:c>
    </x:row>
    <x:row r="85">
      <x:c r="A85" s="2">
        <x:v>588</x:v>
      </x:c>
      <x:c r="B85" s="2">
        <x:v>1193934</x:v>
      </x:c>
      <x:c r="C85" s="2">
        <x:v>181507</x:v>
      </x:c>
      <x:c r="D85" s="2">
        <x:v>17398</x:v>
      </x:c>
      <x:c r="E85" s="2" t="s">
        <x:v>10</x:v>
      </x:c>
      <x:c r="F85" s="2" t="s">
        <x:v>177</x:v>
      </x:c>
      <x:c r="G85" s="2" t="s">
        <x:v>134</x:v>
      </x:c>
      <x:c r="H85" s="2" t="s">
        <x:v>135</x:v>
      </x:c>
      <x:c r="I85" s="2"/>
      <x:c r="J85" s="2">
        <x:v>4</x:v>
      </x:c>
      <x:c r="K85" s="2" t="s">
        <x:v>117</x:v>
      </x:c>
      <x:c r="L85" s="2" t="s">
        <x:v>110</x:v>
      </x:c>
      <x:c r="M85" s="2"/>
      <x:c r="N85" s="2">
        <x:v>10</x:v>
      </x:c>
      <x:c r="O85" s="2"/>
      <x:c r="P85" s="2"/>
      <x:c r="Q85" s="2" t="s">
        <x:v>111</x:v>
      </x:c>
      <x:c r="R85" s="2">
        <x:v>10</x:v>
      </x:c>
      <x:c r="S85" s="2" t="s">
        <x:v>111</x:v>
      </x:c>
      <x:c r="T85" s="2"/>
      <x:c r="U85" s="2"/>
      <x:c r="V85" s="2"/>
      <x:c r="W85" s="2"/>
      <x:c r="X85" s="2" t="s">
        <x:v>192</x:v>
      </x:c>
      <x:c r="Y85" s="2" t="s">
        <x:v>113</x:v>
      </x:c>
      <x:c r="Z85" s="2" t="s">
        <x:v>114</x:v>
      </x:c>
    </x:row>
    <x:row r="86" ht="27">
      <x:c r="A86" s="2">
        <x:v>590</x:v>
      </x:c>
      <x:c r="B86" s="2">
        <x:v>1312980</x:v>
      </x:c>
      <x:c r="C86" s="2">
        <x:v>770476</x:v>
      </x:c>
      <x:c r="D86" s="2">
        <x:v>107036</x:v>
      </x:c>
      <x:c r="E86" s="2" t="s">
        <x:v>10</x:v>
      </x:c>
      <x:c r="F86" s="2" t="s">
        <x:v>177</x:v>
      </x:c>
      <x:c r="G86" s="2" t="s">
        <x:v>150</x:v>
      </x:c>
      <x:c r="H86" s="2" t="s">
        <x:v>135</x:v>
      </x:c>
      <x:c r="I86" s="2" t="s">
        <x:v>125</x:v>
      </x:c>
      <x:c r="J86" s="2">
        <x:v>4</x:v>
      </x:c>
      <x:c r="K86" s="2" t="s">
        <x:v>117</x:v>
      </x:c>
      <x:c r="L86" s="2" t="s">
        <x:v>120</x:v>
      </x:c>
      <x:c r="M86" s="2"/>
      <x:c r="N86" s="2">
        <x:v>67.599999999999994</x:v>
      </x:c>
      <x:c r="O86" s="2">
        <x:v>55.1</x:v>
      </x:c>
      <x:c r="P86" s="2">
        <x:v>82.9</x:v>
      </x:c>
      <x:c r="Q86" s="2" t="s">
        <x:v>111</x:v>
      </x:c>
      <x:c r="R86" s="2">
        <x:v>67.599999999999994</x:v>
      </x:c>
      <x:c r="S86" s="2" t="s">
        <x:v>111</x:v>
      </x:c>
      <x:c r="T86" s="2"/>
      <x:c r="U86" s="2">
        <x:v>15</x:v>
      </x:c>
      <x:c r="V86" s="2"/>
      <x:c r="W86" s="2"/>
      <x:c r="X86" s="2" t="s">
        <x:v>186</x:v>
      </x:c>
      <x:c r="Y86" s="2" t="s">
        <x:v>113</x:v>
      </x:c>
      <x:c r="Z86" s="2" t="s">
        <x:v>114</x:v>
      </x:c>
    </x:row>
    <x:row r="87" ht="40.5">
      <x:c r="A87" s="2">
        <x:v>600</x:v>
      </x:c>
      <x:c r="B87" s="2">
        <x:v>1078445</x:v>
      </x:c>
      <x:c r="C87" s="2">
        <x:v>130922</x:v>
      </x:c>
      <x:c r="D87" s="2">
        <x:v>6045</x:v>
      </x:c>
      <x:c r="E87" s="2" t="s">
        <x:v>39</x:v>
      </x:c>
      <x:c r="F87" s="2" t="s">
        <x:v>193</x:v>
      </x:c>
      <x:c r="G87" s="2" t="s">
        <x:v>194</x:v>
      </x:c>
      <x:c r="H87" s="2" t="s">
        <x:v>135</x:v>
      </x:c>
      <x:c r="I87" s="2"/>
      <x:c r="J87" s="2">
        <x:v>1</x:v>
      </x:c>
      <x:c r="K87" s="2" t="s">
        <x:v>117</x:v>
      </x:c>
      <x:c r="L87" s="2" t="s">
        <x:v>110</x:v>
      </x:c>
      <x:c r="M87" s="2"/>
      <x:c r="N87" s="2">
        <x:v>50</x:v>
      </x:c>
      <x:c r="O87" s="2"/>
      <x:c r="P87" s="2"/>
      <x:c r="Q87" s="2" t="s">
        <x:v>195</x:v>
      </x:c>
      <x:c r="R87" s="2">
        <x:v>50</x:v>
      </x:c>
      <x:c r="S87" s="2" t="s">
        <x:v>195</x:v>
      </x:c>
      <x:c r="T87" s="2"/>
      <x:c r="U87" s="2"/>
      <x:c r="V87" s="2"/>
      <x:c r="W87" s="2"/>
      <x:c r="X87" s="2" t="s">
        <x:v>196</x:v>
      </x:c>
      <x:c r="Y87" s="2" t="s">
        <x:v>113</x:v>
      </x:c>
      <x:c r="Z87" s="2" t="s">
        <x:v>114</x:v>
      </x:c>
    </x:row>
    <x:row r="88" ht="40.5">
      <x:c r="A88" s="2">
        <x:v>745</x:v>
      </x:c>
      <x:c r="B88" s="2">
        <x:v>1078444</x:v>
      </x:c>
      <x:c r="C88" s="2">
        <x:v>130921</x:v>
      </x:c>
      <x:c r="D88" s="2">
        <x:v>6045</x:v>
      </x:c>
      <x:c r="E88" s="2" t="s">
        <x:v>39</x:v>
      </x:c>
      <x:c r="F88" s="2" t="s">
        <x:v>193</x:v>
      </x:c>
      <x:c r="G88" s="2" t="s">
        <x:v>197</x:v>
      </x:c>
      <x:c r="H88" s="2" t="s">
        <x:v>135</x:v>
      </x:c>
      <x:c r="I88" s="2"/>
      <x:c r="J88" s="2">
        <x:v>1</x:v>
      </x:c>
      <x:c r="K88" s="2" t="s">
        <x:v>117</x:v>
      </x:c>
      <x:c r="L88" s="2" t="s">
        <x:v>110</x:v>
      </x:c>
      <x:c r="M88" s="2"/>
      <x:c r="N88" s="2">
        <x:v>31</x:v>
      </x:c>
      <x:c r="O88" s="2"/>
      <x:c r="P88" s="2"/>
      <x:c r="Q88" s="2" t="s">
        <x:v>195</x:v>
      </x:c>
      <x:c r="R88" s="2">
        <x:v>31</x:v>
      </x:c>
      <x:c r="S88" s="2" t="s">
        <x:v>195</x:v>
      </x:c>
      <x:c r="T88" s="2"/>
      <x:c r="U88" s="2"/>
      <x:c r="V88" s="2"/>
      <x:c r="W88" s="2"/>
      <x:c r="X88" s="2" t="s">
        <x:v>196</x:v>
      </x:c>
      <x:c r="Y88" s="2" t="s">
        <x:v>113</x:v>
      </x:c>
      <x:c r="Z88" s="2" t="s">
        <x:v>114</x:v>
      </x:c>
    </x:row>
    <x:row r="89">
      <x:c r="A89" s="2">
        <x:v>785</x:v>
      </x:c>
      <x:c r="B89" s="2">
        <x:v>1035611</x:v>
      </x:c>
      <x:c r="C89" s="2">
        <x:v>29495</x:v>
      </x:c>
      <x:c r="D89" s="2">
        <x:v>2183</x:v>
      </x:c>
      <x:c r="E89" s="2" t="s">
        <x:v>39</x:v>
      </x:c>
      <x:c r="F89" s="2" t="s">
        <x:v>193</x:v>
      </x:c>
      <x:c r="G89" s="2" t="s">
        <x:v>129</x:v>
      </x:c>
      <x:c r="H89" s="2" t="s">
        <x:v>107</x:v>
      </x:c>
      <x:c r="I89" s="2" t="s">
        <x:v>108</x:v>
      </x:c>
      <x:c r="J89" s="2">
        <x:v>4</x:v>
      </x:c>
      <x:c r="K89" s="2" t="s">
        <x:v>117</x:v>
      </x:c>
      <x:c r="L89" s="2" t="s">
        <x:v>110</x:v>
      </x:c>
      <x:c r="M89" s="2"/>
      <x:c r="N89" s="2">
        <x:v>230</x:v>
      </x:c>
      <x:c r="O89" s="2">
        <x:v>180</x:v>
      </x:c>
      <x:c r="P89" s="2">
        <x:v>290</x:v>
      </x:c>
      <x:c r="Q89" s="2" t="s">
        <x:v>111</x:v>
      </x:c>
      <x:c r="R89" s="2">
        <x:v>230</x:v>
      </x:c>
      <x:c r="S89" s="2" t="s">
        <x:v>111</x:v>
      </x:c>
      <x:c r="T89" s="2">
        <x:v>20</x:v>
      </x:c>
      <x:c r="U89" s="2">
        <x:v>7</x:v>
      </x:c>
      <x:c r="V89" s="2">
        <x:v>8</x:v>
      </x:c>
      <x:c r="W89" s="2"/>
      <x:c r="X89" s="2" t="s">
        <x:v>130</x:v>
      </x:c>
      <x:c r="Y89" s="2" t="s">
        <x:v>113</x:v>
      </x:c>
      <x:c r="Z89" s="2" t="s">
        <x:v>114</x:v>
      </x:c>
    </x:row>
    <x:row r="90" ht="40.5">
      <x:c r="A90" s="2">
        <x:v>788</x:v>
      </x:c>
      <x:c r="B90" s="2">
        <x:v>1078429</x:v>
      </x:c>
      <x:c r="C90" s="2">
        <x:v>100481</x:v>
      </x:c>
      <x:c r="D90" s="2">
        <x:v>6045</x:v>
      </x:c>
      <x:c r="E90" s="2" t="s">
        <x:v>39</x:v>
      </x:c>
      <x:c r="F90" s="2" t="s">
        <x:v>193</x:v>
      </x:c>
      <x:c r="G90" s="2" t="s">
        <x:v>134</x:v>
      </x:c>
      <x:c r="H90" s="2" t="s">
        <x:v>135</x:v>
      </x:c>
      <x:c r="I90" s="2" t="s">
        <x:v>125</x:v>
      </x:c>
      <x:c r="J90" s="2">
        <x:v>1</x:v>
      </x:c>
      <x:c r="K90" s="2" t="s">
        <x:v>117</x:v>
      </x:c>
      <x:c r="L90" s="2" t="s">
        <x:v>110</x:v>
      </x:c>
      <x:c r="M90" s="2"/>
      <x:c r="N90" s="2">
        <x:v>3</x:v>
      </x:c>
      <x:c r="O90" s="2"/>
      <x:c r="P90" s="2"/>
      <x:c r="Q90" s="2" t="s">
        <x:v>195</x:v>
      </x:c>
      <x:c r="R90" s="2">
        <x:v>3</x:v>
      </x:c>
      <x:c r="S90" s="2" t="s">
        <x:v>195</x:v>
      </x:c>
      <x:c r="T90" s="2"/>
      <x:c r="U90" s="2"/>
      <x:c r="V90" s="2"/>
      <x:c r="W90" s="2"/>
      <x:c r="X90" s="2" t="s">
        <x:v>196</x:v>
      </x:c>
      <x:c r="Y90" s="2" t="s">
        <x:v>113</x:v>
      </x:c>
      <x:c r="Z90" s="2" t="s">
        <x:v>114</x:v>
      </x:c>
    </x:row>
    <x:row r="91" ht="40.5">
      <x:c r="A91" s="2">
        <x:v>789</x:v>
      </x:c>
      <x:c r="B91" s="2">
        <x:v>1078428</x:v>
      </x:c>
      <x:c r="C91" s="2">
        <x:v>94768</x:v>
      </x:c>
      <x:c r="D91" s="2">
        <x:v>6045</x:v>
      </x:c>
      <x:c r="E91" s="2" t="s">
        <x:v>39</x:v>
      </x:c>
      <x:c r="F91" s="2" t="s">
        <x:v>193</x:v>
      </x:c>
      <x:c r="G91" s="2" t="s">
        <x:v>134</x:v>
      </x:c>
      <x:c r="H91" s="2" t="s">
        <x:v>135</x:v>
      </x:c>
      <x:c r="I91" s="2" t="s">
        <x:v>108</x:v>
      </x:c>
      <x:c r="J91" s="2">
        <x:v>1</x:v>
      </x:c>
      <x:c r="K91" s="2" t="s">
        <x:v>117</x:v>
      </x:c>
      <x:c r="L91" s="2" t="s">
        <x:v>110</x:v>
      </x:c>
      <x:c r="M91" s="2"/>
      <x:c r="N91" s="2">
        <x:v>34</x:v>
      </x:c>
      <x:c r="O91" s="2"/>
      <x:c r="P91" s="2"/>
      <x:c r="Q91" s="2" t="s">
        <x:v>195</x:v>
      </x:c>
      <x:c r="R91" s="2">
        <x:v>34</x:v>
      </x:c>
      <x:c r="S91" s="2" t="s">
        <x:v>195</x:v>
      </x:c>
      <x:c r="T91" s="2"/>
      <x:c r="U91" s="2"/>
      <x:c r="V91" s="2"/>
      <x:c r="W91" s="2"/>
      <x:c r="X91" s="2" t="s">
        <x:v>196</x:v>
      </x:c>
      <x:c r="Y91" s="2" t="s">
        <x:v>113</x:v>
      </x:c>
      <x:c r="Z91" s="2" t="s">
        <x:v>114</x:v>
      </x:c>
    </x:row>
    <x:row r="92" ht="27">
      <x:c r="A92" s="2">
        <x:v>807</x:v>
      </x:c>
      <x:c r="B92" s="2">
        <x:v>1070631</x:v>
      </x:c>
      <x:c r="C92" s="2">
        <x:v>12736</x:v>
      </x:c>
      <x:c r="D92" s="2">
        <x:v>5563</x:v>
      </x:c>
      <x:c r="E92" s="2" t="s">
        <x:v>21</x:v>
      </x:c>
      <x:c r="F92" s="2" t="s">
        <x:v>198</x:v>
      </x:c>
      <x:c r="G92" s="2" t="s">
        <x:v>199</x:v>
      </x:c>
      <x:c r="H92" s="2" t="s">
        <x:v>107</x:v>
      </x:c>
      <x:c r="I92" s="2" t="s">
        <x:v>159</x:v>
      </x:c>
      <x:c r="J92" s="2">
        <x:v>1</x:v>
      </x:c>
      <x:c r="K92" s="2" t="s">
        <x:v>117</x:v>
      </x:c>
      <x:c r="L92" s="2" t="s">
        <x:v>110</x:v>
      </x:c>
      <x:c r="M92" s="2"/>
      <x:c r="N92" s="2">
        <x:v>1090</x:v>
      </x:c>
      <x:c r="O92" s="2">
        <x:v>900</x:v>
      </x:c>
      <x:c r="P92" s="2">
        <x:v>1290</x:v>
      </x:c>
      <x:c r="Q92" s="2" t="s">
        <x:v>111</x:v>
      </x:c>
      <x:c r="R92" s="2">
        <x:v>1090</x:v>
      </x:c>
      <x:c r="S92" s="2" t="s">
        <x:v>111</x:v>
      </x:c>
      <x:c r="T92" s="2">
        <x:v>17</x:v>
      </x:c>
      <x:c r="U92" s="2"/>
      <x:c r="V92" s="2"/>
      <x:c r="W92" s="2"/>
      <x:c r="X92" s="2" t="s">
        <x:v>200</x:v>
      </x:c>
      <x:c r="Y92" s="2" t="s">
        <x:v>113</x:v>
      </x:c>
      <x:c r="Z92" s="2" t="s">
        <x:v>114</x:v>
      </x:c>
    </x:row>
    <x:row r="93" ht="27">
      <x:c r="A93" s="2">
        <x:v>818</x:v>
      </x:c>
      <x:c r="B93" s="2">
        <x:v>1053651</x:v>
      </x:c>
      <x:c r="C93" s="2">
        <x:v>133692</x:v>
      </x:c>
      <x:c r="D93" s="2">
        <x:v>3744</x:v>
      </x:c>
      <x:c r="E93" s="2" t="s">
        <x:v>21</x:v>
      </x:c>
      <x:c r="F93" s="2" t="s">
        <x:v>198</x:v>
      </x:c>
      <x:c r="G93" s="2" t="s">
        <x:v>146</x:v>
      </x:c>
      <x:c r="H93" s="2" t="s">
        <x:v>135</x:v>
      </x:c>
      <x:c r="I93" s="2" t="s">
        <x:v>108</x:v>
      </x:c>
      <x:c r="J93" s="2">
        <x:v>3</x:v>
      </x:c>
      <x:c r="K93" s="2" t="s">
        <x:v>117</x:v>
      </x:c>
      <x:c r="L93" s="2" t="s">
        <x:v>110</x:v>
      </x:c>
      <x:c r="M93" s="2"/>
      <x:c r="N93" s="2">
        <x:v>3150</x:v>
      </x:c>
      <x:c r="O93" s="2">
        <x:v>2475</x:v>
      </x:c>
      <x:c r="P93" s="2">
        <x:v>4142</x:v>
      </x:c>
      <x:c r="Q93" s="2" t="s">
        <x:v>111</x:v>
      </x:c>
      <x:c r="R93" s="2">
        <x:v>3150</x:v>
      </x:c>
      <x:c r="S93" s="2" t="s">
        <x:v>111</x:v>
      </x:c>
      <x:c r="T93" s="2">
        <x:v>15</x:v>
      </x:c>
      <x:c r="U93" s="2">
        <x:v>30</x:v>
      </x:c>
      <x:c r="V93" s="2"/>
      <x:c r="W93" s="2"/>
      <x:c r="X93" s="2" t="s">
        <x:v>201</x:v>
      </x:c>
      <x:c r="Y93" s="2" t="s">
        <x:v>113</x:v>
      </x:c>
      <x:c r="Z93" s="2" t="s">
        <x:v>114</x:v>
      </x:c>
    </x:row>
    <x:row r="94" ht="27">
      <x:c r="A94" s="2">
        <x:v>822</x:v>
      </x:c>
      <x:c r="B94" s="2">
        <x:v>1053652</x:v>
      </x:c>
      <x:c r="C94" s="2">
        <x:v>133693</x:v>
      </x:c>
      <x:c r="D94" s="2">
        <x:v>3744</x:v>
      </x:c>
      <x:c r="E94" s="2" t="s">
        <x:v>21</x:v>
      </x:c>
      <x:c r="F94" s="2" t="s">
        <x:v>198</x:v>
      </x:c>
      <x:c r="G94" s="2" t="s">
        <x:v>146</x:v>
      </x:c>
      <x:c r="H94" s="2" t="s">
        <x:v>135</x:v>
      </x:c>
      <x:c r="I94" s="2" t="s">
        <x:v>108</x:v>
      </x:c>
      <x:c r="J94" s="2">
        <x:v>4</x:v>
      </x:c>
      <x:c r="K94" s="2" t="s">
        <x:v>117</x:v>
      </x:c>
      <x:c r="L94" s="2" t="s">
        <x:v>110</x:v>
      </x:c>
      <x:c r="M94" s="2"/>
      <x:c r="N94" s="2">
        <x:v>1783</x:v>
      </x:c>
      <x:c r="O94" s="2"/>
      <x:c r="P94" s="2"/>
      <x:c r="Q94" s="2" t="s">
        <x:v>111</x:v>
      </x:c>
      <x:c r="R94" s="2">
        <x:v>1783</x:v>
      </x:c>
      <x:c r="S94" s="2" t="s">
        <x:v>111</x:v>
      </x:c>
      <x:c r="T94" s="2">
        <x:v>15</x:v>
      </x:c>
      <x:c r="U94" s="2">
        <x:v>30</x:v>
      </x:c>
      <x:c r="V94" s="2"/>
      <x:c r="W94" s="2"/>
      <x:c r="X94" s="2" t="s">
        <x:v>201</x:v>
      </x:c>
      <x:c r="Y94" s="2" t="s">
        <x:v>113</x:v>
      </x:c>
      <x:c r="Z94" s="2" t="s">
        <x:v>114</x:v>
      </x:c>
    </x:row>
    <x:row r="95" ht="27">
      <x:c r="A95" s="2">
        <x:v>827</x:v>
      </x:c>
      <x:c r="B95" s="2">
        <x:v>1070630</x:v>
      </x:c>
      <x:c r="C95" s="2">
        <x:v>12735</x:v>
      </x:c>
      <x:c r="D95" s="2">
        <x:v>5563</x:v>
      </x:c>
      <x:c r="E95" s="2" t="s">
        <x:v>21</x:v>
      </x:c>
      <x:c r="F95" s="2" t="s">
        <x:v>198</x:v>
      </x:c>
      <x:c r="G95" s="2" t="s">
        <x:v>202</x:v>
      </x:c>
      <x:c r="H95" s="2" t="s">
        <x:v>135</x:v>
      </x:c>
      <x:c r="I95" s="2" t="s">
        <x:v>159</x:v>
      </x:c>
      <x:c r="J95" s="2">
        <x:v>1</x:v>
      </x:c>
      <x:c r="K95" s="2" t="s">
        <x:v>117</x:v>
      </x:c>
      <x:c r="L95" s="2" t="s">
        <x:v>110</x:v>
      </x:c>
      <x:c r="M95" s="2"/>
      <x:c r="N95" s="2">
        <x:v>1380</x:v>
      </x:c>
      <x:c r="O95" s="2">
        <x:v>1060</x:v>
      </x:c>
      <x:c r="P95" s="2">
        <x:v>1750</x:v>
      </x:c>
      <x:c r="Q95" s="2" t="s">
        <x:v>111</x:v>
      </x:c>
      <x:c r="R95" s="2">
        <x:v>1380</x:v>
      </x:c>
      <x:c r="S95" s="2" t="s">
        <x:v>111</x:v>
      </x:c>
      <x:c r="T95" s="2">
        <x:v>17</x:v>
      </x:c>
      <x:c r="U95" s="2"/>
      <x:c r="V95" s="2"/>
      <x:c r="W95" s="2"/>
      <x:c r="X95" s="2" t="s">
        <x:v>200</x:v>
      </x:c>
      <x:c r="Y95" s="2" t="s">
        <x:v>113</x:v>
      </x:c>
      <x:c r="Z95" s="2" t="s">
        <x:v>114</x:v>
      </x:c>
    </x:row>
    <x:row r="96" ht="27">
      <x:c r="A96" s="2">
        <x:v>832</x:v>
      </x:c>
      <x:c r="B96" s="2">
        <x:v>1070629</x:v>
      </x:c>
      <x:c r="C96" s="2">
        <x:v>12734</x:v>
      </x:c>
      <x:c r="D96" s="2">
        <x:v>5563</x:v>
      </x:c>
      <x:c r="E96" s="2" t="s">
        <x:v>21</x:v>
      </x:c>
      <x:c r="F96" s="2" t="s">
        <x:v>198</x:v>
      </x:c>
      <x:c r="G96" s="2" t="s">
        <x:v>203</x:v>
      </x:c>
      <x:c r="H96" s="2" t="s">
        <x:v>135</x:v>
      </x:c>
      <x:c r="I96" s="2" t="s">
        <x:v>159</x:v>
      </x:c>
      <x:c r="J96" s="2">
        <x:v>1</x:v>
      </x:c>
      <x:c r="K96" s="2" t="s">
        <x:v>117</x:v>
      </x:c>
      <x:c r="L96" s="2" t="s">
        <x:v>110</x:v>
      </x:c>
      <x:c r="M96" s="2"/>
      <x:c r="N96" s="2">
        <x:v>1860</x:v>
      </x:c>
      <x:c r="O96" s="2">
        <x:v>1470</x:v>
      </x:c>
      <x:c r="P96" s="2">
        <x:v>3880</x:v>
      </x:c>
      <x:c r="Q96" s="2" t="s">
        <x:v>111</x:v>
      </x:c>
      <x:c r="R96" s="2">
        <x:v>1860</x:v>
      </x:c>
      <x:c r="S96" s="2" t="s">
        <x:v>111</x:v>
      </x:c>
      <x:c r="T96" s="2">
        <x:v>17</x:v>
      </x:c>
      <x:c r="U96" s="2"/>
      <x:c r="V96" s="2"/>
      <x:c r="W96" s="2"/>
      <x:c r="X96" s="2" t="s">
        <x:v>200</x:v>
      </x:c>
      <x:c r="Y96" s="2" t="s">
        <x:v>113</x:v>
      </x:c>
      <x:c r="Z96" s="2" t="s">
        <x:v>114</x:v>
      </x:c>
    </x:row>
    <x:row r="97" ht="27">
      <x:c r="A97" s="2">
        <x:v>863</x:v>
      </x:c>
      <x:c r="B97" s="2">
        <x:v>2145457</x:v>
      </x:c>
      <x:c r="C97" s="2">
        <x:v>2274200</x:v>
      </x:c>
      <x:c r="D97" s="2">
        <x:v>169337</x:v>
      </x:c>
      <x:c r="E97" s="2" t="s">
        <x:v>21</x:v>
      </x:c>
      <x:c r="F97" s="2" t="s">
        <x:v>198</x:v>
      </x:c>
      <x:c r="G97" s="2" t="s">
        <x:v>129</x:v>
      </x:c>
      <x:c r="H97" s="2" t="s">
        <x:v>107</x:v>
      </x:c>
      <x:c r="I97" s="2"/>
      <x:c r="J97" s="2">
        <x:v>4</x:v>
      </x:c>
      <x:c r="K97" s="2" t="s">
        <x:v>117</x:v>
      </x:c>
      <x:c r="L97" s="2" t="s">
        <x:v>110</x:v>
      </x:c>
      <x:c r="M97" s="2"/>
      <x:c r="N97" s="2">
        <x:v>890</x:v>
      </x:c>
      <x:c r="O97" s="2">
        <x:v>750</x:v>
      </x:c>
      <x:c r="P97" s="2">
        <x:v>1100</x:v>
      </x:c>
      <x:c r="Q97" s="2" t="s">
        <x:v>111</x:v>
      </x:c>
      <x:c r="R97" s="2">
        <x:v>890</x:v>
      </x:c>
      <x:c r="S97" s="2" t="s">
        <x:v>111</x:v>
      </x:c>
      <x:c r="T97" s="2">
        <x:v>22</x:v>
      </x:c>
      <x:c r="U97" s="2">
        <x:v>7</x:v>
      </x:c>
      <x:c r="V97" s="2">
        <x:v>8.1999999999999993</x:v>
      </x:c>
      <x:c r="W97" s="2"/>
      <x:c r="X97" s="2" t="s">
        <x:v>191</x:v>
      </x:c>
      <x:c r="Y97" s="2" t="s">
        <x:v>113</x:v>
      </x:c>
      <x:c r="Z97" s="2" t="s">
        <x:v>114</x:v>
      </x:c>
    </x:row>
    <x:row r="98" ht="27">
      <x:c r="A98" s="2">
        <x:v>871</x:v>
      </x:c>
      <x:c r="B98" s="2">
        <x:v>1053649</x:v>
      </x:c>
      <x:c r="C98" s="2">
        <x:v>133690</x:v>
      </x:c>
      <x:c r="D98" s="2">
        <x:v>3744</x:v>
      </x:c>
      <x:c r="E98" s="2" t="s">
        <x:v>21</x:v>
      </x:c>
      <x:c r="F98" s="2" t="s">
        <x:v>198</x:v>
      </x:c>
      <x:c r="G98" s="2" t="s">
        <x:v>141</x:v>
      </x:c>
      <x:c r="H98" s="2" t="s">
        <x:v>135</x:v>
      </x:c>
      <x:c r="I98" s="2" t="s">
        <x:v>108</x:v>
      </x:c>
      <x:c r="J98" s="2">
        <x:v>4</x:v>
      </x:c>
      <x:c r="K98" s="2" t="s">
        <x:v>117</x:v>
      </x:c>
      <x:c r="L98" s="2" t="s">
        <x:v>110</x:v>
      </x:c>
      <x:c r="M98" s="2"/>
      <x:c r="N98" s="2">
        <x:v>950</x:v>
      </x:c>
      <x:c r="O98" s="2"/>
      <x:c r="P98" s="2"/>
      <x:c r="Q98" s="2" t="s">
        <x:v>111</x:v>
      </x:c>
      <x:c r="R98" s="2">
        <x:v>950</x:v>
      </x:c>
      <x:c r="S98" s="2" t="s">
        <x:v>111</x:v>
      </x:c>
      <x:c r="T98" s="2">
        <x:v>10</x:v>
      </x:c>
      <x:c r="U98" s="2">
        <x:v>30</x:v>
      </x:c>
      <x:c r="V98" s="2"/>
      <x:c r="W98" s="2"/>
      <x:c r="X98" s="2" t="s">
        <x:v>201</x:v>
      </x:c>
      <x:c r="Y98" s="2" t="s">
        <x:v>113</x:v>
      </x:c>
      <x:c r="Z98" s="2" t="s">
        <x:v>114</x:v>
      </x:c>
    </x:row>
    <x:row r="99" ht="54">
      <x:c r="A99" s="2">
        <x:v>875</x:v>
      </x:c>
      <x:c r="B99" s="2">
        <x:v>1295983</x:v>
      </x:c>
      <x:c r="C99" s="2">
        <x:v>751247</x:v>
      </x:c>
      <x:c r="D99" s="2">
        <x:v>111315</x:v>
      </x:c>
      <x:c r="E99" s="2" t="s">
        <x:v>21</x:v>
      </x:c>
      <x:c r="F99" s="2" t="s">
        <x:v>198</x:v>
      </x:c>
      <x:c r="G99" s="2" t="s">
        <x:v>106</x:v>
      </x:c>
      <x:c r="H99" s="2" t="s">
        <x:v>107</x:v>
      </x:c>
      <x:c r="I99" s="2" t="s">
        <x:v>108</x:v>
      </x:c>
      <x:c r="J99" s="2">
        <x:v>4</x:v>
      </x:c>
      <x:c r="K99" s="2" t="s">
        <x:v>126</x:v>
      </x:c>
      <x:c r="L99" s="2" t="s">
        <x:v>110</x:v>
      </x:c>
      <x:c r="M99" s="2"/>
      <x:c r="N99" s="2">
        <x:v>7.8</x:v>
      </x:c>
      <x:c r="O99" s="2">
        <x:v>5.42</x:v>
      </x:c>
      <x:c r="P99" s="2">
        <x:v>11.34</x:v>
      </x:c>
      <x:c r="Q99" s="2" t="s">
        <x:v>121</x:v>
      </x:c>
      <x:c r="R99" s="2">
        <x:v>7.8</x:v>
      </x:c>
      <x:c r="S99" s="2" t="s">
        <x:v>121</x:v>
      </x:c>
      <x:c r="T99" s="2">
        <x:v>20</x:v>
      </x:c>
      <x:c r="U99" s="2">
        <x:v>32</x:v>
      </x:c>
      <x:c r="V99" s="2">
        <x:v>7.9</x:v>
      </x:c>
      <x:c r="W99" s="2"/>
      <x:c r="X99" s="2" t="s">
        <x:v>204</x:v>
      </x:c>
      <x:c r="Y99" s="2" t="s">
        <x:v>113</x:v>
      </x:c>
      <x:c r="Z99" s="2" t="s">
        <x:v>114</x:v>
      </x:c>
    </x:row>
    <x:row r="100">
      <x:c r="A100" s="2">
        <x:v>876</x:v>
      </x:c>
      <x:c r="B100" s="2">
        <x:v>1035615</x:v>
      </x:c>
      <x:c r="C100" s="2">
        <x:v>41944</x:v>
      </x:c>
      <x:c r="D100" s="2">
        <x:v>2183</x:v>
      </x:c>
      <x:c r="E100" s="2" t="s">
        <x:v>21</x:v>
      </x:c>
      <x:c r="F100" s="2" t="s">
        <x:v>198</x:v>
      </x:c>
      <x:c r="G100" s="2" t="s">
        <x:v>129</x:v>
      </x:c>
      <x:c r="H100" s="2" t="s">
        <x:v>107</x:v>
      </x:c>
      <x:c r="I100" s="2" t="s">
        <x:v>108</x:v>
      </x:c>
      <x:c r="J100" s="2">
        <x:v>4</x:v>
      </x:c>
      <x:c r="K100" s="2" t="s">
        <x:v>117</x:v>
      </x:c>
      <x:c r="L100" s="2" t="s">
        <x:v>110</x:v>
      </x:c>
      <x:c r="M100" s="2"/>
      <x:c r="N100" s="2">
        <x:v>1450</x:v>
      </x:c>
      <x:c r="O100" s="2">
        <x:v>930</x:v>
      </x:c>
      <x:c r="P100" s="2">
        <x:v>2260</x:v>
      </x:c>
      <x:c r="Q100" s="2" t="s">
        <x:v>111</x:v>
      </x:c>
      <x:c r="R100" s="2">
        <x:v>1450</x:v>
      </x:c>
      <x:c r="S100" s="2" t="s">
        <x:v>111</x:v>
      </x:c>
      <x:c r="T100" s="2">
        <x:v>20</x:v>
      </x:c>
      <x:c r="U100" s="2">
        <x:v>7</x:v>
      </x:c>
      <x:c r="V100" s="2"/>
      <x:c r="W100" s="2"/>
      <x:c r="X100" s="2" t="s">
        <x:v>130</x:v>
      </x:c>
      <x:c r="Y100" s="2" t="s">
        <x:v>113</x:v>
      </x:c>
      <x:c r="Z100" s="2" t="s">
        <x:v>114</x:v>
      </x:c>
    </x:row>
    <x:row r="101" ht="27">
      <x:c r="A101" s="2">
        <x:v>878</x:v>
      </x:c>
      <x:c r="B101" s="2">
        <x:v>1053653</x:v>
      </x:c>
      <x:c r="C101" s="2">
        <x:v>133694</x:v>
      </x:c>
      <x:c r="D101" s="2">
        <x:v>3744</x:v>
      </x:c>
      <x:c r="E101" s="2" t="s">
        <x:v>21</x:v>
      </x:c>
      <x:c r="F101" s="2" t="s">
        <x:v>198</x:v>
      </x:c>
      <x:c r="G101" s="2" t="s">
        <x:v>150</x:v>
      </x:c>
      <x:c r="H101" s="2" t="s">
        <x:v>135</x:v>
      </x:c>
      <x:c r="I101" s="2" t="s">
        <x:v>108</x:v>
      </x:c>
      <x:c r="J101" s="2">
        <x:v>4</x:v>
      </x:c>
      <x:c r="K101" s="2" t="s">
        <x:v>117</x:v>
      </x:c>
      <x:c r="L101" s="2" t="s">
        <x:v>110</x:v>
      </x:c>
      <x:c r="M101" s="2"/>
      <x:c r="N101" s="2">
        <x:v>4090</x:v>
      </x:c>
      <x:c r="O101" s="2"/>
      <x:c r="P101" s="2"/>
      <x:c r="Q101" s="2" t="s">
        <x:v>111</x:v>
      </x:c>
      <x:c r="R101" s="2">
        <x:v>4090</x:v>
      </x:c>
      <x:c r="S101" s="2" t="s">
        <x:v>111</x:v>
      </x:c>
      <x:c r="T101" s="2">
        <x:v>15</x:v>
      </x:c>
      <x:c r="U101" s="2">
        <x:v>30</x:v>
      </x:c>
      <x:c r="V101" s="2"/>
      <x:c r="W101" s="2"/>
      <x:c r="X101" s="2" t="s">
        <x:v>201</x:v>
      </x:c>
      <x:c r="Y101" s="2" t="s">
        <x:v>113</x:v>
      </x:c>
      <x:c r="Z101" s="2" t="s">
        <x:v>114</x:v>
      </x:c>
    </x:row>
    <x:row r="102" ht="27">
      <x:c r="A102" s="2">
        <x:v>881</x:v>
      </x:c>
      <x:c r="B102" s="2">
        <x:v>1037878</x:v>
      </x:c>
      <x:c r="C102" s="2">
        <x:v>104483</x:v>
      </x:c>
      <x:c r="D102" s="2">
        <x:v>2332</x:v>
      </x:c>
      <x:c r="E102" s="2" t="s">
        <x:v>21</x:v>
      </x:c>
      <x:c r="F102" s="2" t="s">
        <x:v>198</x:v>
      </x:c>
      <x:c r="G102" s="2" t="s">
        <x:v>129</x:v>
      </x:c>
      <x:c r="H102" s="2" t="s">
        <x:v>107</x:v>
      </x:c>
      <x:c r="I102" s="2"/>
      <x:c r="J102" s="2">
        <x:v>4</x:v>
      </x:c>
      <x:c r="K102" s="2" t="s">
        <x:v>136</x:v>
      </x:c>
      <x:c r="L102" s="2" t="s">
        <x:v>110</x:v>
      </x:c>
      <x:c r="M102" s="2"/>
      <x:c r="N102" s="2">
        <x:v>1300</x:v>
      </x:c>
      <x:c r="O102" s="2">
        <x:v>980</x:v>
      </x:c>
      <x:c r="P102" s="2">
        <x:v>1730</x:v>
      </x:c>
      <x:c r="Q102" s="2" t="s">
        <x:v>111</x:v>
      </x:c>
      <x:c r="R102" s="2">
        <x:v>1300</x:v>
      </x:c>
      <x:c r="S102" s="2" t="s">
        <x:v>111</x:v>
      </x:c>
      <x:c r="T102" s="2"/>
      <x:c r="U102" s="2">
        <x:v>7</x:v>
      </x:c>
      <x:c r="V102" s="2"/>
      <x:c r="W102" s="2"/>
      <x:c r="X102" s="2" t="s">
        <x:v>205</x:v>
      </x:c>
      <x:c r="Y102" s="2" t="s">
        <x:v>113</x:v>
      </x:c>
      <x:c r="Z102" s="2" t="s">
        <x:v>114</x:v>
      </x:c>
    </x:row>
    <x:row r="103" ht="27">
      <x:c r="A103" s="2">
        <x:v>884</x:v>
      </x:c>
      <x:c r="B103" s="2">
        <x:v>1053650</x:v>
      </x:c>
      <x:c r="C103" s="2">
        <x:v>133691</x:v>
      </x:c>
      <x:c r="D103" s="2">
        <x:v>3744</x:v>
      </x:c>
      <x:c r="E103" s="2" t="s">
        <x:v>21</x:v>
      </x:c>
      <x:c r="F103" s="2" t="s">
        <x:v>198</x:v>
      </x:c>
      <x:c r="G103" s="2" t="s">
        <x:v>141</x:v>
      </x:c>
      <x:c r="H103" s="2" t="s">
        <x:v>135</x:v>
      </x:c>
      <x:c r="I103" s="2" t="s">
        <x:v>108</x:v>
      </x:c>
      <x:c r="J103" s="2">
        <x:v>3</x:v>
      </x:c>
      <x:c r="K103" s="2" t="s">
        <x:v>117</x:v>
      </x:c>
      <x:c r="L103" s="2" t="s">
        <x:v>110</x:v>
      </x:c>
      <x:c r="M103" s="2"/>
      <x:c r="N103" s="2">
        <x:v>707.1</x:v>
      </x:c>
      <x:c r="O103" s="2">
        <x:v>591.5</x:v>
      </x:c>
      <x:c r="P103" s="2">
        <x:v>845.3</x:v>
      </x:c>
      <x:c r="Q103" s="2" t="s">
        <x:v>111</x:v>
      </x:c>
      <x:c r="R103" s="2">
        <x:v>707.1</x:v>
      </x:c>
      <x:c r="S103" s="2" t="s">
        <x:v>111</x:v>
      </x:c>
      <x:c r="T103" s="2">
        <x:v>15</x:v>
      </x:c>
      <x:c r="U103" s="2">
        <x:v>30</x:v>
      </x:c>
      <x:c r="V103" s="2"/>
      <x:c r="W103" s="2"/>
      <x:c r="X103" s="2" t="s">
        <x:v>201</x:v>
      </x:c>
      <x:c r="Y103" s="2" t="s">
        <x:v>113</x:v>
      </x:c>
      <x:c r="Z103" s="2" t="s">
        <x:v>114</x:v>
      </x:c>
    </x:row>
    <x:row r="104" ht="27">
      <x:c r="A104" s="2">
        <x:v>887</x:v>
      </x:c>
      <x:c r="B104" s="2">
        <x:v>1053654</x:v>
      </x:c>
      <x:c r="C104" s="2">
        <x:v>133695</x:v>
      </x:c>
      <x:c r="D104" s="2">
        <x:v>3744</x:v>
      </x:c>
      <x:c r="E104" s="2" t="s">
        <x:v>21</x:v>
      </x:c>
      <x:c r="F104" s="2" t="s">
        <x:v>198</x:v>
      </x:c>
      <x:c r="G104" s="2" t="s">
        <x:v>134</x:v>
      </x:c>
      <x:c r="H104" s="2" t="s">
        <x:v>135</x:v>
      </x:c>
      <x:c r="I104" s="2" t="s">
        <x:v>108</x:v>
      </x:c>
      <x:c r="J104" s="2">
        <x:v>4</x:v>
      </x:c>
      <x:c r="K104" s="2" t="s">
        <x:v>117</x:v>
      </x:c>
      <x:c r="L104" s="2" t="s">
        <x:v>110</x:v>
      </x:c>
      <x:c r="M104" s="2"/>
      <x:c r="N104" s="2">
        <x:v>294.2</x:v>
      </x:c>
      <x:c r="O104" s="2">
        <x:v>196.1</x:v>
      </x:c>
      <x:c r="P104" s="2">
        <x:v>428</x:v>
      </x:c>
      <x:c r="Q104" s="2" t="s">
        <x:v>111</x:v>
      </x:c>
      <x:c r="R104" s="2">
        <x:v>294.2</x:v>
      </x:c>
      <x:c r="S104" s="2" t="s">
        <x:v>111</x:v>
      </x:c>
      <x:c r="T104" s="2">
        <x:v>20</x:v>
      </x:c>
      <x:c r="U104" s="2">
        <x:v>30</x:v>
      </x:c>
      <x:c r="V104" s="2"/>
      <x:c r="W104" s="2"/>
      <x:c r="X104" s="2" t="s">
        <x:v>201</x:v>
      </x:c>
      <x:c r="Y104" s="2" t="s">
        <x:v>113</x:v>
      </x:c>
      <x:c r="Z104" s="2" t="s">
        <x:v>114</x:v>
      </x:c>
    </x:row>
    <x:row r="105" ht="27">
      <x:c r="A105" s="2">
        <x:v>899</x:v>
      </x:c>
      <x:c r="B105" s="2">
        <x:v>1054979</x:v>
      </x:c>
      <x:c r="C105" s="2">
        <x:v>131353</x:v>
      </x:c>
      <x:c r="D105" s="2">
        <x:v>3826</x:v>
      </x:c>
      <x:c r="E105" s="2" t="s">
        <x:v>45</x:v>
      </x:c>
      <x:c r="F105" s="2" t="s">
        <x:v>206</x:v>
      </x:c>
      <x:c r="G105" s="2" t="s">
        <x:v>146</x:v>
      </x:c>
      <x:c r="H105" s="2" t="s">
        <x:v>135</x:v>
      </x:c>
      <x:c r="I105" s="2" t="s">
        <x:v>108</x:v>
      </x:c>
      <x:c r="J105" s="2">
        <x:v>3</x:v>
      </x:c>
      <x:c r="K105" s="2" t="s">
        <x:v>117</x:v>
      </x:c>
      <x:c r="L105" s="2" t="s">
        <x:v>110</x:v>
      </x:c>
      <x:c r="M105" s="2"/>
      <x:c r="N105" s="2">
        <x:v>14.573</x:v>
      </x:c>
      <x:c r="O105" s="2">
        <x:v>10.85</x:v>
      </x:c>
      <x:c r="P105" s="2">
        <x:v>19.163</x:v>
      </x:c>
      <x:c r="Q105" s="2" t="s">
        <x:v>207</x:v>
      </x:c>
      <x:c r="R105" s="2">
        <x:v>14.573</x:v>
      </x:c>
      <x:c r="S105" s="2" t="s">
        <x:v>207</x:v>
      </x:c>
      <x:c r="T105" s="2">
        <x:v>15</x:v>
      </x:c>
      <x:c r="U105" s="2">
        <x:v>30</x:v>
      </x:c>
      <x:c r="V105" s="2"/>
      <x:c r="W105" s="2"/>
      <x:c r="X105" s="2" t="s">
        <x:v>208</x:v>
      </x:c>
      <x:c r="Y105" s="2" t="s">
        <x:v>113</x:v>
      </x:c>
      <x:c r="Z105" s="2" t="s">
        <x:v>114</x:v>
      </x:c>
    </x:row>
    <x:row r="106" ht="27">
      <x:c r="A106" s="2">
        <x:v>913</x:v>
      </x:c>
      <x:c r="B106" s="2">
        <x:v>1054981</x:v>
      </x:c>
      <x:c r="C106" s="2">
        <x:v>131355</x:v>
      </x:c>
      <x:c r="D106" s="2">
        <x:v>3826</x:v>
      </x:c>
      <x:c r="E106" s="2" t="s">
        <x:v>45</x:v>
      </x:c>
      <x:c r="F106" s="2" t="s">
        <x:v>206</x:v>
      </x:c>
      <x:c r="G106" s="2" t="s">
        <x:v>150</x:v>
      </x:c>
      <x:c r="H106" s="2" t="s">
        <x:v>135</x:v>
      </x:c>
      <x:c r="I106" s="2" t="s">
        <x:v>108</x:v>
      </x:c>
      <x:c r="J106" s="2">
        <x:v>4</x:v>
      </x:c>
      <x:c r="K106" s="2" t="s">
        <x:v>117</x:v>
      </x:c>
      <x:c r="L106" s="2" t="s">
        <x:v>110</x:v>
      </x:c>
      <x:c r="M106" s="2"/>
      <x:c r="N106" s="2">
        <x:v>13.182</x:v>
      </x:c>
      <x:c r="O106" s="2">
        <x:v>11.566000000000001</x:v>
      </x:c>
      <x:c r="P106" s="2">
        <x:v>14.981</x:v>
      </x:c>
      <x:c r="Q106" s="2" t="s">
        <x:v>207</x:v>
      </x:c>
      <x:c r="R106" s="2">
        <x:v>13.182</x:v>
      </x:c>
      <x:c r="S106" s="2" t="s">
        <x:v>207</x:v>
      </x:c>
      <x:c r="T106" s="2">
        <x:v>15</x:v>
      </x:c>
      <x:c r="U106" s="2">
        <x:v>30</x:v>
      </x:c>
      <x:c r="V106" s="2"/>
      <x:c r="W106" s="2"/>
      <x:c r="X106" s="2" t="s">
        <x:v>208</x:v>
      </x:c>
      <x:c r="Y106" s="2" t="s">
        <x:v>113</x:v>
      </x:c>
      <x:c r="Z106" s="2" t="s">
        <x:v>114</x:v>
      </x:c>
    </x:row>
    <x:row r="107" ht="27">
      <x:c r="A107" s="2">
        <x:v>915</x:v>
      </x:c>
      <x:c r="B107" s="2">
        <x:v>2030265</x:v>
      </x:c>
      <x:c r="C107" s="2">
        <x:v>2047702</x:v>
      </x:c>
      <x:c r="D107" s="2">
        <x:v>3826</x:v>
      </x:c>
      <x:c r="E107" s="2" t="s">
        <x:v>45</x:v>
      </x:c>
      <x:c r="F107" s="2" t="s">
        <x:v>206</x:v>
      </x:c>
      <x:c r="G107" s="2" t="s">
        <x:v>134</x:v>
      </x:c>
      <x:c r="H107" s="2" t="s">
        <x:v>135</x:v>
      </x:c>
      <x:c r="I107" s="2" t="s">
        <x:v>108</x:v>
      </x:c>
      <x:c r="J107" s="2">
        <x:v>3</x:v>
      </x:c>
      <x:c r="K107" s="2" t="s">
        <x:v>117</x:v>
      </x:c>
      <x:c r="L107" s="2" t="s">
        <x:v>110</x:v>
      </x:c>
      <x:c r="M107" s="2"/>
      <x:c r="N107" s="2">
        <x:v>0.747</x:v>
      </x:c>
      <x:c r="O107" s="2">
        <x:v>0.5</x:v>
      </x:c>
      <x:c r="P107" s="2">
        <x:v>1.04</x:v>
      </x:c>
      <x:c r="Q107" s="2" t="s">
        <x:v>207</x:v>
      </x:c>
      <x:c r="R107" s="2">
        <x:v>0.747</x:v>
      </x:c>
      <x:c r="S107" s="2" t="s">
        <x:v>207</x:v>
      </x:c>
      <x:c r="T107" s="2">
        <x:v>20</x:v>
      </x:c>
      <x:c r="U107" s="2">
        <x:v>30</x:v>
      </x:c>
      <x:c r="V107" s="2"/>
      <x:c r="W107" s="2"/>
      <x:c r="X107" s="2" t="s">
        <x:v>208</x:v>
      </x:c>
      <x:c r="Y107" s="2" t="s">
        <x:v>113</x:v>
      </x:c>
      <x:c r="Z107" s="2" t="s">
        <x:v>114</x:v>
      </x:c>
    </x:row>
    <x:row r="108" ht="27">
      <x:c r="A108" s="2">
        <x:v>918</x:v>
      </x:c>
      <x:c r="B108" s="2">
        <x:v>2319264</x:v>
      </x:c>
      <x:c r="C108" s="2">
        <x:v>2802768</x:v>
      </x:c>
      <x:c r="D108" s="2">
        <x:v>193873</x:v>
      </x:c>
      <x:c r="E108" s="2" t="s">
        <x:v>45</x:v>
      </x:c>
      <x:c r="F108" s="2" t="s">
        <x:v>206</x:v>
      </x:c>
      <x:c r="G108" s="2" t="s">
        <x:v>106</x:v>
      </x:c>
      <x:c r="H108" s="2" t="s">
        <x:v>107</x:v>
      </x:c>
      <x:c r="I108" s="2" t="s">
        <x:v>209</x:v>
      </x:c>
      <x:c r="J108" s="2">
        <x:v>4</x:v>
      </x:c>
      <x:c r="K108" s="2" t="s">
        <x:v>126</x:v>
      </x:c>
      <x:c r="L108" s="2" t="s">
        <x:v>120</x:v>
      </x:c>
      <x:c r="M108" s="2"/>
      <x:c r="N108" s="2">
        <x:v>4300</x:v>
      </x:c>
      <x:c r="O108" s="2">
        <x:v>3610</x:v>
      </x:c>
      <x:c r="P108" s="2">
        <x:v>5090</x:v>
      </x:c>
      <x:c r="Q108" s="2" t="s">
        <x:v>111</x:v>
      </x:c>
      <x:c r="R108" s="2">
        <x:v>4300</x:v>
      </x:c>
      <x:c r="S108" s="2" t="s">
        <x:v>111</x:v>
      </x:c>
      <x:c r="T108" s="2">
        <x:v>27</x:v>
      </x:c>
      <x:c r="U108" s="2"/>
      <x:c r="V108" s="2"/>
      <x:c r="W108" s="2"/>
      <x:c r="X108" s="2" t="s">
        <x:v>210</x:v>
      </x:c>
      <x:c r="Y108" s="2" t="s">
        <x:v>113</x:v>
      </x:c>
      <x:c r="Z108" s="2" t="s">
        <x:v>114</x:v>
      </x:c>
    </x:row>
    <x:row r="109" ht="27">
      <x:c r="A109" s="2">
        <x:v>933</x:v>
      </x:c>
      <x:c r="B109" s="2">
        <x:v>1054980</x:v>
      </x:c>
      <x:c r="C109" s="2">
        <x:v>131354</x:v>
      </x:c>
      <x:c r="D109" s="2">
        <x:v>3826</x:v>
      </x:c>
      <x:c r="E109" s="2" t="s">
        <x:v>45</x:v>
      </x:c>
      <x:c r="F109" s="2" t="s">
        <x:v>206</x:v>
      </x:c>
      <x:c r="G109" s="2" t="s">
        <x:v>150</x:v>
      </x:c>
      <x:c r="H109" s="2" t="s">
        <x:v>135</x:v>
      </x:c>
      <x:c r="I109" s="2" t="s">
        <x:v>108</x:v>
      </x:c>
      <x:c r="J109" s="2">
        <x:v>4</x:v>
      </x:c>
      <x:c r="K109" s="2" t="s">
        <x:v>117</x:v>
      </x:c>
      <x:c r="L109" s="2" t="s">
        <x:v>110</x:v>
      </x:c>
      <x:c r="M109" s="2"/>
      <x:c r="N109" s="2">
        <x:v>9.593</x:v>
      </x:c>
      <x:c r="O109" s="2">
        <x:v>7.0979999999999999</x:v>
      </x:c>
      <x:c r="P109" s="2">
        <x:v>13.252000000000001</x:v>
      </x:c>
      <x:c r="Q109" s="2" t="s">
        <x:v>207</x:v>
      </x:c>
      <x:c r="R109" s="2">
        <x:v>9.593</x:v>
      </x:c>
      <x:c r="S109" s="2" t="s">
        <x:v>207</x:v>
      </x:c>
      <x:c r="T109" s="2">
        <x:v>15</x:v>
      </x:c>
      <x:c r="U109" s="2">
        <x:v>30</x:v>
      </x:c>
      <x:c r="V109" s="2"/>
      <x:c r="W109" s="2"/>
      <x:c r="X109" s="2" t="s">
        <x:v>208</x:v>
      </x:c>
      <x:c r="Y109" s="2" t="s">
        <x:v>113</x:v>
      </x:c>
      <x:c r="Z109" s="2" t="s">
        <x:v>114</x:v>
      </x:c>
    </x:row>
    <x:row r="110" ht="27">
      <x:c r="A110" s="2">
        <x:v>935</x:v>
      </x:c>
      <x:c r="B110" s="2">
        <x:v>1054977</x:v>
      </x:c>
      <x:c r="C110" s="2">
        <x:v>131351</x:v>
      </x:c>
      <x:c r="D110" s="2">
        <x:v>3826</x:v>
      </x:c>
      <x:c r="E110" s="2" t="s">
        <x:v>45</x:v>
      </x:c>
      <x:c r="F110" s="2" t="s">
        <x:v>206</x:v>
      </x:c>
      <x:c r="G110" s="2" t="s">
        <x:v>141</x:v>
      </x:c>
      <x:c r="H110" s="2" t="s">
        <x:v>135</x:v>
      </x:c>
      <x:c r="I110" s="2" t="s">
        <x:v>108</x:v>
      </x:c>
      <x:c r="J110" s="2">
        <x:v>4</x:v>
      </x:c>
      <x:c r="K110" s="2" t="s">
        <x:v>117</x:v>
      </x:c>
      <x:c r="L110" s="2" t="s">
        <x:v>110</x:v>
      </x:c>
      <x:c r="M110" s="2"/>
      <x:c r="N110" s="2">
        <x:v>3.4660000000000002</x:v>
      </x:c>
      <x:c r="O110" s="2">
        <x:v>2.8210000000000002</x:v>
      </x:c>
      <x:c r="P110" s="2">
        <x:v>4.3170000000000002</x:v>
      </x:c>
      <x:c r="Q110" s="2" t="s">
        <x:v>207</x:v>
      </x:c>
      <x:c r="R110" s="2">
        <x:v>3.4660000000000002</x:v>
      </x:c>
      <x:c r="S110" s="2" t="s">
        <x:v>207</x:v>
      </x:c>
      <x:c r="T110" s="2">
        <x:v>20</x:v>
      </x:c>
      <x:c r="U110" s="2">
        <x:v>30</x:v>
      </x:c>
      <x:c r="V110" s="2"/>
      <x:c r="W110" s="2"/>
      <x:c r="X110" s="2" t="s">
        <x:v>208</x:v>
      </x:c>
      <x:c r="Y110" s="2" t="s">
        <x:v>113</x:v>
      </x:c>
      <x:c r="Z110" s="2" t="s">
        <x:v>114</x:v>
      </x:c>
    </x:row>
    <x:row r="111">
      <x:c r="A111" s="2">
        <x:v>952</x:v>
      </x:c>
      <x:c r="B111" s="2">
        <x:v>1035629</x:v>
      </x:c>
      <x:c r="C111" s="2">
        <x:v>54870</x:v>
      </x:c>
      <x:c r="D111" s="2">
        <x:v>2183</x:v>
      </x:c>
      <x:c r="E111" s="2" t="s">
        <x:v>45</x:v>
      </x:c>
      <x:c r="F111" s="2" t="s">
        <x:v>206</x:v>
      </x:c>
      <x:c r="G111" s="2" t="s">
        <x:v>129</x:v>
      </x:c>
      <x:c r="H111" s="2" t="s">
        <x:v>107</x:v>
      </x:c>
      <x:c r="I111" s="2" t="s">
        <x:v>108</x:v>
      </x:c>
      <x:c r="J111" s="2">
        <x:v>4</x:v>
      </x:c>
      <x:c r="K111" s="2" t="s">
        <x:v>117</x:v>
      </x:c>
      <x:c r="L111" s="2" t="s">
        <x:v>110</x:v>
      </x:c>
      <x:c r="M111" s="2"/>
      <x:c r="N111" s="2">
        <x:v>6000</x:v>
      </x:c>
      <x:c r="O111" s="2">
        <x:v>3900</x:v>
      </x:c>
      <x:c r="P111" s="2">
        <x:v>9100</x:v>
      </x:c>
      <x:c r="Q111" s="2" t="s">
        <x:v>111</x:v>
      </x:c>
      <x:c r="R111" s="2">
        <x:v>6000</x:v>
      </x:c>
      <x:c r="S111" s="2" t="s">
        <x:v>111</x:v>
      </x:c>
      <x:c r="T111" s="2">
        <x:v>20</x:v>
      </x:c>
      <x:c r="U111" s="2">
        <x:v>7</x:v>
      </x:c>
      <x:c r="V111" s="2">
        <x:v>8</x:v>
      </x:c>
      <x:c r="W111" s="2"/>
      <x:c r="X111" s="2" t="s">
        <x:v>130</x:v>
      </x:c>
      <x:c r="Y111" s="2" t="s">
        <x:v>113</x:v>
      </x:c>
      <x:c r="Z111" s="2" t="s">
        <x:v>114</x:v>
      </x:c>
    </x:row>
    <x:row r="112" ht="27">
      <x:c r="A112" s="2">
        <x:v>963</x:v>
      </x:c>
      <x:c r="B112" s="2">
        <x:v>1054978</x:v>
      </x:c>
      <x:c r="C112" s="2">
        <x:v>131352</x:v>
      </x:c>
      <x:c r="D112" s="2">
        <x:v>3826</x:v>
      </x:c>
      <x:c r="E112" s="2" t="s">
        <x:v>45</x:v>
      </x:c>
      <x:c r="F112" s="2" t="s">
        <x:v>206</x:v>
      </x:c>
      <x:c r="G112" s="2" t="s">
        <x:v>141</x:v>
      </x:c>
      <x:c r="H112" s="2" t="s">
        <x:v>135</x:v>
      </x:c>
      <x:c r="I112" s="2" t="s">
        <x:v>108</x:v>
      </x:c>
      <x:c r="J112" s="2">
        <x:v>3</x:v>
      </x:c>
      <x:c r="K112" s="2" t="s">
        <x:v>117</x:v>
      </x:c>
      <x:c r="L112" s="2" t="s">
        <x:v>110</x:v>
      </x:c>
      <x:c r="M112" s="2"/>
      <x:c r="N112" s="2">
        <x:v>6.0060000000000002</x:v>
      </x:c>
      <x:c r="O112" s="2">
        <x:v>4.0949999999999998</x:v>
      </x:c>
      <x:c r="P112" s="2">
        <x:v>8.6959999999999997</x:v>
      </x:c>
      <x:c r="Q112" s="2" t="s">
        <x:v>207</x:v>
      </x:c>
      <x:c r="R112" s="2">
        <x:v>6.0060000000000002</x:v>
      </x:c>
      <x:c r="S112" s="2" t="s">
        <x:v>207</x:v>
      </x:c>
      <x:c r="T112" s="2">
        <x:v>15</x:v>
      </x:c>
      <x:c r="U112" s="2">
        <x:v>30</x:v>
      </x:c>
      <x:c r="V112" s="2"/>
      <x:c r="W112" s="2"/>
      <x:c r="X112" s="2" t="s">
        <x:v>208</x:v>
      </x:c>
      <x:c r="Y112" s="2" t="s">
        <x:v>113</x:v>
      </x:c>
      <x:c r="Z112" s="2" t="s">
        <x:v>114</x:v>
      </x:c>
    </x:row>
    <x:row r="113" ht="27">
      <x:c r="A113" s="2">
        <x:v>972</x:v>
      </x:c>
      <x:c r="B113" s="2">
        <x:v>1096430</x:v>
      </x:c>
      <x:c r="C113" s="2">
        <x:v>121126</x:v>
      </x:c>
      <x:c r="D113" s="2">
        <x:v>6825</x:v>
      </x:c>
      <x:c r="E113" s="2" t="s">
        <x:v>21</x:v>
      </x:c>
      <x:c r="F113" s="2" t="s">
        <x:v>211</x:v>
      </x:c>
      <x:c r="G113" s="2" t="s">
        <x:v>212</x:v>
      </x:c>
      <x:c r="H113" s="2" t="s">
        <x:v>135</x:v>
      </x:c>
      <x:c r="I113" s="2" t="s">
        <x:v>108</x:v>
      </x:c>
      <x:c r="J113" s="2">
        <x:v>2</x:v>
      </x:c>
      <x:c r="K113" s="2" t="s">
        <x:v>117</x:v>
      </x:c>
      <x:c r="L113" s="2" t="s">
        <x:v>110</x:v>
      </x:c>
      <x:c r="M113" s="2"/>
      <x:c r="N113" s="2">
        <x:v>30</x:v>
      </x:c>
      <x:c r="O113" s="2">
        <x:v>23</x:v>
      </x:c>
      <x:c r="P113" s="2">
        <x:v>35</x:v>
      </x:c>
      <x:c r="Q113" s="2" t="s">
        <x:v>111</x:v>
      </x:c>
      <x:c r="R113" s="2">
        <x:v>30</x:v>
      </x:c>
      <x:c r="S113" s="2" t="s">
        <x:v>111</x:v>
      </x:c>
      <x:c r="T113" s="2">
        <x:v>25</x:v>
      </x:c>
      <x:c r="U113" s="2">
        <x:v>25</x:v>
      </x:c>
      <x:c r="V113" s="2"/>
      <x:c r="W113" s="2"/>
      <x:c r="X113" s="2" t="s">
        <x:v>213</x:v>
      </x:c>
      <x:c r="Y113" s="2" t="s">
        <x:v>113</x:v>
      </x:c>
      <x:c r="Z113" s="2" t="s">
        <x:v>114</x:v>
      </x:c>
    </x:row>
    <x:row r="114" ht="27">
      <x:c r="A114" s="2">
        <x:v>983</x:v>
      </x:c>
      <x:c r="B114" s="2">
        <x:v>1096428</x:v>
      </x:c>
      <x:c r="C114" s="2">
        <x:v>121124</x:v>
      </x:c>
      <x:c r="D114" s="2">
        <x:v>6825</x:v>
      </x:c>
      <x:c r="E114" s="2" t="s">
        <x:v>21</x:v>
      </x:c>
      <x:c r="F114" s="2" t="s">
        <x:v>211</x:v>
      </x:c>
      <x:c r="G114" s="2" t="s">
        <x:v>212</x:v>
      </x:c>
      <x:c r="H114" s="2" t="s">
        <x:v>135</x:v>
      </x:c>
      <x:c r="I114" s="2" t="s">
        <x:v>108</x:v>
      </x:c>
      <x:c r="J114" s="2">
        <x:v>2</x:v>
      </x:c>
      <x:c r="K114" s="2" t="s">
        <x:v>117</x:v>
      </x:c>
      <x:c r="L114" s="2" t="s">
        <x:v>110</x:v>
      </x:c>
      <x:c r="M114" s="2"/>
      <x:c r="N114" s="2">
        <x:v>90</x:v>
      </x:c>
      <x:c r="O114" s="2">
        <x:v>60</x:v>
      </x:c>
      <x:c r="P114" s="2">
        <x:v>120</x:v>
      </x:c>
      <x:c r="Q114" s="2" t="s">
        <x:v>111</x:v>
      </x:c>
      <x:c r="R114" s="2">
        <x:v>90</x:v>
      </x:c>
      <x:c r="S114" s="2" t="s">
        <x:v>111</x:v>
      </x:c>
      <x:c r="T114" s="2">
        <x:v>25</x:v>
      </x:c>
      <x:c r="U114" s="2">
        <x:v>33.5</x:v>
      </x:c>
      <x:c r="V114" s="2"/>
      <x:c r="W114" s="2"/>
      <x:c r="X114" s="2" t="s">
        <x:v>213</x:v>
      </x:c>
      <x:c r="Y114" s="2" t="s">
        <x:v>113</x:v>
      </x:c>
      <x:c r="Z114" s="2" t="s">
        <x:v>114</x:v>
      </x:c>
    </x:row>
    <x:row r="115" ht="27">
      <x:c r="A115" s="2">
        <x:v>997</x:v>
      </x:c>
      <x:c r="B115" s="2">
        <x:v>1096431</x:v>
      </x:c>
      <x:c r="C115" s="2">
        <x:v>121127</x:v>
      </x:c>
      <x:c r="D115" s="2">
        <x:v>6825</x:v>
      </x:c>
      <x:c r="E115" s="2" t="s">
        <x:v>21</x:v>
      </x:c>
      <x:c r="F115" s="2" t="s">
        <x:v>211</x:v>
      </x:c>
      <x:c r="G115" s="2" t="s">
        <x:v>212</x:v>
      </x:c>
      <x:c r="H115" s="2" t="s">
        <x:v>135</x:v>
      </x:c>
      <x:c r="I115" s="2" t="s">
        <x:v>108</x:v>
      </x:c>
      <x:c r="J115" s="2">
        <x:v>2</x:v>
      </x:c>
      <x:c r="K115" s="2" t="s">
        <x:v>117</x:v>
      </x:c>
      <x:c r="L115" s="2" t="s">
        <x:v>110</x:v>
      </x:c>
      <x:c r="M115" s="2"/>
      <x:c r="N115" s="2">
        <x:v>23</x:v>
      </x:c>
      <x:c r="O115" s="2">
        <x:v>4</x:v>
      </x:c>
      <x:c r="P115" s="2">
        <x:v>36</x:v>
      </x:c>
      <x:c r="Q115" s="2" t="s">
        <x:v>111</x:v>
      </x:c>
      <x:c r="R115" s="2">
        <x:v>23</x:v>
      </x:c>
      <x:c r="S115" s="2" t="s">
        <x:v>111</x:v>
      </x:c>
      <x:c r="T115" s="2">
        <x:v>25</x:v>
      </x:c>
      <x:c r="U115" s="2">
        <x:v>28</x:v>
      </x:c>
      <x:c r="V115" s="2"/>
      <x:c r="W115" s="2"/>
      <x:c r="X115" s="2" t="s">
        <x:v>213</x:v>
      </x:c>
      <x:c r="Y115" s="2" t="s">
        <x:v>113</x:v>
      </x:c>
      <x:c r="Z115" s="2" t="s">
        <x:v>114</x:v>
      </x:c>
    </x:row>
    <x:row r="116" ht="27">
      <x:c r="A116" s="2">
        <x:v>1006</x:v>
      </x:c>
      <x:c r="B116" s="2">
        <x:v>1340234</x:v>
      </x:c>
      <x:c r="C116" s="2">
        <x:v>801239</x:v>
      </x:c>
      <x:c r="D116" s="2">
        <x:v>111830</x:v>
      </x:c>
      <x:c r="E116" s="2" t="s">
        <x:v>21</x:v>
      </x:c>
      <x:c r="F116" s="2" t="s">
        <x:v>211</x:v>
      </x:c>
      <x:c r="G116" s="2" t="s">
        <x:v>218</x:v>
      </x:c>
      <x:c r="H116" s="2" t="s">
        <x:v>107</x:v>
      </x:c>
      <x:c r="I116" s="2" t="s">
        <x:v>125</x:v>
      </x:c>
      <x:c r="J116" s="2">
        <x:v>4</x:v>
      </x:c>
      <x:c r="K116" s="2" t="s">
        <x:v>117</x:v>
      </x:c>
      <x:c r="L116" s="2" t="s">
        <x:v>110</x:v>
      </x:c>
      <x:c r="M116" s="2"/>
      <x:c r="N116" s="2">
        <x:v>1.7</x:v>
      </x:c>
      <x:c r="O116" s="2">
        <x:v>1.1000000000000001</x:v>
      </x:c>
      <x:c r="P116" s="2">
        <x:v>2.5</x:v>
      </x:c>
      <x:c r="Q116" s="2" t="s">
        <x:v>121</x:v>
      </x:c>
      <x:c r="R116" s="2">
        <x:v>1.7</x:v>
      </x:c>
      <x:c r="S116" s="2" t="s">
        <x:v>121</x:v>
      </x:c>
      <x:c r="T116" s="2">
        <x:v>21</x:v>
      </x:c>
      <x:c r="U116" s="2">
        <x:v>32</x:v>
      </x:c>
      <x:c r="V116" s="2">
        <x:v>8.1999999999999993</x:v>
      </x:c>
      <x:c r="W116" s="2"/>
      <x:c r="X116" s="2" t="s">
        <x:v>219</x:v>
      </x:c>
      <x:c r="Y116" s="2" t="s">
        <x:v>113</x:v>
      </x:c>
      <x:c r="Z116" s="2" t="s">
        <x:v>114</x:v>
      </x:c>
    </x:row>
    <x:row r="117" ht="27">
      <x:c r="A117" s="2">
        <x:v>1007</x:v>
      </x:c>
      <x:c r="B117" s="2">
        <x:v>1096427</x:v>
      </x:c>
      <x:c r="C117" s="2">
        <x:v>121123</x:v>
      </x:c>
      <x:c r="D117" s="2">
        <x:v>6825</x:v>
      </x:c>
      <x:c r="E117" s="2" t="s">
        <x:v>21</x:v>
      </x:c>
      <x:c r="F117" s="2" t="s">
        <x:v>211</x:v>
      </x:c>
      <x:c r="G117" s="2" t="s">
        <x:v>212</x:v>
      </x:c>
      <x:c r="H117" s="2" t="s">
        <x:v>135</x:v>
      </x:c>
      <x:c r="I117" s="2" t="s">
        <x:v>108</x:v>
      </x:c>
      <x:c r="J117" s="2">
        <x:v>2</x:v>
      </x:c>
      <x:c r="K117" s="2" t="s">
        <x:v>117</x:v>
      </x:c>
      <x:c r="L117" s="2" t="s">
        <x:v>110</x:v>
      </x:c>
      <x:c r="M117" s="2"/>
      <x:c r="N117" s="2">
        <x:v>14</x:v>
      </x:c>
      <x:c r="O117" s="2">
        <x:v>5</x:v>
      </x:c>
      <x:c r="P117" s="2">
        <x:v>40</x:v>
      </x:c>
      <x:c r="Q117" s="2" t="s">
        <x:v>111</x:v>
      </x:c>
      <x:c r="R117" s="2">
        <x:v>14</x:v>
      </x:c>
      <x:c r="S117" s="2" t="s">
        <x:v>111</x:v>
      </x:c>
      <x:c r="T117" s="2">
        <x:v>25</x:v>
      </x:c>
      <x:c r="U117" s="2">
        <x:v>33.5</x:v>
      </x:c>
      <x:c r="V117" s="2"/>
      <x:c r="W117" s="2"/>
      <x:c r="X117" s="2" t="s">
        <x:v>213</x:v>
      </x:c>
      <x:c r="Y117" s="2" t="s">
        <x:v>113</x:v>
      </x:c>
      <x:c r="Z117" s="2" t="s">
        <x:v>114</x:v>
      </x:c>
    </x:row>
    <x:row r="118" ht="27">
      <x:c r="A118" s="2">
        <x:v>1010</x:v>
      </x:c>
      <x:c r="B118" s="2">
        <x:v>1096445</x:v>
      </x:c>
      <x:c r="C118" s="2">
        <x:v>130165</x:v>
      </x:c>
      <x:c r="D118" s="2">
        <x:v>6825</x:v>
      </x:c>
      <x:c r="E118" s="2" t="s">
        <x:v>21</x:v>
      </x:c>
      <x:c r="F118" s="2" t="s">
        <x:v>211</x:v>
      </x:c>
      <x:c r="G118" s="2" t="s">
        <x:v>214</x:v>
      </x:c>
      <x:c r="H118" s="2" t="s">
        <x:v>135</x:v>
      </x:c>
      <x:c r="I118" s="2" t="s">
        <x:v>108</x:v>
      </x:c>
      <x:c r="J118" s="2">
        <x:v>2</x:v>
      </x:c>
      <x:c r="K118" s="2" t="s">
        <x:v>117</x:v>
      </x:c>
      <x:c r="L118" s="2" t="s">
        <x:v>110</x:v>
      </x:c>
      <x:c r="M118" s="2"/>
      <x:c r="N118" s="2">
        <x:v>320</x:v>
      </x:c>
      <x:c r="O118" s="2">
        <x:v>110</x:v>
      </x:c>
      <x:c r="P118" s="2">
        <x:v>940</x:v>
      </x:c>
      <x:c r="Q118" s="2" t="s">
        <x:v>111</x:v>
      </x:c>
      <x:c r="R118" s="2">
        <x:v>320</x:v>
      </x:c>
      <x:c r="S118" s="2" t="s">
        <x:v>111</x:v>
      </x:c>
      <x:c r="T118" s="2">
        <x:v>25</x:v>
      </x:c>
      <x:c r="U118" s="2">
        <x:v>33.5</x:v>
      </x:c>
      <x:c r="V118" s="2"/>
      <x:c r="W118" s="2"/>
      <x:c r="X118" s="2" t="s">
        <x:v>213</x:v>
      </x:c>
      <x:c r="Y118" s="2" t="s">
        <x:v>113</x:v>
      </x:c>
      <x:c r="Z118" s="2" t="s">
        <x:v>114</x:v>
      </x:c>
    </x:row>
    <x:row r="119" ht="27">
      <x:c r="A119" s="2">
        <x:v>1019</x:v>
      </x:c>
      <x:c r="B119" s="2">
        <x:v>1340235</x:v>
      </x:c>
      <x:c r="C119" s="2">
        <x:v>801240</x:v>
      </x:c>
      <x:c r="D119" s="2">
        <x:v>111830</x:v>
      </x:c>
      <x:c r="E119" s="2" t="s">
        <x:v>21</x:v>
      </x:c>
      <x:c r="F119" s="2" t="s">
        <x:v>211</x:v>
      </x:c>
      <x:c r="G119" s="2" t="s">
        <x:v>218</x:v>
      </x:c>
      <x:c r="H119" s="2" t="s">
        <x:v>107</x:v>
      </x:c>
      <x:c r="I119" s="2" t="s">
        <x:v>108</x:v>
      </x:c>
      <x:c r="J119" s="2">
        <x:v>4</x:v>
      </x:c>
      <x:c r="K119" s="2" t="s">
        <x:v>117</x:v>
      </x:c>
      <x:c r="L119" s="2" t="s">
        <x:v>110</x:v>
      </x:c>
      <x:c r="M119" s="2"/>
      <x:c r="N119" s="2">
        <x:v>2.7</x:v>
      </x:c>
      <x:c r="O119" s="2">
        <x:v>1.7</x:v>
      </x:c>
      <x:c r="P119" s="2">
        <x:v>4.2</x:v>
      </x:c>
      <x:c r="Q119" s="2" t="s">
        <x:v>121</x:v>
      </x:c>
      <x:c r="R119" s="2">
        <x:v>2.7</x:v>
      </x:c>
      <x:c r="S119" s="2" t="s">
        <x:v>121</x:v>
      </x:c>
      <x:c r="T119" s="2">
        <x:v>21</x:v>
      </x:c>
      <x:c r="U119" s="2">
        <x:v>32</x:v>
      </x:c>
      <x:c r="V119" s="2">
        <x:v>8.1999999999999993</x:v>
      </x:c>
      <x:c r="W119" s="2"/>
      <x:c r="X119" s="2" t="s">
        <x:v>219</x:v>
      </x:c>
      <x:c r="Y119" s="2" t="s">
        <x:v>113</x:v>
      </x:c>
      <x:c r="Z119" s="2" t="s">
        <x:v>114</x:v>
      </x:c>
    </x:row>
    <x:row r="120" ht="27">
      <x:c r="A120" s="2">
        <x:v>1022</x:v>
      </x:c>
      <x:c r="B120" s="2">
        <x:v>1096448</x:v>
      </x:c>
      <x:c r="C120" s="2">
        <x:v>130168</x:v>
      </x:c>
      <x:c r="D120" s="2">
        <x:v>6825</x:v>
      </x:c>
      <x:c r="E120" s="2" t="s">
        <x:v>21</x:v>
      </x:c>
      <x:c r="F120" s="2" t="s">
        <x:v>211</x:v>
      </x:c>
      <x:c r="G120" s="2" t="s">
        <x:v>214</x:v>
      </x:c>
      <x:c r="H120" s="2" t="s">
        <x:v>135</x:v>
      </x:c>
      <x:c r="I120" s="2" t="s">
        <x:v>108</x:v>
      </x:c>
      <x:c r="J120" s="2">
        <x:v>2</x:v>
      </x:c>
      <x:c r="K120" s="2" t="s">
        <x:v>117</x:v>
      </x:c>
      <x:c r="L120" s="2" t="s">
        <x:v>215</x:v>
      </x:c>
      <x:c r="M120" s="2"/>
      <x:c r="N120" s="2">
        <x:v>700</x:v>
      </x:c>
      <x:c r="O120" s="2">
        <x:v>10</x:v>
      </x:c>
      <x:c r="P120" s="2">
        <x:v>940</x:v>
      </x:c>
      <x:c r="Q120" s="2" t="s">
        <x:v>111</x:v>
      </x:c>
      <x:c r="R120" s="2">
        <x:v>700</x:v>
      </x:c>
      <x:c r="S120" s="2" t="s">
        <x:v>111</x:v>
      </x:c>
      <x:c r="T120" s="2">
        <x:v>25</x:v>
      </x:c>
      <x:c r="U120" s="2">
        <x:v>25</x:v>
      </x:c>
      <x:c r="V120" s="2"/>
      <x:c r="W120" s="2"/>
      <x:c r="X120" s="2" t="s">
        <x:v>213</x:v>
      </x:c>
      <x:c r="Y120" s="2" t="s">
        <x:v>220</x:v>
      </x:c>
      <x:c r="Z120" s="2" t="s">
        <x:v>221</x:v>
      </x:c>
    </x:row>
    <x:row r="121" ht="40.5">
      <x:c r="A121" s="2">
        <x:v>1027</x:v>
      </x:c>
      <x:c r="B121" s="2">
        <x:v>2095611</x:v>
      </x:c>
      <x:c r="C121" s="2">
        <x:v>2175506</x:v>
      </x:c>
      <x:c r="D121" s="2">
        <x:v>161986</x:v>
      </x:c>
      <x:c r="E121" s="2" t="s">
        <x:v>21</x:v>
      </x:c>
      <x:c r="F121" s="2" t="s">
        <x:v>211</x:v>
      </x:c>
      <x:c r="G121" s="2" t="s">
        <x:v>222</x:v>
      </x:c>
      <x:c r="H121" s="2" t="s">
        <x:v>107</x:v>
      </x:c>
      <x:c r="I121" s="2" t="s">
        <x:v>108</x:v>
      </x:c>
      <x:c r="J121" s="2">
        <x:v>4</x:v>
      </x:c>
      <x:c r="K121" s="2" t="s">
        <x:v>117</x:v>
      </x:c>
      <x:c r="L121" s="2" t="s">
        <x:v>110</x:v>
      </x:c>
      <x:c r="M121" s="2"/>
      <x:c r="N121" s="2">
        <x:v>0.38</x:v>
      </x:c>
      <x:c r="O121" s="2">
        <x:v>0.32</x:v>
      </x:c>
      <x:c r="P121" s="2">
        <x:v>0.46</x:v>
      </x:c>
      <x:c r="Q121" s="2" t="s">
        <x:v>121</x:v>
      </x:c>
      <x:c r="R121" s="2">
        <x:v>0.38</x:v>
      </x:c>
      <x:c r="S121" s="2" t="s">
        <x:v>121</x:v>
      </x:c>
      <x:c r="T121" s="2">
        <x:v>20</x:v>
      </x:c>
      <x:c r="U121" s="2">
        <x:v>30</x:v>
      </x:c>
      <x:c r="V121" s="2"/>
      <x:c r="W121" s="2"/>
      <x:c r="X121" s="2" t="s">
        <x:v>223</x:v>
      </x:c>
      <x:c r="Y121" s="2" t="s">
        <x:v>113</x:v>
      </x:c>
      <x:c r="Z121" s="2" t="s">
        <x:v>114</x:v>
      </x:c>
    </x:row>
    <x:row r="122" ht="40.5">
      <x:c r="A122" s="2">
        <x:v>1028</x:v>
      </x:c>
      <x:c r="B122" s="2">
        <x:v>2095611</x:v>
      </x:c>
      <x:c r="C122" s="2">
        <x:v>2175507</x:v>
      </x:c>
      <x:c r="D122" s="2">
        <x:v>161986</x:v>
      </x:c>
      <x:c r="E122" s="2" t="s">
        <x:v>21</x:v>
      </x:c>
      <x:c r="F122" s="2" t="s">
        <x:v>211</x:v>
      </x:c>
      <x:c r="G122" s="2" t="s">
        <x:v>222</x:v>
      </x:c>
      <x:c r="H122" s="2" t="s">
        <x:v>107</x:v>
      </x:c>
      <x:c r="I122" s="2" t="s">
        <x:v>108</x:v>
      </x:c>
      <x:c r="J122" s="2">
        <x:v>4</x:v>
      </x:c>
      <x:c r="K122" s="2" t="s">
        <x:v>117</x:v>
      </x:c>
      <x:c r="L122" s="2" t="s">
        <x:v>110</x:v>
      </x:c>
      <x:c r="M122" s="2"/>
      <x:c r="N122" s="2">
        <x:v>1.1000000000000001</x:v>
      </x:c>
      <x:c r="O122" s="2">
        <x:v>0.81</x:v>
      </x:c>
      <x:c r="P122" s="2">
        <x:v>1.47</x:v>
      </x:c>
      <x:c r="Q122" s="2" t="s">
        <x:v>121</x:v>
      </x:c>
      <x:c r="R122" s="2">
        <x:v>1.1000000000000001</x:v>
      </x:c>
      <x:c r="S122" s="2" t="s">
        <x:v>121</x:v>
      </x:c>
      <x:c r="T122" s="2">
        <x:v>20</x:v>
      </x:c>
      <x:c r="U122" s="2">
        <x:v>30</x:v>
      </x:c>
      <x:c r="V122" s="2"/>
      <x:c r="W122" s="2"/>
      <x:c r="X122" s="2" t="s">
        <x:v>223</x:v>
      </x:c>
      <x:c r="Y122" s="2" t="s">
        <x:v>113</x:v>
      </x:c>
      <x:c r="Z122" s="2" t="s">
        <x:v>114</x:v>
      </x:c>
    </x:row>
    <x:row r="123" ht="40.5">
      <x:c r="A123" s="2">
        <x:v>1029</x:v>
      </x:c>
      <x:c r="B123" s="2">
        <x:v>2095611</x:v>
      </x:c>
      <x:c r="C123" s="2">
        <x:v>2175498</x:v>
      </x:c>
      <x:c r="D123" s="2">
        <x:v>161986</x:v>
      </x:c>
      <x:c r="E123" s="2" t="s">
        <x:v>21</x:v>
      </x:c>
      <x:c r="F123" s="2" t="s">
        <x:v>211</x:v>
      </x:c>
      <x:c r="G123" s="2" t="s">
        <x:v>222</x:v>
      </x:c>
      <x:c r="H123" s="2" t="s">
        <x:v>107</x:v>
      </x:c>
      <x:c r="I123" s="2" t="s">
        <x:v>108</x:v>
      </x:c>
      <x:c r="J123" s="2">
        <x:v>4</x:v>
      </x:c>
      <x:c r="K123" s="2" t="s">
        <x:v>117</x:v>
      </x:c>
      <x:c r="L123" s="2" t="s">
        <x:v>110</x:v>
      </x:c>
      <x:c r="M123" s="2"/>
      <x:c r="N123" s="2">
        <x:v>0.64</x:v>
      </x:c>
      <x:c r="O123" s="2">
        <x:v>0.51</x:v>
      </x:c>
      <x:c r="P123" s="2">
        <x:v>0.82</x:v>
      </x:c>
      <x:c r="Q123" s="2" t="s">
        <x:v>121</x:v>
      </x:c>
      <x:c r="R123" s="2">
        <x:v>0.64</x:v>
      </x:c>
      <x:c r="S123" s="2" t="s">
        <x:v>121</x:v>
      </x:c>
      <x:c r="T123" s="2">
        <x:v>20</x:v>
      </x:c>
      <x:c r="U123" s="2">
        <x:v>30</x:v>
      </x:c>
      <x:c r="V123" s="2"/>
      <x:c r="W123" s="2"/>
      <x:c r="X123" s="2" t="s">
        <x:v>223</x:v>
      </x:c>
      <x:c r="Y123" s="2" t="s">
        <x:v>113</x:v>
      </x:c>
      <x:c r="Z123" s="2" t="s">
        <x:v>114</x:v>
      </x:c>
    </x:row>
    <x:row r="124" ht="27">
      <x:c r="A124" s="2">
        <x:v>1037</x:v>
      </x:c>
      <x:c r="B124" s="2">
        <x:v>1096426</x:v>
      </x:c>
      <x:c r="C124" s="2">
        <x:v>121122</x:v>
      </x:c>
      <x:c r="D124" s="2">
        <x:v>6825</x:v>
      </x:c>
      <x:c r="E124" s="2" t="s">
        <x:v>21</x:v>
      </x:c>
      <x:c r="F124" s="2" t="s">
        <x:v>211</x:v>
      </x:c>
      <x:c r="G124" s="2" t="s">
        <x:v>212</x:v>
      </x:c>
      <x:c r="H124" s="2" t="s">
        <x:v>135</x:v>
      </x:c>
      <x:c r="I124" s="2" t="s">
        <x:v>108</x:v>
      </x:c>
      <x:c r="J124" s="2">
        <x:v>2</x:v>
      </x:c>
      <x:c r="K124" s="2" t="s">
        <x:v>117</x:v>
      </x:c>
      <x:c r="L124" s="2" t="s">
        <x:v>215</x:v>
      </x:c>
      <x:c r="M124" s="2"/>
      <x:c r="N124" s="2">
        <x:v>40</x:v>
      </x:c>
      <x:c r="O124" s="2">
        <x:v>20</x:v>
      </x:c>
      <x:c r="P124" s="2">
        <x:v>80</x:v>
      </x:c>
      <x:c r="Q124" s="2" t="s">
        <x:v>111</x:v>
      </x:c>
      <x:c r="R124" s="2">
        <x:v>40</x:v>
      </x:c>
      <x:c r="S124" s="2" t="s">
        <x:v>111</x:v>
      </x:c>
      <x:c r="T124" s="2">
        <x:v>25</x:v>
      </x:c>
      <x:c r="U124" s="2">
        <x:v>33.5</x:v>
      </x:c>
      <x:c r="V124" s="2"/>
      <x:c r="W124" s="2"/>
      <x:c r="X124" s="2" t="s">
        <x:v>213</x:v>
      </x:c>
      <x:c r="Y124" s="2" t="s">
        <x:v>220</x:v>
      </x:c>
      <x:c r="Z124" s="2" t="s">
        <x:v>221</x:v>
      </x:c>
    </x:row>
    <x:row r="125" ht="27">
      <x:c r="A125" s="2">
        <x:v>1048</x:v>
      </x:c>
      <x:c r="B125" s="2">
        <x:v>1096450</x:v>
      </x:c>
      <x:c r="C125" s="2">
        <x:v>130170</x:v>
      </x:c>
      <x:c r="D125" s="2">
        <x:v>6825</x:v>
      </x:c>
      <x:c r="E125" s="2" t="s">
        <x:v>21</x:v>
      </x:c>
      <x:c r="F125" s="2" t="s">
        <x:v>211</x:v>
      </x:c>
      <x:c r="G125" s="2" t="s">
        <x:v>214</x:v>
      </x:c>
      <x:c r="H125" s="2" t="s">
        <x:v>135</x:v>
      </x:c>
      <x:c r="I125" s="2" t="s">
        <x:v>108</x:v>
      </x:c>
      <x:c r="J125" s="2">
        <x:v>2</x:v>
      </x:c>
      <x:c r="K125" s="2" t="s">
        <x:v>117</x:v>
      </x:c>
      <x:c r="L125" s="2" t="s">
        <x:v>215</x:v>
      </x:c>
      <x:c r="M125" s="2"/>
      <x:c r="N125" s="2">
        <x:v>890</x:v>
      </x:c>
      <x:c r="O125" s="2">
        <x:v>600</x:v>
      </x:c>
      <x:c r="P125" s="2">
        <x:v>1020</x:v>
      </x:c>
      <x:c r="Q125" s="2" t="s">
        <x:v>111</x:v>
      </x:c>
      <x:c r="R125" s="2">
        <x:v>890</x:v>
      </x:c>
      <x:c r="S125" s="2" t="s">
        <x:v>111</x:v>
      </x:c>
      <x:c r="T125" s="2">
        <x:v>25</x:v>
      </x:c>
      <x:c r="U125" s="2">
        <x:v>32</x:v>
      </x:c>
      <x:c r="V125" s="2"/>
      <x:c r="W125" s="2"/>
      <x:c r="X125" s="2" t="s">
        <x:v>213</x:v>
      </x:c>
      <x:c r="Y125" s="2" t="s">
        <x:v>220</x:v>
      </x:c>
      <x:c r="Z125" s="2" t="s">
        <x:v>221</x:v>
      </x:c>
    </x:row>
    <x:row r="126" ht="27">
      <x:c r="A126" s="2">
        <x:v>1054</x:v>
      </x:c>
      <x:c r="B126" s="2">
        <x:v>1096425</x:v>
      </x:c>
      <x:c r="C126" s="2">
        <x:v>121121</x:v>
      </x:c>
      <x:c r="D126" s="2">
        <x:v>6825</x:v>
      </x:c>
      <x:c r="E126" s="2" t="s">
        <x:v>21</x:v>
      </x:c>
      <x:c r="F126" s="2" t="s">
        <x:v>211</x:v>
      </x:c>
      <x:c r="G126" s="2" t="s">
        <x:v>212</x:v>
      </x:c>
      <x:c r="H126" s="2" t="s">
        <x:v>135</x:v>
      </x:c>
      <x:c r="I126" s="2" t="s">
        <x:v>108</x:v>
      </x:c>
      <x:c r="J126" s="2">
        <x:v>2</x:v>
      </x:c>
      <x:c r="K126" s="2" t="s">
        <x:v>117</x:v>
      </x:c>
      <x:c r="L126" s="2" t="s">
        <x:v>215</x:v>
      </x:c>
      <x:c r="M126" s="2"/>
      <x:c r="N126" s="2">
        <x:v>31</x:v>
      </x:c>
      <x:c r="O126" s="2">
        <x:v>10</x:v>
      </x:c>
      <x:c r="P126" s="2">
        <x:v>46</x:v>
      </x:c>
      <x:c r="Q126" s="2" t="s">
        <x:v>111</x:v>
      </x:c>
      <x:c r="R126" s="2">
        <x:v>31</x:v>
      </x:c>
      <x:c r="S126" s="2" t="s">
        <x:v>111</x:v>
      </x:c>
      <x:c r="T126" s="2">
        <x:v>25</x:v>
      </x:c>
      <x:c r="U126" s="2">
        <x:v>33.5</x:v>
      </x:c>
      <x:c r="V126" s="2"/>
      <x:c r="W126" s="2"/>
      <x:c r="X126" s="2" t="s">
        <x:v>213</x:v>
      </x:c>
      <x:c r="Y126" s="2" t="s">
        <x:v>220</x:v>
      </x:c>
      <x:c r="Z126" s="2" t="s">
        <x:v>221</x:v>
      </x:c>
    </x:row>
    <x:row r="127" ht="27">
      <x:c r="A127" s="2">
        <x:v>1064</x:v>
      </x:c>
      <x:c r="B127" s="2">
        <x:v>1096449</x:v>
      </x:c>
      <x:c r="C127" s="2">
        <x:v>130169</x:v>
      </x:c>
      <x:c r="D127" s="2">
        <x:v>6825</x:v>
      </x:c>
      <x:c r="E127" s="2" t="s">
        <x:v>21</x:v>
      </x:c>
      <x:c r="F127" s="2" t="s">
        <x:v>211</x:v>
      </x:c>
      <x:c r="G127" s="2" t="s">
        <x:v>214</x:v>
      </x:c>
      <x:c r="H127" s="2" t="s">
        <x:v>135</x:v>
      </x:c>
      <x:c r="I127" s="2" t="s">
        <x:v>108</x:v>
      </x:c>
      <x:c r="J127" s="2">
        <x:v>2</x:v>
      </x:c>
      <x:c r="K127" s="2" t="s">
        <x:v>117</x:v>
      </x:c>
      <x:c r="L127" s="2" t="s">
        <x:v>215</x:v>
      </x:c>
      <x:c r="M127" s="2"/>
      <x:c r="N127" s="2">
        <x:v>550</x:v>
      </x:c>
      <x:c r="O127" s="2">
        <x:v>0</x:v>
      </x:c>
      <x:c r="P127" s="2">
        <x:v>860</x:v>
      </x:c>
      <x:c r="Q127" s="2" t="s">
        <x:v>111</x:v>
      </x:c>
      <x:c r="R127" s="2">
        <x:v>550</x:v>
      </x:c>
      <x:c r="S127" s="2" t="s">
        <x:v>111</x:v>
      </x:c>
      <x:c r="T127" s="2">
        <x:v>25</x:v>
      </x:c>
      <x:c r="U127" s="2">
        <x:v>28</x:v>
      </x:c>
      <x:c r="V127" s="2"/>
      <x:c r="W127" s="2"/>
      <x:c r="X127" s="2" t="s">
        <x:v>213</x:v>
      </x:c>
      <x:c r="Y127" s="2" t="s">
        <x:v>220</x:v>
      </x:c>
      <x:c r="Z127" s="2" t="s">
        <x:v>221</x:v>
      </x:c>
    </x:row>
    <x:row r="128" ht="27">
      <x:c r="A128" s="2">
        <x:v>1068</x:v>
      </x:c>
      <x:c r="B128" s="2">
        <x:v>1096446</x:v>
      </x:c>
      <x:c r="C128" s="2">
        <x:v>130166</x:v>
      </x:c>
      <x:c r="D128" s="2">
        <x:v>6825</x:v>
      </x:c>
      <x:c r="E128" s="2" t="s">
        <x:v>21</x:v>
      </x:c>
      <x:c r="F128" s="2" t="s">
        <x:v>211</x:v>
      </x:c>
      <x:c r="G128" s="2" t="s">
        <x:v>214</x:v>
      </x:c>
      <x:c r="H128" s="2" t="s">
        <x:v>135</x:v>
      </x:c>
      <x:c r="I128" s="2" t="s">
        <x:v>108</x:v>
      </x:c>
      <x:c r="J128" s="2">
        <x:v>2</x:v>
      </x:c>
      <x:c r="K128" s="2" t="s">
        <x:v>117</x:v>
      </x:c>
      <x:c r="L128" s="2" t="s">
        <x:v>110</x:v>
      </x:c>
      <x:c r="M128" s="2"/>
      <x:c r="N128" s="2">
        <x:v>420</x:v>
      </x:c>
      <x:c r="O128" s="2">
        <x:v>310</x:v>
      </x:c>
      <x:c r="P128" s="2">
        <x:v>560</x:v>
      </x:c>
      <x:c r="Q128" s="2" t="s">
        <x:v>111</x:v>
      </x:c>
      <x:c r="R128" s="2">
        <x:v>420</x:v>
      </x:c>
      <x:c r="S128" s="2" t="s">
        <x:v>111</x:v>
      </x:c>
      <x:c r="T128" s="2">
        <x:v>25</x:v>
      </x:c>
      <x:c r="U128" s="2">
        <x:v>33.5</x:v>
      </x:c>
      <x:c r="V128" s="2"/>
      <x:c r="W128" s="2"/>
      <x:c r="X128" s="2" t="s">
        <x:v>213</x:v>
      </x:c>
      <x:c r="Y128" s="2" t="s">
        <x:v>113</x:v>
      </x:c>
      <x:c r="Z128" s="2" t="s">
        <x:v>114</x:v>
      </x:c>
    </x:row>
    <x:row r="129" ht="27">
      <x:c r="A129" s="2">
        <x:v>1087</x:v>
      </x:c>
      <x:c r="B129" s="2">
        <x:v>1096432</x:v>
      </x:c>
      <x:c r="C129" s="2">
        <x:v>121128</x:v>
      </x:c>
      <x:c r="D129" s="2">
        <x:v>6825</x:v>
      </x:c>
      <x:c r="E129" s="2" t="s">
        <x:v>21</x:v>
      </x:c>
      <x:c r="F129" s="2" t="s">
        <x:v>211</x:v>
      </x:c>
      <x:c r="G129" s="2" t="s">
        <x:v>212</x:v>
      </x:c>
      <x:c r="H129" s="2" t="s">
        <x:v>135</x:v>
      </x:c>
      <x:c r="I129" s="2" t="s">
        <x:v>108</x:v>
      </x:c>
      <x:c r="J129" s="2">
        <x:v>2</x:v>
      </x:c>
      <x:c r="K129" s="2" t="s">
        <x:v>117</x:v>
      </x:c>
      <x:c r="L129" s="2" t="s">
        <x:v>215</x:v>
      </x:c>
      <x:c r="M129" s="2"/>
      <x:c r="N129" s="2">
        <x:v>31</x:v>
      </x:c>
      <x:c r="O129" s="2">
        <x:v>10</x:v>
      </x:c>
      <x:c r="P129" s="2">
        <x:v>46</x:v>
      </x:c>
      <x:c r="Q129" s="2" t="s">
        <x:v>111</x:v>
      </x:c>
      <x:c r="R129" s="2">
        <x:v>31</x:v>
      </x:c>
      <x:c r="S129" s="2" t="s">
        <x:v>111</x:v>
      </x:c>
      <x:c r="T129" s="2">
        <x:v>25</x:v>
      </x:c>
      <x:c r="U129" s="2">
        <x:v>32</x:v>
      </x:c>
      <x:c r="V129" s="2"/>
      <x:c r="W129" s="2"/>
      <x:c r="X129" s="2" t="s">
        <x:v>213</x:v>
      </x:c>
      <x:c r="Y129" s="2" t="s">
        <x:v>220</x:v>
      </x:c>
      <x:c r="Z129" s="2" t="s">
        <x:v>221</x:v>
      </x:c>
    </x:row>
    <x:row r="130" ht="40.5">
      <x:c r="A130" s="2">
        <x:v>1106</x:v>
      </x:c>
      <x:c r="B130" s="2">
        <x:v>2095567</x:v>
      </x:c>
      <x:c r="C130" s="2">
        <x:v>2175478</x:v>
      </x:c>
      <x:c r="D130" s="2">
        <x:v>161986</x:v>
      </x:c>
      <x:c r="E130" s="2" t="s">
        <x:v>21</x:v>
      </x:c>
      <x:c r="F130" s="2" t="s">
        <x:v>211</x:v>
      </x:c>
      <x:c r="G130" s="2" t="s">
        <x:v>218</x:v>
      </x:c>
      <x:c r="H130" s="2" t="s">
        <x:v>107</x:v>
      </x:c>
      <x:c r="I130" s="2" t="s">
        <x:v>108</x:v>
      </x:c>
      <x:c r="J130" s="2">
        <x:v>4</x:v>
      </x:c>
      <x:c r="K130" s="2" t="s">
        <x:v>117</x:v>
      </x:c>
      <x:c r="L130" s="2" t="s">
        <x:v>110</x:v>
      </x:c>
      <x:c r="M130" s="2"/>
      <x:c r="N130" s="2">
        <x:v>2</x:v>
      </x:c>
      <x:c r="O130" s="2">
        <x:v>1.56</x:v>
      </x:c>
      <x:c r="P130" s="2">
        <x:v>2.25</x:v>
      </x:c>
      <x:c r="Q130" s="2" t="s">
        <x:v>121</x:v>
      </x:c>
      <x:c r="R130" s="2">
        <x:v>2</x:v>
      </x:c>
      <x:c r="S130" s="2" t="s">
        <x:v>121</x:v>
      </x:c>
      <x:c r="T130" s="2">
        <x:v>20</x:v>
      </x:c>
      <x:c r="U130" s="2">
        <x:v>30</x:v>
      </x:c>
      <x:c r="V130" s="2"/>
      <x:c r="W130" s="2"/>
      <x:c r="X130" s="2" t="s">
        <x:v>223</x:v>
      </x:c>
      <x:c r="Y130" s="2" t="s">
        <x:v>113</x:v>
      </x:c>
      <x:c r="Z130" s="2" t="s">
        <x:v>114</x:v>
      </x:c>
    </x:row>
    <x:row r="131" ht="27">
      <x:c r="A131" s="2">
        <x:v>1125</x:v>
      </x:c>
      <x:c r="B131" s="2">
        <x:v>1037874</x:v>
      </x:c>
      <x:c r="C131" s="2">
        <x:v>104479</x:v>
      </x:c>
      <x:c r="D131" s="2">
        <x:v>2332</x:v>
      </x:c>
      <x:c r="E131" s="2" t="s">
        <x:v>21</x:v>
      </x:c>
      <x:c r="F131" s="2" t="s">
        <x:v>211</x:v>
      </x:c>
      <x:c r="G131" s="2" t="s">
        <x:v>129</x:v>
      </x:c>
      <x:c r="H131" s="2" t="s">
        <x:v>107</x:v>
      </x:c>
      <x:c r="I131" s="2"/>
      <x:c r="J131" s="2">
        <x:v>4</x:v>
      </x:c>
      <x:c r="K131" s="2" t="s">
        <x:v>136</x:v>
      </x:c>
      <x:c r="L131" s="2" t="s">
        <x:v>110</x:v>
      </x:c>
      <x:c r="M131" s="2"/>
      <x:c r="N131" s="2">
        <x:v>2800</x:v>
      </x:c>
      <x:c r="O131" s="2">
        <x:v>2000</x:v>
      </x:c>
      <x:c r="P131" s="2">
        <x:v>3900</x:v>
      </x:c>
      <x:c r="Q131" s="2" t="s">
        <x:v>111</x:v>
      </x:c>
      <x:c r="R131" s="2">
        <x:v>2800</x:v>
      </x:c>
      <x:c r="S131" s="2" t="s">
        <x:v>111</x:v>
      </x:c>
      <x:c r="T131" s="2"/>
      <x:c r="U131" s="2">
        <x:v>25</x:v>
      </x:c>
      <x:c r="V131" s="2"/>
      <x:c r="W131" s="2"/>
      <x:c r="X131" s="2" t="s">
        <x:v>205</x:v>
      </x:c>
      <x:c r="Y131" s="2" t="s">
        <x:v>113</x:v>
      </x:c>
      <x:c r="Z131" s="2" t="s">
        <x:v>114</x:v>
      </x:c>
    </x:row>
    <x:row r="132" ht="40.5">
      <x:c r="A132" s="2">
        <x:v>1144</x:v>
      </x:c>
      <x:c r="B132" s="2">
        <x:v>2299150</x:v>
      </x:c>
      <x:c r="C132" s="2">
        <x:v>2706689</x:v>
      </x:c>
      <x:c r="D132" s="2">
        <x:v>5185</x:v>
      </x:c>
      <x:c r="E132" s="2" t="s">
        <x:v>21</x:v>
      </x:c>
      <x:c r="F132" s="2" t="s">
        <x:v>211</x:v>
      </x:c>
      <x:c r="G132" s="2" t="s">
        <x:v>129</x:v>
      </x:c>
      <x:c r="H132" s="2" t="s">
        <x:v>107</x:v>
      </x:c>
      <x:c r="I132" s="2" t="s">
        <x:v>108</x:v>
      </x:c>
      <x:c r="J132" s="2">
        <x:v>4</x:v>
      </x:c>
      <x:c r="K132" s="2" t="s">
        <x:v>117</x:v>
      </x:c>
      <x:c r="L132" s="2" t="s">
        <x:v>110</x:v>
      </x:c>
      <x:c r="M132" s="2"/>
      <x:c r="N132" s="2">
        <x:v>4.3</x:v>
      </x:c>
      <x:c r="O132" s="2">
        <x:v>3.6</x:v>
      </x:c>
      <x:c r="P132" s="2">
        <x:v>5.0999999999999996</x:v>
      </x:c>
      <x:c r="Q132" s="2" t="s">
        <x:v>121</x:v>
      </x:c>
      <x:c r="R132" s="2">
        <x:v>4.3</x:v>
      </x:c>
      <x:c r="S132" s="2" t="s">
        <x:v>121</x:v>
      </x:c>
      <x:c r="T132" s="2">
        <x:v>21</x:v>
      </x:c>
      <x:c r="U132" s="2">
        <x:v>7</x:v>
      </x:c>
      <x:c r="V132" s="2">
        <x:v>7.8</x:v>
      </x:c>
      <x:c r="W132" s="2"/>
      <x:c r="X132" s="2" t="s">
        <x:v>225</x:v>
      </x:c>
      <x:c r="Y132" s="2" t="s">
        <x:v>113</x:v>
      </x:c>
      <x:c r="Z132" s="2" t="s">
        <x:v>114</x:v>
      </x:c>
    </x:row>
    <x:row r="133" ht="27">
      <x:c r="A133" s="2">
        <x:v>1145</x:v>
      </x:c>
      <x:c r="B133" s="2">
        <x:v>2101666</x:v>
      </x:c>
      <x:c r="C133" s="2">
        <x:v>2186591</x:v>
      </x:c>
      <x:c r="D133" s="2">
        <x:v>150008</x:v>
      </x:c>
      <x:c r="E133" s="2" t="s">
        <x:v>21</x:v>
      </x:c>
      <x:c r="F133" s="2" t="s">
        <x:v>211</x:v>
      </x:c>
      <x:c r="G133" s="2" t="s">
        <x:v>106</x:v>
      </x:c>
      <x:c r="H133" s="2" t="s">
        <x:v>107</x:v>
      </x:c>
      <x:c r="I133" s="2" t="s">
        <x:v>125</x:v>
      </x:c>
      <x:c r="J133" s="2">
        <x:v>4</x:v>
      </x:c>
      <x:c r="K133" s="2" t="s">
        <x:v>126</x:v>
      </x:c>
      <x:c r="L133" s="2" t="s">
        <x:v>120</x:v>
      </x:c>
      <x:c r="M133" s="2"/>
      <x:c r="N133" s="2">
        <x:v>1.1399999999999999</x:v>
      </x:c>
      <x:c r="O133" s="2">
        <x:v>0.86</x:v>
      </x:c>
      <x:c r="P133" s="2">
        <x:v>1.5</x:v>
      </x:c>
      <x:c r="Q133" s="2" t="s">
        <x:v>121</x:v>
      </x:c>
      <x:c r="R133" s="2">
        <x:v>1.1399999999999999</x:v>
      </x:c>
      <x:c r="S133" s="2" t="s">
        <x:v>121</x:v>
      </x:c>
      <x:c r="T133" s="2">
        <x:v>25</x:v>
      </x:c>
      <x:c r="U133" s="2"/>
      <x:c r="V133" s="2"/>
      <x:c r="W133" s="2"/>
      <x:c r="X133" s="2" t="s">
        <x:v>127</x:v>
      </x:c>
      <x:c r="Y133" s="2" t="s">
        <x:v>113</x:v>
      </x:c>
      <x:c r="Z133" s="2" t="s">
        <x:v>114</x:v>
      </x:c>
    </x:row>
    <x:row r="134" ht="27">
      <x:c r="A134" s="2">
        <x:v>1150</x:v>
      </x:c>
      <x:c r="B134" s="2">
        <x:v>1037871</x:v>
      </x:c>
      <x:c r="C134" s="2">
        <x:v>104476</x:v>
      </x:c>
      <x:c r="D134" s="2">
        <x:v>2332</x:v>
      </x:c>
      <x:c r="E134" s="2" t="s">
        <x:v>21</x:v>
      </x:c>
      <x:c r="F134" s="2" t="s">
        <x:v>211</x:v>
      </x:c>
      <x:c r="G134" s="2" t="s">
        <x:v>129</x:v>
      </x:c>
      <x:c r="H134" s="2" t="s">
        <x:v>107</x:v>
      </x:c>
      <x:c r="I134" s="2"/>
      <x:c r="J134" s="2">
        <x:v>4</x:v>
      </x:c>
      <x:c r="K134" s="2" t="s">
        <x:v>136</x:v>
      </x:c>
      <x:c r="L134" s="2" t="s">
        <x:v>110</x:v>
      </x:c>
      <x:c r="M134" s="2"/>
      <x:c r="N134" s="2">
        <x:v>2400</x:v>
      </x:c>
      <x:c r="O134" s="2">
        <x:v>2000</x:v>
      </x:c>
      <x:c r="P134" s="2">
        <x:v>2900</x:v>
      </x:c>
      <x:c r="Q134" s="2" t="s">
        <x:v>111</x:v>
      </x:c>
      <x:c r="R134" s="2">
        <x:v>2400</x:v>
      </x:c>
      <x:c r="S134" s="2" t="s">
        <x:v>111</x:v>
      </x:c>
      <x:c r="T134" s="2"/>
      <x:c r="U134" s="2">
        <x:v>15</x:v>
      </x:c>
      <x:c r="V134" s="2"/>
      <x:c r="W134" s="2"/>
      <x:c r="X134" s="2" t="s">
        <x:v>205</x:v>
      </x:c>
      <x:c r="Y134" s="2" t="s">
        <x:v>113</x:v>
      </x:c>
      <x:c r="Z134" s="2" t="s">
        <x:v>114</x:v>
      </x:c>
    </x:row>
    <x:row r="135" ht="27">
      <x:c r="A135" s="2">
        <x:v>1156</x:v>
      </x:c>
      <x:c r="B135" s="2">
        <x:v>1278692</x:v>
      </x:c>
      <x:c r="C135" s="2">
        <x:v>731972</x:v>
      </x:c>
      <x:c r="D135" s="2">
        <x:v>62291</x:v>
      </x:c>
      <x:c r="E135" s="2" t="s">
        <x:v>21</x:v>
      </x:c>
      <x:c r="F135" s="2" t="s">
        <x:v>211</x:v>
      </x:c>
      <x:c r="G135" s="2" t="s">
        <x:v>226</x:v>
      </x:c>
      <x:c r="H135" s="2" t="s">
        <x:v>107</x:v>
      </x:c>
      <x:c r="I135" s="2" t="s">
        <x:v>108</x:v>
      </x:c>
      <x:c r="J135" s="2">
        <x:v>4</x:v>
      </x:c>
      <x:c r="K135" s="2" t="s">
        <x:v>126</x:v>
      </x:c>
      <x:c r="L135" s="2" t="s">
        <x:v>110</x:v>
      </x:c>
      <x:c r="M135" s="2"/>
      <x:c r="N135" s="2">
        <x:v>715.2</x:v>
      </x:c>
      <x:c r="O135" s="2">
        <x:v>666.4</x:v>
      </x:c>
      <x:c r="P135" s="2">
        <x:v>764</x:v>
      </x:c>
      <x:c r="Q135" s="2" t="s">
        <x:v>111</x:v>
      </x:c>
      <x:c r="R135" s="2">
        <x:v>715.2</x:v>
      </x:c>
      <x:c r="S135" s="2" t="s">
        <x:v>111</x:v>
      </x:c>
      <x:c r="T135" s="2">
        <x:v>20</x:v>
      </x:c>
      <x:c r="U135" s="2"/>
      <x:c r="V135" s="2"/>
      <x:c r="W135" s="2"/>
      <x:c r="X135" s="2" t="s">
        <x:v>227</x:v>
      </x:c>
      <x:c r="Y135" s="2" t="s">
        <x:v>113</x:v>
      </x:c>
      <x:c r="Z135" s="2" t="s">
        <x:v>114</x:v>
      </x:c>
    </x:row>
    <x:row r="136" ht="27">
      <x:c r="A136" s="2">
        <x:v>1163</x:v>
      </x:c>
      <x:c r="B136" s="2">
        <x:v>1053489</x:v>
      </x:c>
      <x:c r="C136" s="2">
        <x:v>5143</x:v>
      </x:c>
      <x:c r="D136" s="2">
        <x:v>3735</x:v>
      </x:c>
      <x:c r="E136" s="2" t="s">
        <x:v>10</x:v>
      </x:c>
      <x:c r="F136" s="2" t="s">
        <x:v>228</x:v>
      </x:c>
      <x:c r="G136" s="2" t="s">
        <x:v>146</x:v>
      </x:c>
      <x:c r="H136" s="2" t="s">
        <x:v>135</x:v>
      </x:c>
      <x:c r="I136" s="2" t="s">
        <x:v>108</x:v>
      </x:c>
      <x:c r="J136" s="2">
        <x:v>4</x:v>
      </x:c>
      <x:c r="K136" s="2" t="s">
        <x:v>117</x:v>
      </x:c>
      <x:c r="L136" s="2" t="s">
        <x:v>110</x:v>
      </x:c>
      <x:c r="M136" s="2"/>
      <x:c r="N136" s="2">
        <x:v>235.4</x:v>
      </x:c>
      <x:c r="O136" s="2">
        <x:v>188.7</x:v>
      </x:c>
      <x:c r="P136" s="2">
        <x:v>299.2</x:v>
      </x:c>
      <x:c r="Q136" s="2" t="s">
        <x:v>195</x:v>
      </x:c>
      <x:c r="R136" s="2">
        <x:v>235.4</x:v>
      </x:c>
      <x:c r="S136" s="2" t="s">
        <x:v>195</x:v>
      </x:c>
      <x:c r="T136" s="2">
        <x:v>15</x:v>
      </x:c>
      <x:c r="U136" s="2">
        <x:v>30</x:v>
      </x:c>
      <x:c r="V136" s="2"/>
      <x:c r="W136" s="2"/>
      <x:c r="X136" s="2" t="s">
        <x:v>229</x:v>
      </x:c>
      <x:c r="Y136" s="2" t="s">
        <x:v>113</x:v>
      </x:c>
      <x:c r="Z136" s="2" t="s">
        <x:v>114</x:v>
      </x:c>
    </x:row>
    <x:row r="137" ht="27">
      <x:c r="A137" s="2">
        <x:v>1164</x:v>
      </x:c>
      <x:c r="B137" s="2">
        <x:v>1053490</x:v>
      </x:c>
      <x:c r="C137" s="2">
        <x:v>5144</x:v>
      </x:c>
      <x:c r="D137" s="2">
        <x:v>3735</x:v>
      </x:c>
      <x:c r="E137" s="2" t="s">
        <x:v>10</x:v>
      </x:c>
      <x:c r="F137" s="2" t="s">
        <x:v>228</x:v>
      </x:c>
      <x:c r="G137" s="2" t="s">
        <x:v>150</x:v>
      </x:c>
      <x:c r="H137" s="2" t="s">
        <x:v>135</x:v>
      </x:c>
      <x:c r="I137" s="2" t="s">
        <x:v>108</x:v>
      </x:c>
      <x:c r="J137" s="2">
        <x:v>4</x:v>
      </x:c>
      <x:c r="K137" s="2" t="s">
        <x:v>117</x:v>
      </x:c>
      <x:c r="L137" s="2" t="s">
        <x:v>110</x:v>
      </x:c>
      <x:c r="M137" s="2"/>
      <x:c r="N137" s="2">
        <x:v>0.92800000000000005</x:v>
      </x:c>
      <x:c r="O137" s="2">
        <x:v>0.76100000000000001</x:v>
      </x:c>
      <x:c r="P137" s="2">
        <x:v>1.119</x:v>
      </x:c>
      <x:c r="Q137" s="2" t="s">
        <x:v>207</x:v>
      </x:c>
      <x:c r="R137" s="2">
        <x:v>0.92800000000000005</x:v>
      </x:c>
      <x:c r="S137" s="2" t="s">
        <x:v>207</x:v>
      </x:c>
      <x:c r="T137" s="2">
        <x:v>15</x:v>
      </x:c>
      <x:c r="U137" s="2">
        <x:v>30</x:v>
      </x:c>
      <x:c r="V137" s="2"/>
      <x:c r="W137" s="2"/>
      <x:c r="X137" s="2" t="s">
        <x:v>229</x:v>
      </x:c>
      <x:c r="Y137" s="2" t="s">
        <x:v>113</x:v>
      </x:c>
      <x:c r="Z137" s="2" t="s">
        <x:v>114</x:v>
      </x:c>
    </x:row>
    <x:row r="138" ht="27">
      <x:c r="A138" s="2">
        <x:v>1165</x:v>
      </x:c>
      <x:c r="B138" s="2">
        <x:v>1053488</x:v>
      </x:c>
      <x:c r="C138" s="2">
        <x:v>5142</x:v>
      </x:c>
      <x:c r="D138" s="2">
        <x:v>3735</x:v>
      </x:c>
      <x:c r="E138" s="2" t="s">
        <x:v>10</x:v>
      </x:c>
      <x:c r="F138" s="2" t="s">
        <x:v>228</x:v>
      </x:c>
      <x:c r="G138" s="2" t="s">
        <x:v>134</x:v>
      </x:c>
      <x:c r="H138" s="2" t="s">
        <x:v>135</x:v>
      </x:c>
      <x:c r="I138" s="2" t="s">
        <x:v>108</x:v>
      </x:c>
      <x:c r="J138" s="2">
        <x:v>3</x:v>
      </x:c>
      <x:c r="K138" s="2" t="s">
        <x:v>117</x:v>
      </x:c>
      <x:c r="L138" s="2" t="s">
        <x:v>110</x:v>
      </x:c>
      <x:c r="M138" s="2"/>
      <x:c r="N138" s="2">
        <x:v>58.1</x:v>
      </x:c>
      <x:c r="O138" s="2">
        <x:v>40.200000000000003</x:v>
      </x:c>
      <x:c r="P138" s="2">
        <x:v>82.9</x:v>
      </x:c>
      <x:c r="Q138" s="2" t="s">
        <x:v>195</x:v>
      </x:c>
      <x:c r="R138" s="2">
        <x:v>58.1</x:v>
      </x:c>
      <x:c r="S138" s="2" t="s">
        <x:v>195</x:v>
      </x:c>
      <x:c r="T138" s="2">
        <x:v>10</x:v>
      </x:c>
      <x:c r="U138" s="2">
        <x:v>30</x:v>
      </x:c>
      <x:c r="V138" s="2"/>
      <x:c r="W138" s="2"/>
      <x:c r="X138" s="2" t="s">
        <x:v>229</x:v>
      </x:c>
      <x:c r="Y138" s="2" t="s">
        <x:v>113</x:v>
      </x:c>
      <x:c r="Z138" s="2" t="s">
        <x:v>114</x:v>
      </x:c>
    </x:row>
    <x:row r="139" ht="40.5">
      <x:c r="A139" s="2">
        <x:v>1166</x:v>
      </x:c>
      <x:c r="B139" s="2">
        <x:v>1301502</x:v>
      </x:c>
      <x:c r="C139" s="2">
        <x:v>757396</x:v>
      </x:c>
      <x:c r="D139" s="2">
        <x:v>115854</x:v>
      </x:c>
      <x:c r="E139" s="2" t="s">
        <x:v>10</x:v>
      </x:c>
      <x:c r="F139" s="2" t="s">
        <x:v>228</x:v>
      </x:c>
      <x:c r="G139" s="2" t="s">
        <x:v>106</x:v>
      </x:c>
      <x:c r="H139" s="2" t="s">
        <x:v>107</x:v>
      </x:c>
      <x:c r="I139" s="2" t="s">
        <x:v>108</x:v>
      </x:c>
      <x:c r="J139" s="2">
        <x:v>4</x:v>
      </x:c>
      <x:c r="K139" s="2" t="s">
        <x:v>109</x:v>
      </x:c>
      <x:c r="L139" s="2" t="s">
        <x:v>110</x:v>
      </x:c>
      <x:c r="M139" s="2"/>
      <x:c r="N139" s="2">
        <x:v>1175</x:v>
      </x:c>
      <x:c r="O139" s="2"/>
      <x:c r="P139" s="2"/>
      <x:c r="Q139" s="2" t="s">
        <x:v>111</x:v>
      </x:c>
      <x:c r="R139" s="2">
        <x:v>1175</x:v>
      </x:c>
      <x:c r="S139" s="2" t="s">
        <x:v>111</x:v>
      </x:c>
      <x:c r="T139" s="2">
        <x:v>25</x:v>
      </x:c>
      <x:c r="U139" s="2">
        <x:v>33</x:v>
      </x:c>
      <x:c r="V139" s="2"/>
      <x:c r="W139" s="2"/>
      <x:c r="X139" s="2" t="s">
        <x:v>112</x:v>
      </x:c>
      <x:c r="Y139" s="2" t="s">
        <x:v>113</x:v>
      </x:c>
      <x:c r="Z139" s="2" t="s">
        <x:v>114</x:v>
      </x:c>
    </x:row>
    <x:row r="140" ht="27">
      <x:c r="A140" s="2">
        <x:v>1167</x:v>
      </x:c>
      <x:c r="B140" s="2">
        <x:v>1053487</x:v>
      </x:c>
      <x:c r="C140" s="2">
        <x:v>5141</x:v>
      </x:c>
      <x:c r="D140" s="2">
        <x:v>3735</x:v>
      </x:c>
      <x:c r="E140" s="2" t="s">
        <x:v>10</x:v>
      </x:c>
      <x:c r="F140" s="2" t="s">
        <x:v>228</x:v>
      </x:c>
      <x:c r="G140" s="2" t="s">
        <x:v>141</x:v>
      </x:c>
      <x:c r="H140" s="2" t="s">
        <x:v>135</x:v>
      </x:c>
      <x:c r="I140" s="2" t="s">
        <x:v>108</x:v>
      </x:c>
      <x:c r="J140" s="2">
        <x:v>4</x:v>
      </x:c>
      <x:c r="K140" s="2" t="s">
        <x:v>117</x:v>
      </x:c>
      <x:c r="L140" s="2" t="s">
        <x:v>110</x:v>
      </x:c>
      <x:c r="M140" s="2"/>
      <x:c r="N140" s="2">
        <x:v>4.9000000000000002E-2</x:v>
      </x:c>
      <x:c r="O140" s="2">
        <x:v>0.04</x:v>
      </x:c>
      <x:c r="P140" s="2">
        <x:v>0.06</x:v>
      </x:c>
      <x:c r="Q140" s="2" t="s">
        <x:v>207</x:v>
      </x:c>
      <x:c r="R140" s="2">
        <x:v>4.9000000000000002E-2</x:v>
      </x:c>
      <x:c r="S140" s="2" t="s">
        <x:v>207</x:v>
      </x:c>
      <x:c r="T140" s="2">
        <x:v>10</x:v>
      </x:c>
      <x:c r="U140" s="2">
        <x:v>30</x:v>
      </x:c>
      <x:c r="V140" s="2"/>
      <x:c r="W140" s="2"/>
      <x:c r="X140" s="2" t="s">
        <x:v>229</x:v>
      </x:c>
      <x:c r="Y140" s="2" t="s">
        <x:v>113</x:v>
      </x:c>
      <x:c r="Z140" s="2" t="s">
        <x:v>114</x:v>
      </x:c>
    </x:row>
    <x:row r="141" ht="27">
      <x:c r="A141" s="2">
        <x:v>1168</x:v>
      </x:c>
      <x:c r="B141" s="2">
        <x:v>2307797</x:v>
      </x:c>
      <x:c r="C141" s="2">
        <x:v>2748544</x:v>
      </x:c>
      <x:c r="D141" s="2">
        <x:v>192310</x:v>
      </x:c>
      <x:c r="E141" s="2" t="s">
        <x:v>51</x:v>
      </x:c>
      <x:c r="F141" s="2" t="s">
        <x:v>230</x:v>
      </x:c>
      <x:c r="G141" s="2" t="s">
        <x:v>231</x:v>
      </x:c>
      <x:c r="H141" s="2" t="s">
        <x:v>135</x:v>
      </x:c>
      <x:c r="I141" s="2" t="s">
        <x:v>108</x:v>
      </x:c>
      <x:c r="J141" s="2">
        <x:v>4</x:v>
      </x:c>
      <x:c r="K141" s="2" t="s">
        <x:v>126</x:v>
      </x:c>
      <x:c r="L141" s="2" t="s">
        <x:v>120</x:v>
      </x:c>
      <x:c r="M141" s="2"/>
      <x:c r="N141" s="2">
        <x:v>0.1</x:v>
      </x:c>
      <x:c r="O141" s="2"/>
      <x:c r="P141" s="2"/>
      <x:c r="Q141" s="2" t="s">
        <x:v>121</x:v>
      </x:c>
      <x:c r="R141" s="2">
        <x:v>0.1</x:v>
      </x:c>
      <x:c r="S141" s="2" t="s">
        <x:v>121</x:v>
      </x:c>
      <x:c r="T141" s="2">
        <x:v>26</x:v>
      </x:c>
      <x:c r="U141" s="2">
        <x:v>29.5</x:v>
      </x:c>
      <x:c r="V141" s="2">
        <x:v>7.8</x:v>
      </x:c>
      <x:c r="W141" s="2"/>
      <x:c r="X141" s="2" t="s">
        <x:v>232</x:v>
      </x:c>
      <x:c r="Y141" s="2" t="s">
        <x:v>113</x:v>
      </x:c>
      <x:c r="Z141" s="2" t="s">
        <x:v>114</x:v>
      </x:c>
    </x:row>
    <x:row r="142" ht="27">
      <x:c r="A142" s="2">
        <x:v>1172</x:v>
      </x:c>
      <x:c r="B142" s="2">
        <x:v>2307792</x:v>
      </x:c>
      <x:c r="C142" s="2">
        <x:v>2748535</x:v>
      </x:c>
      <x:c r="D142" s="2">
        <x:v>192310</x:v>
      </x:c>
      <x:c r="E142" s="2" t="s">
        <x:v>51</x:v>
      </x:c>
      <x:c r="F142" s="2" t="s">
        <x:v>230</x:v>
      </x:c>
      <x:c r="G142" s="2" t="s">
        <x:v>233</x:v>
      </x:c>
      <x:c r="H142" s="2" t="s">
        <x:v>234</x:v>
      </x:c>
      <x:c r="I142" s="2" t="s">
        <x:v>108</x:v>
      </x:c>
      <x:c r="J142" s="2">
        <x:v>4</x:v>
      </x:c>
      <x:c r="K142" s="2" t="s">
        <x:v>126</x:v>
      </x:c>
      <x:c r="L142" s="2" t="s">
        <x:v>120</x:v>
      </x:c>
      <x:c r="M142" s="2"/>
      <x:c r="N142" s="2">
        <x:v>0.05</x:v>
      </x:c>
      <x:c r="O142" s="2"/>
      <x:c r="P142" s="2"/>
      <x:c r="Q142" s="2" t="s">
        <x:v>121</x:v>
      </x:c>
      <x:c r="R142" s="2">
        <x:v>0.05</x:v>
      </x:c>
      <x:c r="S142" s="2" t="s">
        <x:v>121</x:v>
      </x:c>
      <x:c r="T142" s="2">
        <x:v>26</x:v>
      </x:c>
      <x:c r="U142" s="2">
        <x:v>29.5</x:v>
      </x:c>
      <x:c r="V142" s="2">
        <x:v>7.8</x:v>
      </x:c>
      <x:c r="W142" s="2"/>
      <x:c r="X142" s="2" t="s">
        <x:v>232</x:v>
      </x:c>
      <x:c r="Y142" s="2" t="s">
        <x:v>113</x:v>
      </x:c>
      <x:c r="Z142" s="2" t="s">
        <x:v>114</x:v>
      </x:c>
    </x:row>
    <x:row r="143" ht="27">
      <x:c r="A143" s="2">
        <x:v>1191</x:v>
      </x:c>
      <x:c r="B143" s="2">
        <x:v>2146952</x:v>
      </x:c>
      <x:c r="C143" s="2">
        <x:v>2279335</x:v>
      </x:c>
      <x:c r="D143" s="2">
        <x:v>166028</x:v>
      </x:c>
      <x:c r="E143" s="2" t="s">
        <x:v>10</x:v>
      </x:c>
      <x:c r="F143" s="2" t="s">
        <x:v>235</x:v>
      </x:c>
      <x:c r="G143" s="2" t="s">
        <x:v>182</x:v>
      </x:c>
      <x:c r="H143" s="2" t="s">
        <x:v>107</x:v>
      </x:c>
      <x:c r="I143" s="2" t="s">
        <x:v>125</x:v>
      </x:c>
      <x:c r="J143" s="2">
        <x:v>2</x:v>
      </x:c>
      <x:c r="K143" s="2" t="s">
        <x:v>117</x:v>
      </x:c>
      <x:c r="L143" s="2" t="s">
        <x:v>110</x:v>
      </x:c>
      <x:c r="M143" s="2"/>
      <x:c r="N143" s="2">
        <x:v>0.23</x:v>
      </x:c>
      <x:c r="O143" s="2"/>
      <x:c r="P143" s="2"/>
      <x:c r="Q143" s="2" t="s">
        <x:v>121</x:v>
      </x:c>
      <x:c r="R143" s="2">
        <x:v>0.23</x:v>
      </x:c>
      <x:c r="S143" s="2" t="s">
        <x:v>121</x:v>
      </x:c>
      <x:c r="T143" s="2">
        <x:v>20</x:v>
      </x:c>
      <x:c r="U143" s="2">
        <x:v>38</x:v>
      </x:c>
      <x:c r="V143" s="2">
        <x:v>8</x:v>
      </x:c>
      <x:c r="W143" s="2"/>
      <x:c r="X143" s="2" t="s">
        <x:v>236</x:v>
      </x:c>
      <x:c r="Y143" s="2" t="s">
        <x:v>113</x:v>
      </x:c>
      <x:c r="Z143" s="2" t="s">
        <x:v>114</x:v>
      </x:c>
    </x:row>
    <x:row r="144" ht="27">
      <x:c r="A144" s="2">
        <x:v>1198</x:v>
      </x:c>
      <x:c r="B144" s="2">
        <x:v>1070626</x:v>
      </x:c>
      <x:c r="C144" s="2">
        <x:v>12731</x:v>
      </x:c>
      <x:c r="D144" s="2">
        <x:v>5563</x:v>
      </x:c>
      <x:c r="E144" s="2" t="s">
        <x:v>10</x:v>
      </x:c>
      <x:c r="F144" s="2" t="s">
        <x:v>235</x:v>
      </x:c>
      <x:c r="G144" s="2" t="s">
        <x:v>203</x:v>
      </x:c>
      <x:c r="H144" s="2" t="s">
        <x:v>135</x:v>
      </x:c>
      <x:c r="I144" s="2" t="s">
        <x:v>159</x:v>
      </x:c>
      <x:c r="J144" s="2">
        <x:v>1</x:v>
      </x:c>
      <x:c r="K144" s="2" t="s">
        <x:v>117</x:v>
      </x:c>
      <x:c r="L144" s="2" t="s">
        <x:v>110</x:v>
      </x:c>
      <x:c r="M144" s="2"/>
      <x:c r="N144" s="2">
        <x:v>200</x:v>
      </x:c>
      <x:c r="O144" s="2">
        <x:v>80</x:v>
      </x:c>
      <x:c r="P144" s="2">
        <x:v>310</x:v>
      </x:c>
      <x:c r="Q144" s="2" t="s">
        <x:v>111</x:v>
      </x:c>
      <x:c r="R144" s="2">
        <x:v>200</x:v>
      </x:c>
      <x:c r="S144" s="2" t="s">
        <x:v>111</x:v>
      </x:c>
      <x:c r="T144" s="2">
        <x:v>17</x:v>
      </x:c>
      <x:c r="U144" s="2"/>
      <x:c r="V144" s="2"/>
      <x:c r="W144" s="2"/>
      <x:c r="X144" s="2" t="s">
        <x:v>200</x:v>
      </x:c>
      <x:c r="Y144" s="2" t="s">
        <x:v>113</x:v>
      </x:c>
      <x:c r="Z144" s="2" t="s">
        <x:v>114</x:v>
      </x:c>
    </x:row>
    <x:row r="145" ht="40.5">
      <x:c r="A145" s="2">
        <x:v>1201</x:v>
      </x:c>
      <x:c r="B145" s="2">
        <x:v>1155887</x:v>
      </x:c>
      <x:c r="C145" s="2">
        <x:v>159531</x:v>
      </x:c>
      <x:c r="D145" s="2">
        <x:v>13507</x:v>
      </x:c>
      <x:c r="E145" s="2" t="s">
        <x:v>10</x:v>
      </x:c>
      <x:c r="F145" s="2" t="s">
        <x:v>235</x:v>
      </x:c>
      <x:c r="G145" s="2" t="s">
        <x:v>237</x:v>
      </x:c>
      <x:c r="H145" s="2" t="s">
        <x:v>107</x:v>
      </x:c>
      <x:c r="I145" s="2"/>
      <x:c r="J145" s="2">
        <x:v>4</x:v>
      </x:c>
      <x:c r="K145" s="2" t="s">
        <x:v>126</x:v>
      </x:c>
      <x:c r="L145" s="2" t="s">
        <x:v>120</x:v>
      </x:c>
      <x:c r="M145" s="2"/>
      <x:c r="N145" s="2">
        <x:v>178</x:v>
      </x:c>
      <x:c r="O145" s="2"/>
      <x:c r="P145" s="2"/>
      <x:c r="Q145" s="2" t="s">
        <x:v>111</x:v>
      </x:c>
      <x:c r="R145" s="2">
        <x:v>178</x:v>
      </x:c>
      <x:c r="S145" s="2" t="s">
        <x:v>111</x:v>
      </x:c>
      <x:c r="T145" s="2"/>
      <x:c r="U145" s="2">
        <x:v>34</x:v>
      </x:c>
      <x:c r="V145" s="2">
        <x:v>8</x:v>
      </x:c>
      <x:c r="W145" s="2"/>
      <x:c r="X145" s="2" t="s">
        <x:v>238</x:v>
      </x:c>
      <x:c r="Y145" s="2" t="s">
        <x:v>113</x:v>
      </x:c>
      <x:c r="Z145" s="2" t="s">
        <x:v>114</x:v>
      </x:c>
    </x:row>
    <x:row r="146" ht="27">
      <x:c r="A146" s="2">
        <x:v>1206</x:v>
      </x:c>
      <x:c r="B146" s="2">
        <x:v>1135994</x:v>
      </x:c>
      <x:c r="C146" s="2">
        <x:v>90926</x:v>
      </x:c>
      <x:c r="D146" s="2">
        <x:v>11097</x:v>
      </x:c>
      <x:c r="E146" s="2" t="s">
        <x:v>10</x:v>
      </x:c>
      <x:c r="F146" s="2" t="s">
        <x:v>235</x:v>
      </x:c>
      <x:c r="G146" s="2" t="s">
        <x:v>116</x:v>
      </x:c>
      <x:c r="H146" s="2" t="s">
        <x:v>107</x:v>
      </x:c>
      <x:c r="I146" s="2" t="s">
        <x:v>125</x:v>
      </x:c>
      <x:c r="J146" s="2">
        <x:v>2</x:v>
      </x:c>
      <x:c r="K146" s="2" t="s">
        <x:v>117</x:v>
      </x:c>
      <x:c r="L146" s="2" t="s">
        <x:v>110</x:v>
      </x:c>
      <x:c r="M146" s="2"/>
      <x:c r="N146" s="2">
        <x:v>314.2</x:v>
      </x:c>
      <x:c r="O146" s="2"/>
      <x:c r="P146" s="2"/>
      <x:c r="Q146" s="2" t="s">
        <x:v>111</x:v>
      </x:c>
      <x:c r="R146" s="2">
        <x:v>314.2</x:v>
      </x:c>
      <x:c r="S146" s="2" t="s">
        <x:v>111</x:v>
      </x:c>
      <x:c r="T146" s="2">
        <x:v>18</x:v>
      </x:c>
      <x:c r="U146" s="2">
        <x:v>38</x:v>
      </x:c>
      <x:c r="V146" s="2"/>
      <x:c r="W146" s="2"/>
      <x:c r="X146" s="2" t="s">
        <x:v>239</x:v>
      </x:c>
      <x:c r="Y146" s="2" t="s">
        <x:v>113</x:v>
      </x:c>
      <x:c r="Z146" s="2" t="s">
        <x:v>114</x:v>
      </x:c>
    </x:row>
    <x:row r="147" ht="27">
      <x:c r="A147" s="2">
        <x:v>1213</x:v>
      </x:c>
      <x:c r="B147" s="2">
        <x:v>1310646</x:v>
      </x:c>
      <x:c r="C147" s="2">
        <x:v>767829</x:v>
      </x:c>
      <x:c r="D147" s="2">
        <x:v>14474</x:v>
      </x:c>
      <x:c r="E147" s="2" t="s">
        <x:v>10</x:v>
      </x:c>
      <x:c r="F147" s="2" t="s">
        <x:v>235</x:v>
      </x:c>
      <x:c r="G147" s="2" t="s">
        <x:v>116</x:v>
      </x:c>
      <x:c r="H147" s="2" t="s">
        <x:v>107</x:v>
      </x:c>
      <x:c r="I147" s="2" t="s">
        <x:v>108</x:v>
      </x:c>
      <x:c r="J147" s="2">
        <x:v>2</x:v>
      </x:c>
      <x:c r="K147" s="2" t="s">
        <x:v>117</x:v>
      </x:c>
      <x:c r="L147" s="2" t="s">
        <x:v>110</x:v>
      </x:c>
      <x:c r="M147" s="2"/>
      <x:c r="N147" s="2">
        <x:v>0.52890000000000004</x:v>
      </x:c>
      <x:c r="O147" s="2"/>
      <x:c r="P147" s="2"/>
      <x:c r="Q147" s="2" t="s">
        <x:v>121</x:v>
      </x:c>
      <x:c r="R147" s="2">
        <x:v>0.52890000000000004</x:v>
      </x:c>
      <x:c r="S147" s="2" t="s">
        <x:v>121</x:v>
      </x:c>
      <x:c r="T147" s="2"/>
      <x:c r="U147" s="2"/>
      <x:c r="V147" s="2"/>
      <x:c r="W147" s="2"/>
      <x:c r="X147" s="2" t="s">
        <x:v>240</x:v>
      </x:c>
      <x:c r="Y147" s="2" t="s">
        <x:v>113</x:v>
      </x:c>
      <x:c r="Z147" s="2" t="s">
        <x:v>114</x:v>
      </x:c>
    </x:row>
    <x:row r="148" ht="40.5">
      <x:c r="A148" s="2">
        <x:v>1236</x:v>
      </x:c>
      <x:c r="B148" s="2">
        <x:v>1078431</x:v>
      </x:c>
      <x:c r="C148" s="2">
        <x:v>102405</x:v>
      </x:c>
      <x:c r="D148" s="2">
        <x:v>6045</x:v>
      </x:c>
      <x:c r="E148" s="2" t="s">
        <x:v>10</x:v>
      </x:c>
      <x:c r="F148" s="2" t="s">
        <x:v>235</x:v>
      </x:c>
      <x:c r="G148" s="2" t="s">
        <x:v>241</x:v>
      </x:c>
      <x:c r="H148" s="2" t="s">
        <x:v>135</x:v>
      </x:c>
      <x:c r="I148" s="2"/>
      <x:c r="J148" s="2">
        <x:v>1</x:v>
      </x:c>
      <x:c r="K148" s="2" t="s">
        <x:v>117</x:v>
      </x:c>
      <x:c r="L148" s="2" t="s">
        <x:v>110</x:v>
      </x:c>
      <x:c r="M148" s="2"/>
      <x:c r="N148" s="2">
        <x:v>176</x:v>
      </x:c>
      <x:c r="O148" s="2"/>
      <x:c r="P148" s="2"/>
      <x:c r="Q148" s="2" t="s">
        <x:v>195</x:v>
      </x:c>
      <x:c r="R148" s="2">
        <x:v>176</x:v>
      </x:c>
      <x:c r="S148" s="2" t="s">
        <x:v>195</x:v>
      </x:c>
      <x:c r="T148" s="2"/>
      <x:c r="U148" s="2"/>
      <x:c r="V148" s="2"/>
      <x:c r="W148" s="2"/>
      <x:c r="X148" s="2" t="s">
        <x:v>196</x:v>
      </x:c>
      <x:c r="Y148" s="2" t="s">
        <x:v>113</x:v>
      </x:c>
      <x:c r="Z148" s="2" t="s">
        <x:v>114</x:v>
      </x:c>
    </x:row>
    <x:row r="149" ht="27">
      <x:c r="A149" s="2">
        <x:v>1252</x:v>
      </x:c>
      <x:c r="B149" s="2">
        <x:v>2148404</x:v>
      </x:c>
      <x:c r="C149" s="2">
        <x:v>2283208</x:v>
      </x:c>
      <x:c r="D149" s="2">
        <x:v>156333</x:v>
      </x:c>
      <x:c r="E149" s="2" t="s">
        <x:v>10</x:v>
      </x:c>
      <x:c r="F149" s="2" t="s">
        <x:v>235</x:v>
      </x:c>
      <x:c r="G149" s="2" t="s">
        <x:v>242</x:v>
      </x:c>
      <x:c r="H149" s="2" t="s">
        <x:v>107</x:v>
      </x:c>
      <x:c r="I149" s="2" t="s">
        <x:v>108</x:v>
      </x:c>
      <x:c r="J149" s="2">
        <x:v>4</x:v>
      </x:c>
      <x:c r="K149" s="2" t="s">
        <x:v>109</x:v>
      </x:c>
      <x:c r="L149" s="2" t="s">
        <x:v>120</x:v>
      </x:c>
      <x:c r="M149" s="2"/>
      <x:c r="N149" s="2">
        <x:v>238</x:v>
      </x:c>
      <x:c r="O149" s="2"/>
      <x:c r="P149" s="2"/>
      <x:c r="Q149" s="2" t="s">
        <x:v>111</x:v>
      </x:c>
      <x:c r="R149" s="2">
        <x:v>238</x:v>
      </x:c>
      <x:c r="S149" s="2" t="s">
        <x:v>111</x:v>
      </x:c>
      <x:c r="T149" s="2">
        <x:v>21</x:v>
      </x:c>
      <x:c r="U149" s="2">
        <x:v>30</x:v>
      </x:c>
      <x:c r="V149" s="2"/>
      <x:c r="W149" s="2"/>
      <x:c r="X149" s="2" t="s">
        <x:v>243</x:v>
      </x:c>
      <x:c r="Y149" s="2" t="s">
        <x:v>113</x:v>
      </x:c>
      <x:c r="Z149" s="2" t="s">
        <x:v>114</x:v>
      </x:c>
    </x:row>
    <x:row r="150" ht="40.5">
      <x:c r="A150" s="2">
        <x:v>1255</x:v>
      </x:c>
      <x:c r="B150" s="2">
        <x:v>1078425</x:v>
      </x:c>
      <x:c r="C150" s="2">
        <x:v>89398</x:v>
      </x:c>
      <x:c r="D150" s="2">
        <x:v>6045</x:v>
      </x:c>
      <x:c r="E150" s="2" t="s">
        <x:v>10</x:v>
      </x:c>
      <x:c r="F150" s="2" t="s">
        <x:v>235</x:v>
      </x:c>
      <x:c r="G150" s="2" t="s">
        <x:v>244</x:v>
      </x:c>
      <x:c r="H150" s="2" t="s">
        <x:v>135</x:v>
      </x:c>
      <x:c r="I150" s="2"/>
      <x:c r="J150" s="2">
        <x:v>1</x:v>
      </x:c>
      <x:c r="K150" s="2" t="s">
        <x:v>117</x:v>
      </x:c>
      <x:c r="L150" s="2" t="s">
        <x:v>110</x:v>
      </x:c>
      <x:c r="M150" s="2"/>
      <x:c r="N150" s="2">
        <x:v>2778</x:v>
      </x:c>
      <x:c r="O150" s="2"/>
      <x:c r="P150" s="2"/>
      <x:c r="Q150" s="2" t="s">
        <x:v>195</x:v>
      </x:c>
      <x:c r="R150" s="2">
        <x:v>2778</x:v>
      </x:c>
      <x:c r="S150" s="2" t="s">
        <x:v>195</x:v>
      </x:c>
      <x:c r="T150" s="2"/>
      <x:c r="U150" s="2"/>
      <x:c r="V150" s="2"/>
      <x:c r="W150" s="2"/>
      <x:c r="X150" s="2" t="s">
        <x:v>196</x:v>
      </x:c>
      <x:c r="Y150" s="2" t="s">
        <x:v>113</x:v>
      </x:c>
      <x:c r="Z150" s="2" t="s">
        <x:v>114</x:v>
      </x:c>
    </x:row>
    <x:row r="151" ht="27">
      <x:c r="A151" s="2">
        <x:v>1262</x:v>
      </x:c>
      <x:c r="B151" s="2">
        <x:v>1310647</x:v>
      </x:c>
      <x:c r="C151" s="2">
        <x:v>767830</x:v>
      </x:c>
      <x:c r="D151" s="2">
        <x:v>14474</x:v>
      </x:c>
      <x:c r="E151" s="2" t="s">
        <x:v>10</x:v>
      </x:c>
      <x:c r="F151" s="2" t="s">
        <x:v>235</x:v>
      </x:c>
      <x:c r="G151" s="2" t="s">
        <x:v>116</x:v>
      </x:c>
      <x:c r="H151" s="2" t="s">
        <x:v>107</x:v>
      </x:c>
      <x:c r="I151" s="2" t="s">
        <x:v>108</x:v>
      </x:c>
      <x:c r="J151" s="2">
        <x:v>2</x:v>
      </x:c>
      <x:c r="K151" s="2" t="s">
        <x:v>117</x:v>
      </x:c>
      <x:c r="L151" s="2" t="s">
        <x:v>110</x:v>
      </x:c>
      <x:c r="M151" s="2"/>
      <x:c r="N151" s="2">
        <x:v>0.44729999999999998</x:v>
      </x:c>
      <x:c r="O151" s="2"/>
      <x:c r="P151" s="2"/>
      <x:c r="Q151" s="2" t="s">
        <x:v>121</x:v>
      </x:c>
      <x:c r="R151" s="2">
        <x:v>0.44729999999999998</x:v>
      </x:c>
      <x:c r="S151" s="2" t="s">
        <x:v>121</x:v>
      </x:c>
      <x:c r="T151" s="2"/>
      <x:c r="U151" s="2"/>
      <x:c r="V151" s="2"/>
      <x:c r="W151" s="2"/>
      <x:c r="X151" s="2" t="s">
        <x:v>240</x:v>
      </x:c>
      <x:c r="Y151" s="2" t="s">
        <x:v>113</x:v>
      </x:c>
      <x:c r="Z151" s="2" t="s">
        <x:v>114</x:v>
      </x:c>
    </x:row>
    <x:row r="152" ht="40.5">
      <x:c r="A152" s="2">
        <x:v>1263</x:v>
      </x:c>
      <x:c r="B152" s="2">
        <x:v>2136233</x:v>
      </x:c>
      <x:c r="C152" s="2">
        <x:v>2252278</x:v>
      </x:c>
      <x:c r="D152" s="2">
        <x:v>153073</x:v>
      </x:c>
      <x:c r="E152" s="2" t="s">
        <x:v>10</x:v>
      </x:c>
      <x:c r="F152" s="2" t="s">
        <x:v>235</x:v>
      </x:c>
      <x:c r="G152" s="2" t="s">
        <x:v>245</x:v>
      </x:c>
      <x:c r="H152" s="2" t="s">
        <x:v>234</x:v>
      </x:c>
      <x:c r="I152" s="2" t="s">
        <x:v>108</x:v>
      </x:c>
      <x:c r="J152" s="2">
        <x:v>4</x:v>
      </x:c>
      <x:c r="K152" s="2" t="s">
        <x:v>126</x:v>
      </x:c>
      <x:c r="L152" s="2" t="s">
        <x:v>110</x:v>
      </x:c>
      <x:c r="M152" s="2"/>
      <x:c r="N152" s="2">
        <x:v>0.8</x:v>
      </x:c>
      <x:c r="O152" s="2">
        <x:v>0.76</x:v>
      </x:c>
      <x:c r="P152" s="2">
        <x:v>0.91</x:v>
      </x:c>
      <x:c r="Q152" s="2" t="s">
        <x:v>121</x:v>
      </x:c>
      <x:c r="R152" s="2">
        <x:v>0.8</x:v>
      </x:c>
      <x:c r="S152" s="2" t="s">
        <x:v>121</x:v>
      </x:c>
      <x:c r="T152" s="2">
        <x:v>25</x:v>
      </x:c>
      <x:c r="U152" s="2">
        <x:v>15</x:v>
      </x:c>
      <x:c r="V152" s="2"/>
      <x:c r="W152" s="2"/>
      <x:c r="X152" s="2" t="s">
        <x:v>246</x:v>
      </x:c>
      <x:c r="Y152" s="2" t="s">
        <x:v>113</x:v>
      </x:c>
      <x:c r="Z152" s="2" t="s">
        <x:v>114</x:v>
      </x:c>
    </x:row>
    <x:row r="153" ht="27">
      <x:c r="A153" s="2">
        <x:v>1271</x:v>
      </x:c>
      <x:c r="B153" s="2">
        <x:v>1310648</x:v>
      </x:c>
      <x:c r="C153" s="2">
        <x:v>767831</x:v>
      </x:c>
      <x:c r="D153" s="2">
        <x:v>14474</x:v>
      </x:c>
      <x:c r="E153" s="2" t="s">
        <x:v>10</x:v>
      </x:c>
      <x:c r="F153" s="2" t="s">
        <x:v>235</x:v>
      </x:c>
      <x:c r="G153" s="2" t="s">
        <x:v>116</x:v>
      </x:c>
      <x:c r="H153" s="2" t="s">
        <x:v>107</x:v>
      </x:c>
      <x:c r="I153" s="2"/>
      <x:c r="J153" s="2">
        <x:v>2</x:v>
      </x:c>
      <x:c r="K153" s="2" t="s">
        <x:v>117</x:v>
      </x:c>
      <x:c r="L153" s="2" t="s">
        <x:v>110</x:v>
      </x:c>
      <x:c r="M153" s="2"/>
      <x:c r="N153" s="2">
        <x:v>0.42809999999999998</x:v>
      </x:c>
      <x:c r="O153" s="2"/>
      <x:c r="P153" s="2"/>
      <x:c r="Q153" s="2" t="s">
        <x:v>121</x:v>
      </x:c>
      <x:c r="R153" s="2">
        <x:v>0.42809999999999998</x:v>
      </x:c>
      <x:c r="S153" s="2" t="s">
        <x:v>121</x:v>
      </x:c>
      <x:c r="T153" s="2"/>
      <x:c r="U153" s="2"/>
      <x:c r="V153" s="2"/>
      <x:c r="W153" s="2"/>
      <x:c r="X153" s="2" t="s">
        <x:v>240</x:v>
      </x:c>
      <x:c r="Y153" s="2" t="s">
        <x:v>113</x:v>
      </x:c>
      <x:c r="Z153" s="2" t="s">
        <x:v>114</x:v>
      </x:c>
    </x:row>
    <x:row r="154" ht="27">
      <x:c r="A154" s="2">
        <x:v>1285</x:v>
      </x:c>
      <x:c r="B154" s="2">
        <x:v>1135996</x:v>
      </x:c>
      <x:c r="C154" s="2">
        <x:v>90928</x:v>
      </x:c>
      <x:c r="D154" s="2">
        <x:v>11097</x:v>
      </x:c>
      <x:c r="E154" s="2" t="s">
        <x:v>10</x:v>
      </x:c>
      <x:c r="F154" s="2" t="s">
        <x:v>235</x:v>
      </x:c>
      <x:c r="G154" s="2" t="s">
        <x:v>116</x:v>
      </x:c>
      <x:c r="H154" s="2" t="s">
        <x:v>107</x:v>
      </x:c>
      <x:c r="I154" s="2" t="s">
        <x:v>224</x:v>
      </x:c>
      <x:c r="J154" s="2">
        <x:v>2</x:v>
      </x:c>
      <x:c r="K154" s="2" t="s">
        <x:v>117</x:v>
      </x:c>
      <x:c r="L154" s="2" t="s">
        <x:v>110</x:v>
      </x:c>
      <x:c r="M154" s="2"/>
      <x:c r="N154" s="2">
        <x:v>528.9</x:v>
      </x:c>
      <x:c r="O154" s="2"/>
      <x:c r="P154" s="2"/>
      <x:c r="Q154" s="2" t="s">
        <x:v>111</x:v>
      </x:c>
      <x:c r="R154" s="2">
        <x:v>528.9</x:v>
      </x:c>
      <x:c r="S154" s="2" t="s">
        <x:v>111</x:v>
      </x:c>
      <x:c r="T154" s="2">
        <x:v>18</x:v>
      </x:c>
      <x:c r="U154" s="2">
        <x:v>38</x:v>
      </x:c>
      <x:c r="V154" s="2"/>
      <x:c r="W154" s="2"/>
      <x:c r="X154" s="2" t="s">
        <x:v>239</x:v>
      </x:c>
      <x:c r="Y154" s="2" t="s">
        <x:v>113</x:v>
      </x:c>
      <x:c r="Z154" s="2" t="s">
        <x:v>114</x:v>
      </x:c>
    </x:row>
    <x:row r="155" ht="27">
      <x:c r="A155" s="2">
        <x:v>1295</x:v>
      </x:c>
      <x:c r="B155" s="2">
        <x:v>1310618</x:v>
      </x:c>
      <x:c r="C155" s="2">
        <x:v>767801</x:v>
      </x:c>
      <x:c r="D155" s="2">
        <x:v>14474</x:v>
      </x:c>
      <x:c r="E155" s="2" t="s">
        <x:v>10</x:v>
      </x:c>
      <x:c r="F155" s="2" t="s">
        <x:v>235</x:v>
      </x:c>
      <x:c r="G155" s="2" t="s">
        <x:v>116</x:v>
      </x:c>
      <x:c r="H155" s="2" t="s">
        <x:v>107</x:v>
      </x:c>
      <x:c r="I155" s="2"/>
      <x:c r="J155" s="2">
        <x:v>2</x:v>
      </x:c>
      <x:c r="K155" s="2" t="s">
        <x:v>117</x:v>
      </x:c>
      <x:c r="L155" s="2" t="s">
        <x:v>110</x:v>
      </x:c>
      <x:c r="M155" s="2"/>
      <x:c r="N155" s="2">
        <x:v>0.41870000000000002</x:v>
      </x:c>
      <x:c r="O155" s="2"/>
      <x:c r="P155" s="2"/>
      <x:c r="Q155" s="2" t="s">
        <x:v>121</x:v>
      </x:c>
      <x:c r="R155" s="2">
        <x:v>0.41870000000000002</x:v>
      </x:c>
      <x:c r="S155" s="2" t="s">
        <x:v>121</x:v>
      </x:c>
      <x:c r="T155" s="2"/>
      <x:c r="U155" s="2"/>
      <x:c r="V155" s="2"/>
      <x:c r="W155" s="2"/>
      <x:c r="X155" s="2" t="s">
        <x:v>240</x:v>
      </x:c>
      <x:c r="Y155" s="2" t="s">
        <x:v>113</x:v>
      </x:c>
      <x:c r="Z155" s="2" t="s">
        <x:v>114</x:v>
      </x:c>
    </x:row>
    <x:row r="156" ht="27">
      <x:c r="A156" s="2">
        <x:v>1298</x:v>
      </x:c>
      <x:c r="B156" s="2">
        <x:v>1310619</x:v>
      </x:c>
      <x:c r="C156" s="2">
        <x:v>767802</x:v>
      </x:c>
      <x:c r="D156" s="2">
        <x:v>14474</x:v>
      </x:c>
      <x:c r="E156" s="2" t="s">
        <x:v>10</x:v>
      </x:c>
      <x:c r="F156" s="2" t="s">
        <x:v>235</x:v>
      </x:c>
      <x:c r="G156" s="2" t="s">
        <x:v>116</x:v>
      </x:c>
      <x:c r="H156" s="2" t="s">
        <x:v>107</x:v>
      </x:c>
      <x:c r="I156" s="2"/>
      <x:c r="J156" s="2">
        <x:v>2</x:v>
      </x:c>
      <x:c r="K156" s="2" t="s">
        <x:v>117</x:v>
      </x:c>
      <x:c r="L156" s="2" t="s">
        <x:v>110</x:v>
      </x:c>
      <x:c r="M156" s="2"/>
      <x:c r="N156" s="2">
        <x:v>0.4451</x:v>
      </x:c>
      <x:c r="O156" s="2"/>
      <x:c r="P156" s="2"/>
      <x:c r="Q156" s="2" t="s">
        <x:v>121</x:v>
      </x:c>
      <x:c r="R156" s="2">
        <x:v>0.4451</x:v>
      </x:c>
      <x:c r="S156" s="2" t="s">
        <x:v>121</x:v>
      </x:c>
      <x:c r="T156" s="2"/>
      <x:c r="U156" s="2"/>
      <x:c r="V156" s="2"/>
      <x:c r="W156" s="2"/>
      <x:c r="X156" s="2" t="s">
        <x:v>240</x:v>
      </x:c>
      <x:c r="Y156" s="2" t="s">
        <x:v>113</x:v>
      </x:c>
      <x:c r="Z156" s="2" t="s">
        <x:v>114</x:v>
      </x:c>
    </x:row>
    <x:row r="157" ht="40.5">
      <x:c r="A157" s="2">
        <x:v>1304</x:v>
      </x:c>
      <x:c r="B157" s="2">
        <x:v>1078436</x:v>
      </x:c>
      <x:c r="C157" s="2">
        <x:v>102816</x:v>
      </x:c>
      <x:c r="D157" s="2">
        <x:v>6045</x:v>
      </x:c>
      <x:c r="E157" s="2" t="s">
        <x:v>10</x:v>
      </x:c>
      <x:c r="F157" s="2" t="s">
        <x:v>235</x:v>
      </x:c>
      <x:c r="G157" s="2" t="s">
        <x:v>247</x:v>
      </x:c>
      <x:c r="H157" s="2" t="s">
        <x:v>135</x:v>
      </x:c>
      <x:c r="I157" s="2"/>
      <x:c r="J157" s="2">
        <x:v>1</x:v>
      </x:c>
      <x:c r="K157" s="2" t="s">
        <x:v>117</x:v>
      </x:c>
      <x:c r="L157" s="2" t="s">
        <x:v>110</x:v>
      </x:c>
      <x:c r="M157" s="2"/>
      <x:c r="N157" s="2">
        <x:v>192</x:v>
      </x:c>
      <x:c r="O157" s="2"/>
      <x:c r="P157" s="2"/>
      <x:c r="Q157" s="2" t="s">
        <x:v>195</x:v>
      </x:c>
      <x:c r="R157" s="2">
        <x:v>192</x:v>
      </x:c>
      <x:c r="S157" s="2" t="s">
        <x:v>195</x:v>
      </x:c>
      <x:c r="T157" s="2"/>
      <x:c r="U157" s="2"/>
      <x:c r="V157" s="2"/>
      <x:c r="W157" s="2"/>
      <x:c r="X157" s="2" t="s">
        <x:v>196</x:v>
      </x:c>
      <x:c r="Y157" s="2" t="s">
        <x:v>113</x:v>
      </x:c>
      <x:c r="Z157" s="2" t="s">
        <x:v>114</x:v>
      </x:c>
    </x:row>
    <x:row r="158" ht="27">
      <x:c r="A158" s="2">
        <x:v>1312</x:v>
      </x:c>
      <x:c r="B158" s="2">
        <x:v>1310621</x:v>
      </x:c>
      <x:c r="C158" s="2">
        <x:v>767804</x:v>
      </x:c>
      <x:c r="D158" s="2">
        <x:v>14474</x:v>
      </x:c>
      <x:c r="E158" s="2" t="s">
        <x:v>10</x:v>
      </x:c>
      <x:c r="F158" s="2" t="s">
        <x:v>235</x:v>
      </x:c>
      <x:c r="G158" s="2" t="s">
        <x:v>116</x:v>
      </x:c>
      <x:c r="H158" s="2" t="s">
        <x:v>107</x:v>
      </x:c>
      <x:c r="I158" s="2"/>
      <x:c r="J158" s="2">
        <x:v>2</x:v>
      </x:c>
      <x:c r="K158" s="2" t="s">
        <x:v>117</x:v>
      </x:c>
      <x:c r="L158" s="2" t="s">
        <x:v>110</x:v>
      </x:c>
      <x:c r="M158" s="2"/>
      <x:c r="N158" s="2">
        <x:v>0.42809999999999998</x:v>
      </x:c>
      <x:c r="O158" s="2"/>
      <x:c r="P158" s="2"/>
      <x:c r="Q158" s="2" t="s">
        <x:v>121</x:v>
      </x:c>
      <x:c r="R158" s="2">
        <x:v>0.42809999999999998</x:v>
      </x:c>
      <x:c r="S158" s="2" t="s">
        <x:v>121</x:v>
      </x:c>
      <x:c r="T158" s="2"/>
      <x:c r="U158" s="2"/>
      <x:c r="V158" s="2"/>
      <x:c r="W158" s="2"/>
      <x:c r="X158" s="2" t="s">
        <x:v>240</x:v>
      </x:c>
      <x:c r="Y158" s="2" t="s">
        <x:v>113</x:v>
      </x:c>
      <x:c r="Z158" s="2" t="s">
        <x:v>114</x:v>
      </x:c>
    </x:row>
    <x:row r="159" ht="27">
      <x:c r="A159" s="2">
        <x:v>1315</x:v>
      </x:c>
      <x:c r="B159" s="2">
        <x:v>1179974</x:v>
      </x:c>
      <x:c r="C159" s="2">
        <x:v>82523</x:v>
      </x:c>
      <x:c r="D159" s="2">
        <x:v>15726</x:v>
      </x:c>
      <x:c r="E159" s="2" t="s">
        <x:v>10</x:v>
      </x:c>
      <x:c r="F159" s="2" t="s">
        <x:v>235</x:v>
      </x:c>
      <x:c r="G159" s="2" t="s">
        <x:v>116</x:v>
      </x:c>
      <x:c r="H159" s="2" t="s">
        <x:v>107</x:v>
      </x:c>
      <x:c r="I159" s="2" t="s">
        <x:v>108</x:v>
      </x:c>
      <x:c r="J159" s="2">
        <x:v>2</x:v>
      </x:c>
      <x:c r="K159" s="2" t="s">
        <x:v>117</x:v>
      </x:c>
      <x:c r="L159" s="2" t="s">
        <x:v>110</x:v>
      </x:c>
      <x:c r="M159" s="2"/>
      <x:c r="N159" s="2">
        <x:v>80</x:v>
      </x:c>
      <x:c r="O159" s="2"/>
      <x:c r="P159" s="2"/>
      <x:c r="Q159" s="2" t="s">
        <x:v>111</x:v>
      </x:c>
      <x:c r="R159" s="2">
        <x:v>80</x:v>
      </x:c>
      <x:c r="S159" s="2" t="s">
        <x:v>111</x:v>
      </x:c>
      <x:c r="T159" s="2">
        <x:v>24</x:v>
      </x:c>
      <x:c r="U159" s="2"/>
      <x:c r="V159" s="2"/>
      <x:c r="W159" s="2"/>
      <x:c r="X159" s="2" t="s">
        <x:v>248</x:v>
      </x:c>
      <x:c r="Y159" s="2" t="s">
        <x:v>113</x:v>
      </x:c>
      <x:c r="Z159" s="2" t="s">
        <x:v>114</x:v>
      </x:c>
    </x:row>
    <x:row r="160" ht="40.5">
      <x:c r="A160" s="2">
        <x:v>1321</x:v>
      </x:c>
      <x:c r="B160" s="2">
        <x:v>1078474</x:v>
      </x:c>
      <x:c r="C160" s="2">
        <x:v>231987</x:v>
      </x:c>
      <x:c r="D160" s="2">
        <x:v>6045</x:v>
      </x:c>
      <x:c r="E160" s="2" t="s">
        <x:v>10</x:v>
      </x:c>
      <x:c r="F160" s="2" t="s">
        <x:v>235</x:v>
      </x:c>
      <x:c r="G160" s="2" t="s">
        <x:v>194</x:v>
      </x:c>
      <x:c r="H160" s="2" t="s">
        <x:v>135</x:v>
      </x:c>
      <x:c r="I160" s="2"/>
      <x:c r="J160" s="2">
        <x:v>1</x:v>
      </x:c>
      <x:c r="K160" s="2" t="s">
        <x:v>117</x:v>
      </x:c>
      <x:c r="L160" s="2" t="s">
        <x:v>110</x:v>
      </x:c>
      <x:c r="M160" s="2"/>
      <x:c r="N160" s="2">
        <x:v>188</x:v>
      </x:c>
      <x:c r="O160" s="2"/>
      <x:c r="P160" s="2"/>
      <x:c r="Q160" s="2" t="s">
        <x:v>195</x:v>
      </x:c>
      <x:c r="R160" s="2">
        <x:v>188</x:v>
      </x:c>
      <x:c r="S160" s="2" t="s">
        <x:v>195</x:v>
      </x:c>
      <x:c r="T160" s="2"/>
      <x:c r="U160" s="2"/>
      <x:c r="V160" s="2"/>
      <x:c r="W160" s="2"/>
      <x:c r="X160" s="2" t="s">
        <x:v>196</x:v>
      </x:c>
      <x:c r="Y160" s="2" t="s">
        <x:v>113</x:v>
      </x:c>
      <x:c r="Z160" s="2" t="s">
        <x:v>114</x:v>
      </x:c>
    </x:row>
    <x:row r="161" ht="27">
      <x:c r="A161" s="2">
        <x:v>1324</x:v>
      </x:c>
      <x:c r="B161" s="2">
        <x:v>1135997</x:v>
      </x:c>
      <x:c r="C161" s="2">
        <x:v>90929</x:v>
      </x:c>
      <x:c r="D161" s="2">
        <x:v>11097</x:v>
      </x:c>
      <x:c r="E161" s="2" t="s">
        <x:v>10</x:v>
      </x:c>
      <x:c r="F161" s="2" t="s">
        <x:v>235</x:v>
      </x:c>
      <x:c r="G161" s="2" t="s">
        <x:v>116</x:v>
      </x:c>
      <x:c r="H161" s="2" t="s">
        <x:v>107</x:v>
      </x:c>
      <x:c r="I161" s="2"/>
      <x:c r="J161" s="2">
        <x:v>2</x:v>
      </x:c>
      <x:c r="K161" s="2" t="s">
        <x:v>117</x:v>
      </x:c>
      <x:c r="L161" s="2" t="s">
        <x:v>110</x:v>
      </x:c>
      <x:c r="M161" s="2"/>
      <x:c r="N161" s="2">
        <x:v>447.3</x:v>
      </x:c>
      <x:c r="O161" s="2"/>
      <x:c r="P161" s="2"/>
      <x:c r="Q161" s="2" t="s">
        <x:v>111</x:v>
      </x:c>
      <x:c r="R161" s="2">
        <x:v>447.3</x:v>
      </x:c>
      <x:c r="S161" s="2" t="s">
        <x:v>111</x:v>
      </x:c>
      <x:c r="T161" s="2">
        <x:v>18</x:v>
      </x:c>
      <x:c r="U161" s="2">
        <x:v>38</x:v>
      </x:c>
      <x:c r="V161" s="2"/>
      <x:c r="W161" s="2"/>
      <x:c r="X161" s="2" t="s">
        <x:v>239</x:v>
      </x:c>
      <x:c r="Y161" s="2" t="s">
        <x:v>113</x:v>
      </x:c>
      <x:c r="Z161" s="2" t="s">
        <x:v>114</x:v>
      </x:c>
    </x:row>
    <x:row r="162" ht="40.5">
      <x:c r="A162" s="2">
        <x:v>1327</x:v>
      </x:c>
      <x:c r="B162" s="2">
        <x:v>1078421</x:v>
      </x:c>
      <x:c r="C162" s="2">
        <x:v>66949</x:v>
      </x:c>
      <x:c r="D162" s="2">
        <x:v>6045</x:v>
      </x:c>
      <x:c r="E162" s="2" t="s">
        <x:v>10</x:v>
      </x:c>
      <x:c r="F162" s="2" t="s">
        <x:v>235</x:v>
      </x:c>
      <x:c r="G162" s="2" t="s">
        <x:v>197</x:v>
      </x:c>
      <x:c r="H162" s="2" t="s">
        <x:v>135</x:v>
      </x:c>
      <x:c r="I162" s="2"/>
      <x:c r="J162" s="2">
        <x:v>1</x:v>
      </x:c>
      <x:c r="K162" s="2" t="s">
        <x:v>117</x:v>
      </x:c>
      <x:c r="L162" s="2" t="s">
        <x:v>110</x:v>
      </x:c>
      <x:c r="M162" s="2"/>
      <x:c r="N162" s="2">
        <x:v>132</x:v>
      </x:c>
      <x:c r="O162" s="2"/>
      <x:c r="P162" s="2"/>
      <x:c r="Q162" s="2" t="s">
        <x:v>195</x:v>
      </x:c>
      <x:c r="R162" s="2">
        <x:v>132</x:v>
      </x:c>
      <x:c r="S162" s="2" t="s">
        <x:v>195</x:v>
      </x:c>
      <x:c r="T162" s="2"/>
      <x:c r="U162" s="2"/>
      <x:c r="V162" s="2"/>
      <x:c r="W162" s="2"/>
      <x:c r="X162" s="2" t="s">
        <x:v>196</x:v>
      </x:c>
      <x:c r="Y162" s="2" t="s">
        <x:v>113</x:v>
      </x:c>
      <x:c r="Z162" s="2" t="s">
        <x:v>114</x:v>
      </x:c>
    </x:row>
    <x:row r="163" ht="27">
      <x:c r="A163" s="2">
        <x:v>1336</x:v>
      </x:c>
      <x:c r="B163" s="2">
        <x:v>1135998</x:v>
      </x:c>
      <x:c r="C163" s="2">
        <x:v>90930</x:v>
      </x:c>
      <x:c r="D163" s="2">
        <x:v>11097</x:v>
      </x:c>
      <x:c r="E163" s="2" t="s">
        <x:v>10</x:v>
      </x:c>
      <x:c r="F163" s="2" t="s">
        <x:v>235</x:v>
      </x:c>
      <x:c r="G163" s="2" t="s">
        <x:v>116</x:v>
      </x:c>
      <x:c r="H163" s="2" t="s">
        <x:v>107</x:v>
      </x:c>
      <x:c r="I163" s="2"/>
      <x:c r="J163" s="2">
        <x:v>2</x:v>
      </x:c>
      <x:c r="K163" s="2" t="s">
        <x:v>117</x:v>
      </x:c>
      <x:c r="L163" s="2" t="s">
        <x:v>110</x:v>
      </x:c>
      <x:c r="M163" s="2"/>
      <x:c r="N163" s="2">
        <x:v>428.1</x:v>
      </x:c>
      <x:c r="O163" s="2"/>
      <x:c r="P163" s="2"/>
      <x:c r="Q163" s="2" t="s">
        <x:v>111</x:v>
      </x:c>
      <x:c r="R163" s="2">
        <x:v>428.1</x:v>
      </x:c>
      <x:c r="S163" s="2" t="s">
        <x:v>111</x:v>
      </x:c>
      <x:c r="T163" s="2">
        <x:v>18</x:v>
      </x:c>
      <x:c r="U163" s="2">
        <x:v>38</x:v>
      </x:c>
      <x:c r="V163" s="2"/>
      <x:c r="W163" s="2"/>
      <x:c r="X163" s="2" t="s">
        <x:v>239</x:v>
      </x:c>
      <x:c r="Y163" s="2" t="s">
        <x:v>113</x:v>
      </x:c>
      <x:c r="Z163" s="2" t="s">
        <x:v>114</x:v>
      </x:c>
    </x:row>
    <x:row r="164" ht="27">
      <x:c r="A164" s="2">
        <x:v>1358</x:v>
      </x:c>
      <x:c r="B164" s="2">
        <x:v>1070627</x:v>
      </x:c>
      <x:c r="C164" s="2">
        <x:v>12732</x:v>
      </x:c>
      <x:c r="D164" s="2">
        <x:v>5563</x:v>
      </x:c>
      <x:c r="E164" s="2" t="s">
        <x:v>10</x:v>
      </x:c>
      <x:c r="F164" s="2" t="s">
        <x:v>235</x:v>
      </x:c>
      <x:c r="G164" s="2" t="s">
        <x:v>202</x:v>
      </x:c>
      <x:c r="H164" s="2" t="s">
        <x:v>135</x:v>
      </x:c>
      <x:c r="I164" s="2" t="s">
        <x:v>159</x:v>
      </x:c>
      <x:c r="J164" s="2">
        <x:v>1</x:v>
      </x:c>
      <x:c r="K164" s="2" t="s">
        <x:v>117</x:v>
      </x:c>
      <x:c r="L164" s="2" t="s">
        <x:v>110</x:v>
      </x:c>
      <x:c r="M164" s="2"/>
      <x:c r="N164" s="2">
        <x:v>190</x:v>
      </x:c>
      <x:c r="O164" s="2">
        <x:v>160</x:v>
      </x:c>
      <x:c r="P164" s="2">
        <x:v>220</x:v>
      </x:c>
      <x:c r="Q164" s="2" t="s">
        <x:v>111</x:v>
      </x:c>
      <x:c r="R164" s="2">
        <x:v>190</x:v>
      </x:c>
      <x:c r="S164" s="2" t="s">
        <x:v>111</x:v>
      </x:c>
      <x:c r="T164" s="2">
        <x:v>17</x:v>
      </x:c>
      <x:c r="U164" s="2"/>
      <x:c r="V164" s="2"/>
      <x:c r="W164" s="2"/>
      <x:c r="X164" s="2" t="s">
        <x:v>200</x:v>
      </x:c>
      <x:c r="Y164" s="2" t="s">
        <x:v>113</x:v>
      </x:c>
      <x:c r="Z164" s="2" t="s">
        <x:v>114</x:v>
      </x:c>
    </x:row>
    <x:row r="165" ht="27">
      <x:c r="A165" s="2">
        <x:v>1371</x:v>
      </x:c>
      <x:c r="B165" s="2">
        <x:v>1310620</x:v>
      </x:c>
      <x:c r="C165" s="2">
        <x:v>767803</x:v>
      </x:c>
      <x:c r="D165" s="2">
        <x:v>14474</x:v>
      </x:c>
      <x:c r="E165" s="2" t="s">
        <x:v>10</x:v>
      </x:c>
      <x:c r="F165" s="2" t="s">
        <x:v>235</x:v>
      </x:c>
      <x:c r="G165" s="2" t="s">
        <x:v>116</x:v>
      </x:c>
      <x:c r="H165" s="2" t="s">
        <x:v>107</x:v>
      </x:c>
      <x:c r="I165" s="2"/>
      <x:c r="J165" s="2">
        <x:v>2</x:v>
      </x:c>
      <x:c r="K165" s="2" t="s">
        <x:v>117</x:v>
      </x:c>
      <x:c r="L165" s="2" t="s">
        <x:v>110</x:v>
      </x:c>
      <x:c r="M165" s="2"/>
      <x:c r="N165" s="2">
        <x:v>0.51770000000000005</x:v>
      </x:c>
      <x:c r="O165" s="2"/>
      <x:c r="P165" s="2"/>
      <x:c r="Q165" s="2" t="s">
        <x:v>121</x:v>
      </x:c>
      <x:c r="R165" s="2">
        <x:v>0.51770000000000005</x:v>
      </x:c>
      <x:c r="S165" s="2" t="s">
        <x:v>121</x:v>
      </x:c>
      <x:c r="T165" s="2"/>
      <x:c r="U165" s="2"/>
      <x:c r="V165" s="2"/>
      <x:c r="W165" s="2"/>
      <x:c r="X165" s="2" t="s">
        <x:v>240</x:v>
      </x:c>
      <x:c r="Y165" s="2" t="s">
        <x:v>113</x:v>
      </x:c>
      <x:c r="Z165" s="2" t="s">
        <x:v>114</x:v>
      </x:c>
    </x:row>
    <x:row r="166" ht="27">
      <x:c r="A166" s="2">
        <x:v>1374</x:v>
      </x:c>
      <x:c r="B166" s="2">
        <x:v>1178108</x:v>
      </x:c>
      <x:c r="C166" s="2">
        <x:v>69500</x:v>
      </x:c>
      <x:c r="D166" s="2">
        <x:v>15500</x:v>
      </x:c>
      <x:c r="E166" s="2" t="s">
        <x:v>10</x:v>
      </x:c>
      <x:c r="F166" s="2" t="s">
        <x:v>235</x:v>
      </x:c>
      <x:c r="G166" s="2" t="s">
        <x:v>116</x:v>
      </x:c>
      <x:c r="H166" s="2" t="s">
        <x:v>107</x:v>
      </x:c>
      <x:c r="I166" s="2"/>
      <x:c r="J166" s="2">
        <x:v>2</x:v>
      </x:c>
      <x:c r="K166" s="2" t="s">
        <x:v>117</x:v>
      </x:c>
      <x:c r="L166" s="2" t="s">
        <x:v>110</x:v>
      </x:c>
      <x:c r="M166" s="2"/>
      <x:c r="N166" s="2">
        <x:v>428</x:v>
      </x:c>
      <x:c r="O166" s="2"/>
      <x:c r="P166" s="2"/>
      <x:c r="Q166" s="2" t="s">
        <x:v>111</x:v>
      </x:c>
      <x:c r="R166" s="2">
        <x:v>428</x:v>
      </x:c>
      <x:c r="S166" s="2" t="s">
        <x:v>111</x:v>
      </x:c>
      <x:c r="T166" s="2">
        <x:v>18</x:v>
      </x:c>
      <x:c r="U166" s="2"/>
      <x:c r="V166" s="2"/>
      <x:c r="W166" s="2"/>
      <x:c r="X166" s="2" t="s">
        <x:v>249</x:v>
      </x:c>
      <x:c r="Y166" s="2" t="s">
        <x:v>113</x:v>
      </x:c>
      <x:c r="Z166" s="2" t="s">
        <x:v>114</x:v>
      </x:c>
    </x:row>
    <x:row r="167" ht="27">
      <x:c r="A167" s="2">
        <x:v>1375</x:v>
      </x:c>
      <x:c r="B167" s="2">
        <x:v>1135995</x:v>
      </x:c>
      <x:c r="C167" s="2">
        <x:v>90927</x:v>
      </x:c>
      <x:c r="D167" s="2">
        <x:v>11097</x:v>
      </x:c>
      <x:c r="E167" s="2" t="s">
        <x:v>10</x:v>
      </x:c>
      <x:c r="F167" s="2" t="s">
        <x:v>235</x:v>
      </x:c>
      <x:c r="G167" s="2" t="s">
        <x:v>116</x:v>
      </x:c>
      <x:c r="H167" s="2" t="s">
        <x:v>107</x:v>
      </x:c>
      <x:c r="I167" s="2" t="s">
        <x:v>125</x:v>
      </x:c>
      <x:c r="J167" s="2">
        <x:v>2</x:v>
      </x:c>
      <x:c r="K167" s="2" t="s">
        <x:v>117</x:v>
      </x:c>
      <x:c r="L167" s="2" t="s">
        <x:v>110</x:v>
      </x:c>
      <x:c r="M167" s="2"/>
      <x:c r="N167" s="2">
        <x:v>341.5</x:v>
      </x:c>
      <x:c r="O167" s="2"/>
      <x:c r="P167" s="2"/>
      <x:c r="Q167" s="2" t="s">
        <x:v>111</x:v>
      </x:c>
      <x:c r="R167" s="2">
        <x:v>341.5</x:v>
      </x:c>
      <x:c r="S167" s="2" t="s">
        <x:v>111</x:v>
      </x:c>
      <x:c r="T167" s="2">
        <x:v>18</x:v>
      </x:c>
      <x:c r="U167" s="2">
        <x:v>38</x:v>
      </x:c>
      <x:c r="V167" s="2"/>
      <x:c r="W167" s="2"/>
      <x:c r="X167" s="2" t="s">
        <x:v>239</x:v>
      </x:c>
      <x:c r="Y167" s="2" t="s">
        <x:v>113</x:v>
      </x:c>
      <x:c r="Z167" s="2" t="s">
        <x:v>114</x:v>
      </x:c>
    </x:row>
    <x:row r="168" ht="27">
      <x:c r="A168" s="2">
        <x:v>1377</x:v>
      </x:c>
      <x:c r="B168" s="2">
        <x:v>1310644</x:v>
      </x:c>
      <x:c r="C168" s="2">
        <x:v>767827</x:v>
      </x:c>
      <x:c r="D168" s="2">
        <x:v>14474</x:v>
      </x:c>
      <x:c r="E168" s="2" t="s">
        <x:v>10</x:v>
      </x:c>
      <x:c r="F168" s="2" t="s">
        <x:v>235</x:v>
      </x:c>
      <x:c r="G168" s="2" t="s">
        <x:v>116</x:v>
      </x:c>
      <x:c r="H168" s="2" t="s">
        <x:v>107</x:v>
      </x:c>
      <x:c r="I168" s="2" t="s">
        <x:v>125</x:v>
      </x:c>
      <x:c r="J168" s="2">
        <x:v>2</x:v>
      </x:c>
      <x:c r="K168" s="2" t="s">
        <x:v>117</x:v>
      </x:c>
      <x:c r="L168" s="2" t="s">
        <x:v>110</x:v>
      </x:c>
      <x:c r="M168" s="2"/>
      <x:c r="N168" s="2">
        <x:v>0.34150000000000003</x:v>
      </x:c>
      <x:c r="O168" s="2"/>
      <x:c r="P168" s="2"/>
      <x:c r="Q168" s="2" t="s">
        <x:v>121</x:v>
      </x:c>
      <x:c r="R168" s="2">
        <x:v>0.34150000000000003</x:v>
      </x:c>
      <x:c r="S168" s="2" t="s">
        <x:v>121</x:v>
      </x:c>
      <x:c r="T168" s="2"/>
      <x:c r="U168" s="2"/>
      <x:c r="V168" s="2"/>
      <x:c r="W168" s="2"/>
      <x:c r="X168" s="2" t="s">
        <x:v>240</x:v>
      </x:c>
      <x:c r="Y168" s="2" t="s">
        <x:v>113</x:v>
      </x:c>
      <x:c r="Z168" s="2" t="s">
        <x:v>114</x:v>
      </x:c>
    </x:row>
    <x:row r="169" ht="27">
      <x:c r="A169" s="2">
        <x:v>1381</x:v>
      </x:c>
      <x:c r="B169" s="2">
        <x:v>1310643</x:v>
      </x:c>
      <x:c r="C169" s="2">
        <x:v>767826</x:v>
      </x:c>
      <x:c r="D169" s="2">
        <x:v>14474</x:v>
      </x:c>
      <x:c r="E169" s="2" t="s">
        <x:v>10</x:v>
      </x:c>
      <x:c r="F169" s="2" t="s">
        <x:v>235</x:v>
      </x:c>
      <x:c r="G169" s="2" t="s">
        <x:v>116</x:v>
      </x:c>
      <x:c r="H169" s="2" t="s">
        <x:v>107</x:v>
      </x:c>
      <x:c r="I169" s="2" t="s">
        <x:v>125</x:v>
      </x:c>
      <x:c r="J169" s="2">
        <x:v>2</x:v>
      </x:c>
      <x:c r="K169" s="2" t="s">
        <x:v>117</x:v>
      </x:c>
      <x:c r="L169" s="2" t="s">
        <x:v>110</x:v>
      </x:c>
      <x:c r="M169" s="2"/>
      <x:c r="N169" s="2">
        <x:v>0.31419999999999998</x:v>
      </x:c>
      <x:c r="O169" s="2"/>
      <x:c r="P169" s="2"/>
      <x:c r="Q169" s="2" t="s">
        <x:v>121</x:v>
      </x:c>
      <x:c r="R169" s="2">
        <x:v>0.31419999999999998</x:v>
      </x:c>
      <x:c r="S169" s="2" t="s">
        <x:v>121</x:v>
      </x:c>
      <x:c r="T169" s="2"/>
      <x:c r="U169" s="2"/>
      <x:c r="V169" s="2"/>
      <x:c r="W169" s="2"/>
      <x:c r="X169" s="2" t="s">
        <x:v>240</x:v>
      </x:c>
      <x:c r="Y169" s="2" t="s">
        <x:v>113</x:v>
      </x:c>
      <x:c r="Z169" s="2" t="s">
        <x:v>114</x:v>
      </x:c>
    </x:row>
    <x:row r="170" ht="27">
      <x:c r="A170" s="2">
        <x:v>1383</x:v>
      </x:c>
      <x:c r="B170" s="2">
        <x:v>1310622</x:v>
      </x:c>
      <x:c r="C170" s="2">
        <x:v>767805</x:v>
      </x:c>
      <x:c r="D170" s="2">
        <x:v>14474</x:v>
      </x:c>
      <x:c r="E170" s="2" t="s">
        <x:v>10</x:v>
      </x:c>
      <x:c r="F170" s="2" t="s">
        <x:v>235</x:v>
      </x:c>
      <x:c r="G170" s="2" t="s">
        <x:v>116</x:v>
      </x:c>
      <x:c r="H170" s="2" t="s">
        <x:v>107</x:v>
      </x:c>
      <x:c r="I170" s="2"/>
      <x:c r="J170" s="2">
        <x:v>2</x:v>
      </x:c>
      <x:c r="K170" s="2" t="s">
        <x:v>117</x:v>
      </x:c>
      <x:c r="L170" s="2" t="s">
        <x:v>110</x:v>
      </x:c>
      <x:c r="M170" s="2"/>
      <x:c r="N170" s="2">
        <x:v>0.42799999999999999</x:v>
      </x:c>
      <x:c r="O170" s="2"/>
      <x:c r="P170" s="2"/>
      <x:c r="Q170" s="2" t="s">
        <x:v>121</x:v>
      </x:c>
      <x:c r="R170" s="2">
        <x:v>0.42799999999999999</x:v>
      </x:c>
      <x:c r="S170" s="2" t="s">
        <x:v>121</x:v>
      </x:c>
      <x:c r="T170" s="2"/>
      <x:c r="U170" s="2"/>
      <x:c r="V170" s="2"/>
      <x:c r="W170" s="2"/>
      <x:c r="X170" s="2" t="s">
        <x:v>240</x:v>
      </x:c>
      <x:c r="Y170" s="2" t="s">
        <x:v>113</x:v>
      </x:c>
      <x:c r="Z170" s="2" t="s">
        <x:v>114</x:v>
      </x:c>
    </x:row>
    <x:row r="171" ht="27">
      <x:c r="A171" s="2">
        <x:v>1389</x:v>
      </x:c>
      <x:c r="B171" s="2">
        <x:v>1070628</x:v>
      </x:c>
      <x:c r="C171" s="2">
        <x:v>12733</x:v>
      </x:c>
      <x:c r="D171" s="2">
        <x:v>5563</x:v>
      </x:c>
      <x:c r="E171" s="2" t="s">
        <x:v>10</x:v>
      </x:c>
      <x:c r="F171" s="2" t="s">
        <x:v>235</x:v>
      </x:c>
      <x:c r="G171" s="2" t="s">
        <x:v>199</x:v>
      </x:c>
      <x:c r="H171" s="2" t="s">
        <x:v>107</x:v>
      </x:c>
      <x:c r="I171" s="2" t="s">
        <x:v>159</x:v>
      </x:c>
      <x:c r="J171" s="2">
        <x:v>1</x:v>
      </x:c>
      <x:c r="K171" s="2" t="s">
        <x:v>117</x:v>
      </x:c>
      <x:c r="L171" s="2" t="s">
        <x:v>110</x:v>
      </x:c>
      <x:c r="M171" s="2"/>
      <x:c r="N171" s="2">
        <x:v>180</x:v>
      </x:c>
      <x:c r="O171" s="2">
        <x:v>120</x:v>
      </x:c>
      <x:c r="P171" s="2">
        <x:v>230</x:v>
      </x:c>
      <x:c r="Q171" s="2" t="s">
        <x:v>111</x:v>
      </x:c>
      <x:c r="R171" s="2">
        <x:v>180</x:v>
      </x:c>
      <x:c r="S171" s="2" t="s">
        <x:v>111</x:v>
      </x:c>
      <x:c r="T171" s="2">
        <x:v>17</x:v>
      </x:c>
      <x:c r="U171" s="2"/>
      <x:c r="V171" s="2"/>
      <x:c r="W171" s="2"/>
      <x:c r="X171" s="2" t="s">
        <x:v>200</x:v>
      </x:c>
      <x:c r="Y171" s="2" t="s">
        <x:v>113</x:v>
      </x:c>
      <x:c r="Z171" s="2" t="s">
        <x:v>114</x:v>
      </x:c>
    </x:row>
    <x:row r="172" ht="40.5">
      <x:c r="A172" s="2">
        <x:v>1394</x:v>
      </x:c>
      <x:c r="B172" s="2">
        <x:v>2019866</x:v>
      </x:c>
      <x:c r="C172" s="2">
        <x:v>2033704</x:v>
      </x:c>
      <x:c r="D172" s="2">
        <x:v>156339</x:v>
      </x:c>
      <x:c r="E172" s="2" t="s">
        <x:v>10</x:v>
      </x:c>
      <x:c r="F172" s="2" t="s">
        <x:v>235</x:v>
      </x:c>
      <x:c r="G172" s="2" t="s">
        <x:v>106</x:v>
      </x:c>
      <x:c r="H172" s="2" t="s">
        <x:v>107</x:v>
      </x:c>
      <x:c r="I172" s="2" t="s">
        <x:v>108</x:v>
      </x:c>
      <x:c r="J172" s="2">
        <x:v>4</x:v>
      </x:c>
      <x:c r="K172" s="2" t="s">
        <x:v>126</x:v>
      </x:c>
      <x:c r="L172" s="2" t="s">
        <x:v>110</x:v>
      </x:c>
      <x:c r="M172" s="2"/>
      <x:c r="N172" s="2">
        <x:v>580</x:v>
      </x:c>
      <x:c r="O172" s="2">
        <x:v>430</x:v>
      </x:c>
      <x:c r="P172" s="2">
        <x:v>790</x:v>
      </x:c>
      <x:c r="Q172" s="2" t="s">
        <x:v>111</x:v>
      </x:c>
      <x:c r="R172" s="2">
        <x:v>580</x:v>
      </x:c>
      <x:c r="S172" s="2" t="s">
        <x:v>111</x:v>
      </x:c>
      <x:c r="T172" s="2">
        <x:v>25</x:v>
      </x:c>
      <x:c r="U172" s="2">
        <x:v>33</x:v>
      </x:c>
      <x:c r="V172" s="2"/>
      <x:c r="W172" s="2"/>
      <x:c r="X172" s="2" t="s">
        <x:v>250</x:v>
      </x:c>
      <x:c r="Y172" s="2" t="s">
        <x:v>113</x:v>
      </x:c>
      <x:c r="Z172" s="2" t="s">
        <x:v>114</x:v>
      </x:c>
    </x:row>
    <x:row r="173" ht="54">
      <x:c r="A173" s="2">
        <x:v>1395</x:v>
      </x:c>
      <x:c r="B173" s="2">
        <x:v>1205935</x:v>
      </x:c>
      <x:c r="C173" s="2">
        <x:v>171326</x:v>
      </x:c>
      <x:c r="D173" s="2">
        <x:v>18833</x:v>
      </x:c>
      <x:c r="E173" s="2" t="s">
        <x:v>10</x:v>
      </x:c>
      <x:c r="F173" s="2" t="s">
        <x:v>235</x:v>
      </x:c>
      <x:c r="G173" s="2" t="s">
        <x:v>226</x:v>
      </x:c>
      <x:c r="H173" s="2" t="s">
        <x:v>107</x:v>
      </x:c>
      <x:c r="I173" s="2" t="s">
        <x:v>108</x:v>
      </x:c>
      <x:c r="J173" s="2">
        <x:v>4</x:v>
      </x:c>
      <x:c r="K173" s="2" t="s">
        <x:v>126</x:v>
      </x:c>
      <x:c r="L173" s="2" t="s">
        <x:v>110</x:v>
      </x:c>
      <x:c r="M173" s="2"/>
      <x:c r="N173" s="2">
        <x:v>1010</x:v>
      </x:c>
      <x:c r="O173" s="2"/>
      <x:c r="P173" s="2"/>
      <x:c r="Q173" s="2" t="s">
        <x:v>111</x:v>
      </x:c>
      <x:c r="R173" s="2">
        <x:v>1010</x:v>
      </x:c>
      <x:c r="S173" s="2" t="s">
        <x:v>111</x:v>
      </x:c>
      <x:c r="T173" s="2">
        <x:v>20</x:v>
      </x:c>
      <x:c r="U173" s="2">
        <x:v>37</x:v>
      </x:c>
      <x:c r="V173" s="2"/>
      <x:c r="W173" s="2"/>
      <x:c r="X173" s="2" t="s">
        <x:v>251</x:v>
      </x:c>
      <x:c r="Y173" s="2" t="s">
        <x:v>113</x:v>
      </x:c>
      <x:c r="Z173" s="2" t="s">
        <x:v>114</x:v>
      </x:c>
    </x:row>
    <x:row r="174" ht="40.5">
      <x:c r="A174" s="2">
        <x:v>1396</x:v>
      </x:c>
      <x:c r="B174" s="2">
        <x:v>1300800</x:v>
      </x:c>
      <x:c r="C174" s="2">
        <x:v>756472</x:v>
      </x:c>
      <x:c r="D174" s="2">
        <x:v>115854</x:v>
      </x:c>
      <x:c r="E174" s="2" t="s">
        <x:v>10</x:v>
      </x:c>
      <x:c r="F174" s="2" t="s">
        <x:v>235</x:v>
      </x:c>
      <x:c r="G174" s="2" t="s">
        <x:v>106</x:v>
      </x:c>
      <x:c r="H174" s="2" t="s">
        <x:v>107</x:v>
      </x:c>
      <x:c r="I174" s="2" t="s">
        <x:v>108</x:v>
      </x:c>
      <x:c r="J174" s="2">
        <x:v>4</x:v>
      </x:c>
      <x:c r="K174" s="2" t="s">
        <x:v>126</x:v>
      </x:c>
      <x:c r="L174" s="2" t="s">
        <x:v>110</x:v>
      </x:c>
      <x:c r="M174" s="2"/>
      <x:c r="N174" s="2">
        <x:v>323</x:v>
      </x:c>
      <x:c r="O174" s="2"/>
      <x:c r="P174" s="2"/>
      <x:c r="Q174" s="2" t="s">
        <x:v>111</x:v>
      </x:c>
      <x:c r="R174" s="2">
        <x:v>323</x:v>
      </x:c>
      <x:c r="S174" s="2" t="s">
        <x:v>111</x:v>
      </x:c>
      <x:c r="T174" s="2"/>
      <x:c r="U174" s="2"/>
      <x:c r="V174" s="2"/>
      <x:c r="W174" s="2"/>
      <x:c r="X174" s="2" t="s">
        <x:v>112</x:v>
      </x:c>
      <x:c r="Y174" s="2" t="s">
        <x:v>113</x:v>
      </x:c>
      <x:c r="Z174" s="2" t="s">
        <x:v>114</x:v>
      </x:c>
    </x:row>
    <x:row r="175" ht="27">
      <x:c r="A175" s="2">
        <x:v>1397</x:v>
      </x:c>
      <x:c r="B175" s="2">
        <x:v>2135201</x:v>
      </x:c>
      <x:c r="C175" s="2">
        <x:v>2249958</x:v>
      </x:c>
      <x:c r="D175" s="2">
        <x:v>119554</x:v>
      </x:c>
      <x:c r="E175" s="2" t="s">
        <x:v>10</x:v>
      </x:c>
      <x:c r="F175" s="2" t="s">
        <x:v>235</x:v>
      </x:c>
      <x:c r="G175" s="2" t="s">
        <x:v>132</x:v>
      </x:c>
      <x:c r="H175" s="2" t="s">
        <x:v>107</x:v>
      </x:c>
      <x:c r="I175" s="2" t="s">
        <x:v>125</x:v>
      </x:c>
      <x:c r="J175" s="2">
        <x:v>2</x:v>
      </x:c>
      <x:c r="K175" s="2" t="s">
        <x:v>117</x:v>
      </x:c>
      <x:c r="L175" s="2" t="s">
        <x:v>120</x:v>
      </x:c>
      <x:c r="M175" s="2"/>
      <x:c r="N175" s="2">
        <x:v>83.1</x:v>
      </x:c>
      <x:c r="O175" s="2"/>
      <x:c r="P175" s="2"/>
      <x:c r="Q175" s="2" t="s">
        <x:v>111</x:v>
      </x:c>
      <x:c r="R175" s="2">
        <x:v>83.1</x:v>
      </x:c>
      <x:c r="S175" s="2" t="s">
        <x:v>111</x:v>
      </x:c>
      <x:c r="T175" s="2">
        <x:v>20</x:v>
      </x:c>
      <x:c r="U175" s="2">
        <x:v>35</x:v>
      </x:c>
      <x:c r="V175" s="2">
        <x:v>8.1999999999999993</x:v>
      </x:c>
      <x:c r="W175" s="2"/>
      <x:c r="X175" s="2" t="s">
        <x:v>252</x:v>
      </x:c>
      <x:c r="Y175" s="2" t="s">
        <x:v>113</x:v>
      </x:c>
      <x:c r="Z175" s="2" t="s">
        <x:v>114</x:v>
      </x:c>
    </x:row>
    <x:row r="176" ht="54">
      <x:c r="A176" s="2">
        <x:v>1398</x:v>
      </x:c>
      <x:c r="B176" s="2">
        <x:v>1205933</x:v>
      </x:c>
      <x:c r="C176" s="2">
        <x:v>171324</x:v>
      </x:c>
      <x:c r="D176" s="2">
        <x:v>18833</x:v>
      </x:c>
      <x:c r="E176" s="2" t="s">
        <x:v>10</x:v>
      </x:c>
      <x:c r="F176" s="2" t="s">
        <x:v>235</x:v>
      </x:c>
      <x:c r="G176" s="2" t="s">
        <x:v>226</x:v>
      </x:c>
      <x:c r="H176" s="2" t="s">
        <x:v>107</x:v>
      </x:c>
      <x:c r="I176" s="2" t="s">
        <x:v>173</x:v>
      </x:c>
      <x:c r="J176" s="2">
        <x:v>4</x:v>
      </x:c>
      <x:c r="K176" s="2" t="s">
        <x:v>126</x:v>
      </x:c>
      <x:c r="L176" s="2" t="s">
        <x:v>110</x:v>
      </x:c>
      <x:c r="M176" s="2"/>
      <x:c r="N176" s="2">
        <x:v>412</x:v>
      </x:c>
      <x:c r="O176" s="2"/>
      <x:c r="P176" s="2"/>
      <x:c r="Q176" s="2" t="s">
        <x:v>111</x:v>
      </x:c>
      <x:c r="R176" s="2">
        <x:v>412</x:v>
      </x:c>
      <x:c r="S176" s="2" t="s">
        <x:v>111</x:v>
      </x:c>
      <x:c r="T176" s="2">
        <x:v>20</x:v>
      </x:c>
      <x:c r="U176" s="2">
        <x:v>37</x:v>
      </x:c>
      <x:c r="V176" s="2"/>
      <x:c r="W176" s="2"/>
      <x:c r="X176" s="2" t="s">
        <x:v>251</x:v>
      </x:c>
      <x:c r="Y176" s="2" t="s">
        <x:v>113</x:v>
      </x:c>
      <x:c r="Z176" s="2" t="s">
        <x:v>114</x:v>
      </x:c>
    </x:row>
    <x:row r="177" ht="27">
      <x:c r="A177" s="2">
        <x:v>1399</x:v>
      </x:c>
      <x:c r="B177" s="2">
        <x:v>2135202</x:v>
      </x:c>
      <x:c r="C177" s="2">
        <x:v>2249960</x:v>
      </x:c>
      <x:c r="D177" s="2">
        <x:v>119554</x:v>
      </x:c>
      <x:c r="E177" s="2" t="s">
        <x:v>10</x:v>
      </x:c>
      <x:c r="F177" s="2" t="s">
        <x:v>235</x:v>
      </x:c>
      <x:c r="G177" s="2" t="s">
        <x:v>132</x:v>
      </x:c>
      <x:c r="H177" s="2" t="s">
        <x:v>107</x:v>
      </x:c>
      <x:c r="I177" s="2" t="s">
        <x:v>253</x:v>
      </x:c>
      <x:c r="J177" s="2">
        <x:v>3</x:v>
      </x:c>
      <x:c r="K177" s="2" t="s">
        <x:v>117</x:v>
      </x:c>
      <x:c r="L177" s="2" t="s">
        <x:v>120</x:v>
      </x:c>
      <x:c r="M177" s="2"/>
      <x:c r="N177" s="2">
        <x:v>157</x:v>
      </x:c>
      <x:c r="O177" s="2"/>
      <x:c r="P177" s="2"/>
      <x:c r="Q177" s="2" t="s">
        <x:v>111</x:v>
      </x:c>
      <x:c r="R177" s="2">
        <x:v>157</x:v>
      </x:c>
      <x:c r="S177" s="2" t="s">
        <x:v>111</x:v>
      </x:c>
      <x:c r="T177" s="2">
        <x:v>20</x:v>
      </x:c>
      <x:c r="U177" s="2">
        <x:v>35</x:v>
      </x:c>
      <x:c r="V177" s="2">
        <x:v>8.1999999999999993</x:v>
      </x:c>
      <x:c r="W177" s="2"/>
      <x:c r="X177" s="2" t="s">
        <x:v>252</x:v>
      </x:c>
      <x:c r="Y177" s="2" t="s">
        <x:v>113</x:v>
      </x:c>
      <x:c r="Z177" s="2" t="s">
        <x:v>114</x:v>
      </x:c>
    </x:row>
    <x:row r="178" ht="40.5">
      <x:c r="A178" s="2">
        <x:v>1408</x:v>
      </x:c>
      <x:c r="B178" s="2">
        <x:v>1300793</x:v>
      </x:c>
      <x:c r="C178" s="2">
        <x:v>756465</x:v>
      </x:c>
      <x:c r="D178" s="2">
        <x:v>115854</x:v>
      </x:c>
      <x:c r="E178" s="2" t="s">
        <x:v>10</x:v>
      </x:c>
      <x:c r="F178" s="2" t="s">
        <x:v>235</x:v>
      </x:c>
      <x:c r="G178" s="2" t="s">
        <x:v>106</x:v>
      </x:c>
      <x:c r="H178" s="2" t="s">
        <x:v>107</x:v>
      </x:c>
      <x:c r="I178" s="2" t="s">
        <x:v>108</x:v>
      </x:c>
      <x:c r="J178" s="2">
        <x:v>4</x:v>
      </x:c>
      <x:c r="K178" s="2" t="s">
        <x:v>109</x:v>
      </x:c>
      <x:c r="L178" s="2" t="s">
        <x:v>110</x:v>
      </x:c>
      <x:c r="M178" s="2"/>
      <x:c r="N178" s="2"/>
      <x:c r="O178" s="2">
        <x:v>1000</x:v>
      </x:c>
      <x:c r="P178" s="2">
        <x:v>1100</x:v>
      </x:c>
      <x:c r="Q178" s="2" t="s">
        <x:v>111</x:v>
      </x:c>
      <x:c r="R178" s="2">
        <x:v>1.045558</x:v>
      </x:c>
      <x:c r="S178" s="2" t="s">
        <x:v>121</x:v>
      </x:c>
      <x:c r="T178" s="2">
        <x:v>25</x:v>
      </x:c>
      <x:c r="U178" s="2">
        <x:v>33</x:v>
      </x:c>
      <x:c r="V178" s="2"/>
      <x:c r="W178" s="2"/>
      <x:c r="X178" s="2" t="s">
        <x:v>112</x:v>
      </x:c>
      <x:c r="Y178" s="2" t="s">
        <x:v>220</x:v>
      </x:c>
      <x:c r="Z178" s="2" t="s">
        <x:v>255</x:v>
      </x:c>
    </x:row>
    <x:row r="179" ht="40.5">
      <x:c r="A179" s="2">
        <x:v>1409</x:v>
      </x:c>
      <x:c r="B179" s="2">
        <x:v>1301479</x:v>
      </x:c>
      <x:c r="C179" s="2">
        <x:v>757358</x:v>
      </x:c>
      <x:c r="D179" s="2">
        <x:v>115854</x:v>
      </x:c>
      <x:c r="E179" s="2" t="s">
        <x:v>10</x:v>
      </x:c>
      <x:c r="F179" s="2" t="s">
        <x:v>235</x:v>
      </x:c>
      <x:c r="G179" s="2" t="s">
        <x:v>106</x:v>
      </x:c>
      <x:c r="H179" s="2" t="s">
        <x:v>107</x:v>
      </x:c>
      <x:c r="I179" s="2" t="s">
        <x:v>108</x:v>
      </x:c>
      <x:c r="J179" s="2">
        <x:v>4</x:v>
      </x:c>
      <x:c r="K179" s="2" t="s">
        <x:v>126</x:v>
      </x:c>
      <x:c r="L179" s="2" t="s">
        <x:v>110</x:v>
      </x:c>
      <x:c r="M179" s="2"/>
      <x:c r="N179" s="2"/>
      <x:c r="O179" s="2">
        <x:v>400</x:v>
      </x:c>
      <x:c r="P179" s="2">
        <x:v>600</x:v>
      </x:c>
      <x:c r="Q179" s="2" t="s">
        <x:v>111</x:v>
      </x:c>
      <x:c r="R179" s="2">
        <x:v>0.47357300000000002</x:v>
      </x:c>
      <x:c r="S179" s="2" t="s">
        <x:v>121</x:v>
      </x:c>
      <x:c r="T179" s="2"/>
      <x:c r="U179" s="2"/>
      <x:c r="V179" s="2"/>
      <x:c r="W179" s="2"/>
      <x:c r="X179" s="2" t="s">
        <x:v>112</x:v>
      </x:c>
      <x:c r="Y179" s="2" t="s">
        <x:v>220</x:v>
      </x:c>
      <x:c r="Z179" s="2" t="s">
        <x:v>255</x:v>
      </x:c>
    </x:row>
    <x:row r="180" ht="54">
      <x:c r="A180" s="2">
        <x:v>1411</x:v>
      </x:c>
      <x:c r="B180" s="2">
        <x:v>1296798</x:v>
      </x:c>
      <x:c r="C180" s="2">
        <x:v>752112</x:v>
      </x:c>
      <x:c r="D180" s="2">
        <x:v>111315</x:v>
      </x:c>
      <x:c r="E180" s="2" t="s">
        <x:v>10</x:v>
      </x:c>
      <x:c r="F180" s="2" t="s">
        <x:v>235</x:v>
      </x:c>
      <x:c r="G180" s="2" t="s">
        <x:v>106</x:v>
      </x:c>
      <x:c r="H180" s="2" t="s">
        <x:v>107</x:v>
      </x:c>
      <x:c r="I180" s="2" t="s">
        <x:v>108</x:v>
      </x:c>
      <x:c r="J180" s="2">
        <x:v>4</x:v>
      </x:c>
      <x:c r="K180" s="2" t="s">
        <x:v>126</x:v>
      </x:c>
      <x:c r="L180" s="2" t="s">
        <x:v>110</x:v>
      </x:c>
      <x:c r="M180" s="2"/>
      <x:c r="N180" s="2">
        <x:v>3.9</x:v>
      </x:c>
      <x:c r="O180" s="2">
        <x:v>2.6</x:v>
      </x:c>
      <x:c r="P180" s="2">
        <x:v>5.87</x:v>
      </x:c>
      <x:c r="Q180" s="2" t="s">
        <x:v>121</x:v>
      </x:c>
      <x:c r="R180" s="2">
        <x:v>3.9</x:v>
      </x:c>
      <x:c r="S180" s="2" t="s">
        <x:v>121</x:v>
      </x:c>
      <x:c r="T180" s="2">
        <x:v>20</x:v>
      </x:c>
      <x:c r="U180" s="2">
        <x:v>32</x:v>
      </x:c>
      <x:c r="V180" s="2">
        <x:v>7.9</x:v>
      </x:c>
      <x:c r="W180" s="2"/>
      <x:c r="X180" s="2" t="s">
        <x:v>204</x:v>
      </x:c>
      <x:c r="Y180" s="2" t="s">
        <x:v>113</x:v>
      </x:c>
      <x:c r="Z180" s="2" t="s">
        <x:v>114</x:v>
      </x:c>
    </x:row>
    <x:row r="181" ht="40.5">
      <x:c r="A181" s="2">
        <x:v>1415</x:v>
      </x:c>
      <x:c r="B181" s="2">
        <x:v>1300801</x:v>
      </x:c>
      <x:c r="C181" s="2">
        <x:v>756473</x:v>
      </x:c>
      <x:c r="D181" s="2">
        <x:v>115854</x:v>
      </x:c>
      <x:c r="E181" s="2" t="s">
        <x:v>10</x:v>
      </x:c>
      <x:c r="F181" s="2" t="s">
        <x:v>235</x:v>
      </x:c>
      <x:c r="G181" s="2" t="s">
        <x:v>106</x:v>
      </x:c>
      <x:c r="H181" s="2" t="s">
        <x:v>107</x:v>
      </x:c>
      <x:c r="I181" s="2" t="s">
        <x:v>108</x:v>
      </x:c>
      <x:c r="J181" s="2">
        <x:v>4</x:v>
      </x:c>
      <x:c r="K181" s="2" t="s">
        <x:v>126</x:v>
      </x:c>
      <x:c r="L181" s="2" t="s">
        <x:v>110</x:v>
      </x:c>
      <x:c r="M181" s="2" t="s">
        <x:v>184</x:v>
      </x:c>
      <x:c r="N181" s="2">
        <x:v>800</x:v>
      </x:c>
      <x:c r="O181" s="2"/>
      <x:c r="P181" s="2"/>
      <x:c r="Q181" s="2" t="s">
        <x:v>111</x:v>
      </x:c>
      <x:c r="R181" s="2">
        <x:v>0.79915400000000003</x:v>
      </x:c>
      <x:c r="S181" s="2" t="s">
        <x:v>121</x:v>
      </x:c>
      <x:c r="T181" s="2"/>
      <x:c r="U181" s="2"/>
      <x:c r="V181" s="2"/>
      <x:c r="W181" s="2"/>
      <x:c r="X181" s="2" t="s">
        <x:v>112</x:v>
      </x:c>
      <x:c r="Y181" s="2" t="s">
        <x:v>220</x:v>
      </x:c>
      <x:c r="Z181" s="2" t="s">
        <x:v>255</x:v>
      </x:c>
    </x:row>
    <x:row r="182" ht="40.5">
      <x:c r="A182" s="2">
        <x:v>1416</x:v>
      </x:c>
      <x:c r="B182" s="2">
        <x:v>1300806</x:v>
      </x:c>
      <x:c r="C182" s="2">
        <x:v>756479</x:v>
      </x:c>
      <x:c r="D182" s="2">
        <x:v>115854</x:v>
      </x:c>
      <x:c r="E182" s="2" t="s">
        <x:v>10</x:v>
      </x:c>
      <x:c r="F182" s="2" t="s">
        <x:v>235</x:v>
      </x:c>
      <x:c r="G182" s="2" t="s">
        <x:v>106</x:v>
      </x:c>
      <x:c r="H182" s="2" t="s">
        <x:v>107</x:v>
      </x:c>
      <x:c r="I182" s="2" t="s">
        <x:v>108</x:v>
      </x:c>
      <x:c r="J182" s="2">
        <x:v>4</x:v>
      </x:c>
      <x:c r="K182" s="2" t="s">
        <x:v>126</x:v>
      </x:c>
      <x:c r="L182" s="2" t="s">
        <x:v>110</x:v>
      </x:c>
      <x:c r="M182" s="2"/>
      <x:c r="N182" s="2"/>
      <x:c r="O182" s="2">
        <x:v>200</x:v>
      </x:c>
      <x:c r="P182" s="2">
        <x:v>400</x:v>
      </x:c>
      <x:c r="Q182" s="2" t="s">
        <x:v>111</x:v>
      </x:c>
      <x:c r="R182" s="2">
        <x:v>0.39217800000000003</x:v>
      </x:c>
      <x:c r="S182" s="2" t="s">
        <x:v>121</x:v>
      </x:c>
      <x:c r="T182" s="2"/>
      <x:c r="U182" s="2"/>
      <x:c r="V182" s="2"/>
      <x:c r="W182" s="2"/>
      <x:c r="X182" s="2" t="s">
        <x:v>112</x:v>
      </x:c>
      <x:c r="Y182" s="2" t="s">
        <x:v>220</x:v>
      </x:c>
      <x:c r="Z182" s="2" t="s">
        <x:v>255</x:v>
      </x:c>
    </x:row>
    <x:row r="183" ht="40.5">
      <x:c r="A183" s="2">
        <x:v>1418</x:v>
      </x:c>
      <x:c r="B183" s="2">
        <x:v>1312278</x:v>
      </x:c>
      <x:c r="C183" s="2">
        <x:v>769701</x:v>
      </x:c>
      <x:c r="D183" s="2">
        <x:v>111599</x:v>
      </x:c>
      <x:c r="E183" s="2" t="s">
        <x:v>10</x:v>
      </x:c>
      <x:c r="F183" s="2" t="s">
        <x:v>235</x:v>
      </x:c>
      <x:c r="G183" s="2" t="s">
        <x:v>106</x:v>
      </x:c>
      <x:c r="H183" s="2" t="s">
        <x:v>107</x:v>
      </x:c>
      <x:c r="I183" s="2" t="s">
        <x:v>108</x:v>
      </x:c>
      <x:c r="J183" s="2">
        <x:v>4</x:v>
      </x:c>
      <x:c r="K183" s="2" t="s">
        <x:v>126</x:v>
      </x:c>
      <x:c r="L183" s="2" t="s">
        <x:v>110</x:v>
      </x:c>
      <x:c r="M183" s="2"/>
      <x:c r="N183" s="2">
        <x:v>1024</x:v>
      </x:c>
      <x:c r="O183" s="2"/>
      <x:c r="P183" s="2"/>
      <x:c r="Q183" s="2" t="s">
        <x:v>111</x:v>
      </x:c>
      <x:c r="R183" s="2">
        <x:v>1024</x:v>
      </x:c>
      <x:c r="S183" s="2" t="s">
        <x:v>111</x:v>
      </x:c>
      <x:c r="T183" s="2">
        <x:v>25</x:v>
      </x:c>
      <x:c r="U183" s="2">
        <x:v>34.5</x:v>
      </x:c>
      <x:c r="V183" s="2"/>
      <x:c r="W183" s="2"/>
      <x:c r="X183" s="2" t="s">
        <x:v>256</x:v>
      </x:c>
      <x:c r="Y183" s="2" t="s">
        <x:v>113</x:v>
      </x:c>
      <x:c r="Z183" s="2" t="s">
        <x:v>114</x:v>
      </x:c>
    </x:row>
    <x:row r="184" ht="27">
      <x:c r="A184" s="2">
        <x:v>1419</x:v>
      </x:c>
      <x:c r="B184" s="2">
        <x:v>1310608</x:v>
      </x:c>
      <x:c r="C184" s="2">
        <x:v>767790</x:v>
      </x:c>
      <x:c r="D184" s="2">
        <x:v>14474</x:v>
      </x:c>
      <x:c r="E184" s="2" t="s">
        <x:v>10</x:v>
      </x:c>
      <x:c r="F184" s="2" t="s">
        <x:v>235</x:v>
      </x:c>
      <x:c r="G184" s="2" t="s">
        <x:v>141</x:v>
      </x:c>
      <x:c r="H184" s="2" t="s">
        <x:v>135</x:v>
      </x:c>
      <x:c r="I184" s="2"/>
      <x:c r="J184" s="2">
        <x:v>2</x:v>
      </x:c>
      <x:c r="K184" s="2" t="s">
        <x:v>117</x:v>
      </x:c>
      <x:c r="L184" s="2" t="s">
        <x:v>110</x:v>
      </x:c>
      <x:c r="M184" s="2"/>
      <x:c r="N184" s="2">
        <x:v>3.4000000000000002E-2</x:v>
      </x:c>
      <x:c r="O184" s="2"/>
      <x:c r="P184" s="2"/>
      <x:c r="Q184" s="2" t="s">
        <x:v>121</x:v>
      </x:c>
      <x:c r="R184" s="2">
        <x:v>3.4000000000000002E-2</x:v>
      </x:c>
      <x:c r="S184" s="2" t="s">
        <x:v>121</x:v>
      </x:c>
      <x:c r="T184" s="2"/>
      <x:c r="U184" s="2"/>
      <x:c r="V184" s="2"/>
      <x:c r="W184" s="2"/>
      <x:c r="X184" s="2" t="s">
        <x:v>240</x:v>
      </x:c>
      <x:c r="Y184" s="2" t="s">
        <x:v>113</x:v>
      </x:c>
      <x:c r="Z184" s="2" t="s">
        <x:v>114</x:v>
      </x:c>
    </x:row>
    <x:row r="185" ht="54">
      <x:c r="A185" s="2">
        <x:v>1421</x:v>
      </x:c>
      <x:c r="B185" s="2">
        <x:v>1205932</x:v>
      </x:c>
      <x:c r="C185" s="2">
        <x:v>171323</x:v>
      </x:c>
      <x:c r="D185" s="2">
        <x:v>18833</x:v>
      </x:c>
      <x:c r="E185" s="2" t="s">
        <x:v>10</x:v>
      </x:c>
      <x:c r="F185" s="2" t="s">
        <x:v>235</x:v>
      </x:c>
      <x:c r="G185" s="2" t="s">
        <x:v>226</x:v>
      </x:c>
      <x:c r="H185" s="2" t="s">
        <x:v>107</x:v>
      </x:c>
      <x:c r="I185" s="2" t="s">
        <x:v>125</x:v>
      </x:c>
      <x:c r="J185" s="2">
        <x:v>4</x:v>
      </x:c>
      <x:c r="K185" s="2" t="s">
        <x:v>126</x:v>
      </x:c>
      <x:c r="L185" s="2" t="s">
        <x:v>110</x:v>
      </x:c>
      <x:c r="M185" s="2"/>
      <x:c r="N185" s="2">
        <x:v>308</x:v>
      </x:c>
      <x:c r="O185" s="2"/>
      <x:c r="P185" s="2"/>
      <x:c r="Q185" s="2" t="s">
        <x:v>111</x:v>
      </x:c>
      <x:c r="R185" s="2">
        <x:v>308</x:v>
      </x:c>
      <x:c r="S185" s="2" t="s">
        <x:v>111</x:v>
      </x:c>
      <x:c r="T185" s="2">
        <x:v>20</x:v>
      </x:c>
      <x:c r="U185" s="2">
        <x:v>37</x:v>
      </x:c>
      <x:c r="V185" s="2"/>
      <x:c r="W185" s="2"/>
      <x:c r="X185" s="2" t="s">
        <x:v>251</x:v>
      </x:c>
      <x:c r="Y185" s="2" t="s">
        <x:v>113</x:v>
      </x:c>
      <x:c r="Z185" s="2" t="s">
        <x:v>114</x:v>
      </x:c>
    </x:row>
    <x:row r="186" ht="40.5">
      <x:c r="A186" s="2">
        <x:v>1428</x:v>
      </x:c>
      <x:c r="B186" s="2">
        <x:v>1078465</x:v>
      </x:c>
      <x:c r="C186" s="2">
        <x:v>231978</x:v>
      </x:c>
      <x:c r="D186" s="2">
        <x:v>6045</x:v>
      </x:c>
      <x:c r="E186" s="2" t="s">
        <x:v>10</x:v>
      </x:c>
      <x:c r="F186" s="2" t="s">
        <x:v>235</x:v>
      </x:c>
      <x:c r="G186" s="2" t="s">
        <x:v>134</x:v>
      </x:c>
      <x:c r="H186" s="2" t="s">
        <x:v>135</x:v>
      </x:c>
      <x:c r="I186" s="2"/>
      <x:c r="J186" s="2">
        <x:v>1</x:v>
      </x:c>
      <x:c r="K186" s="2" t="s">
        <x:v>117</x:v>
      </x:c>
      <x:c r="L186" s="2" t="s">
        <x:v>110</x:v>
      </x:c>
      <x:c r="M186" s="2"/>
      <x:c r="N186" s="2">
        <x:v>300</x:v>
      </x:c>
      <x:c r="O186" s="2"/>
      <x:c r="P186" s="2"/>
      <x:c r="Q186" s="2" t="s">
        <x:v>195</x:v>
      </x:c>
      <x:c r="R186" s="2">
        <x:v>300</x:v>
      </x:c>
      <x:c r="S186" s="2" t="s">
        <x:v>195</x:v>
      </x:c>
      <x:c r="T186" s="2"/>
      <x:c r="U186" s="2">
        <x:v>36</x:v>
      </x:c>
      <x:c r="V186" s="2"/>
      <x:c r="W186" s="2"/>
      <x:c r="X186" s="2" t="s">
        <x:v>196</x:v>
      </x:c>
      <x:c r="Y186" s="2" t="s">
        <x:v>113</x:v>
      </x:c>
      <x:c r="Z186" s="2" t="s">
        <x:v>114</x:v>
      </x:c>
    </x:row>
    <x:row r="187" ht="27">
      <x:c r="A187" s="2">
        <x:v>1430</x:v>
      </x:c>
      <x:c r="B187" s="2">
        <x:v>2148405</x:v>
      </x:c>
      <x:c r="C187" s="2">
        <x:v>2283209</x:v>
      </x:c>
      <x:c r="D187" s="2">
        <x:v>156333</x:v>
      </x:c>
      <x:c r="E187" s="2" t="s">
        <x:v>10</x:v>
      </x:c>
      <x:c r="F187" s="2" t="s">
        <x:v>235</x:v>
      </x:c>
      <x:c r="G187" s="2" t="s">
        <x:v>129</x:v>
      </x:c>
      <x:c r="H187" s="2" t="s">
        <x:v>107</x:v>
      </x:c>
      <x:c r="I187" s="2" t="s">
        <x:v>108</x:v>
      </x:c>
      <x:c r="J187" s="2">
        <x:v>4</x:v>
      </x:c>
      <x:c r="K187" s="2" t="s">
        <x:v>109</x:v>
      </x:c>
      <x:c r="L187" s="2" t="s">
        <x:v>120</x:v>
      </x:c>
      <x:c r="M187" s="2"/>
      <x:c r="N187" s="2">
        <x:v>350</x:v>
      </x:c>
      <x:c r="O187" s="2"/>
      <x:c r="P187" s="2"/>
      <x:c r="Q187" s="2" t="s">
        <x:v>111</x:v>
      </x:c>
      <x:c r="R187" s="2">
        <x:v>350</x:v>
      </x:c>
      <x:c r="S187" s="2" t="s">
        <x:v>111</x:v>
      </x:c>
      <x:c r="T187" s="2">
        <x:v>21</x:v>
      </x:c>
      <x:c r="U187" s="2">
        <x:v>30</x:v>
      </x:c>
      <x:c r="V187" s="2"/>
      <x:c r="W187" s="2"/>
      <x:c r="X187" s="2" t="s">
        <x:v>243</x:v>
      </x:c>
      <x:c r="Y187" s="2" t="s">
        <x:v>113</x:v>
      </x:c>
      <x:c r="Z187" s="2" t="s">
        <x:v>114</x:v>
      </x:c>
    </x:row>
    <x:row r="188" ht="27">
      <x:c r="A188" s="2">
        <x:v>1431</x:v>
      </x:c>
      <x:c r="B188" s="2">
        <x:v>2148402</x:v>
      </x:c>
      <x:c r="C188" s="2">
        <x:v>2283207</x:v>
      </x:c>
      <x:c r="D188" s="2">
        <x:v>156333</x:v>
      </x:c>
      <x:c r="E188" s="2" t="s">
        <x:v>10</x:v>
      </x:c>
      <x:c r="F188" s="2" t="s">
        <x:v>235</x:v>
      </x:c>
      <x:c r="G188" s="2" t="s">
        <x:v>129</x:v>
      </x:c>
      <x:c r="H188" s="2" t="s">
        <x:v>107</x:v>
      </x:c>
      <x:c r="I188" s="2" t="s">
        <x:v>108</x:v>
      </x:c>
      <x:c r="J188" s="2">
        <x:v>3</x:v>
      </x:c>
      <x:c r="K188" s="2" t="s">
        <x:v>109</x:v>
      </x:c>
      <x:c r="L188" s="2" t="s">
        <x:v>120</x:v>
      </x:c>
      <x:c r="M188" s="2"/>
      <x:c r="N188" s="2">
        <x:v>323</x:v>
      </x:c>
      <x:c r="O188" s="2"/>
      <x:c r="P188" s="2"/>
      <x:c r="Q188" s="2" t="s">
        <x:v>111</x:v>
      </x:c>
      <x:c r="R188" s="2">
        <x:v>323</x:v>
      </x:c>
      <x:c r="S188" s="2" t="s">
        <x:v>111</x:v>
      </x:c>
      <x:c r="T188" s="2">
        <x:v>21</x:v>
      </x:c>
      <x:c r="U188" s="2">
        <x:v>30</x:v>
      </x:c>
      <x:c r="V188" s="2"/>
      <x:c r="W188" s="2"/>
      <x:c r="X188" s="2" t="s">
        <x:v>243</x:v>
      </x:c>
      <x:c r="Y188" s="2" t="s">
        <x:v>113</x:v>
      </x:c>
      <x:c r="Z188" s="2" t="s">
        <x:v>114</x:v>
      </x:c>
    </x:row>
    <x:row r="189" ht="54">
      <x:c r="A189" s="2">
        <x:v>1433</x:v>
      </x:c>
      <x:c r="B189" s="2">
        <x:v>1205934</x:v>
      </x:c>
      <x:c r="C189" s="2">
        <x:v>171325</x:v>
      </x:c>
      <x:c r="D189" s="2">
        <x:v>18833</x:v>
      </x:c>
      <x:c r="E189" s="2" t="s">
        <x:v>10</x:v>
      </x:c>
      <x:c r="F189" s="2" t="s">
        <x:v>235</x:v>
      </x:c>
      <x:c r="G189" s="2" t="s">
        <x:v>226</x:v>
      </x:c>
      <x:c r="H189" s="2" t="s">
        <x:v>107</x:v>
      </x:c>
      <x:c r="I189" s="2" t="s">
        <x:v>108</x:v>
      </x:c>
      <x:c r="J189" s="2">
        <x:v>4</x:v>
      </x:c>
      <x:c r="K189" s="2" t="s">
        <x:v>126</x:v>
      </x:c>
      <x:c r="L189" s="2" t="s">
        <x:v>110</x:v>
      </x:c>
      <x:c r="M189" s="2"/>
      <x:c r="N189" s="2">
        <x:v>790</x:v>
      </x:c>
      <x:c r="O189" s="2"/>
      <x:c r="P189" s="2"/>
      <x:c r="Q189" s="2" t="s">
        <x:v>111</x:v>
      </x:c>
      <x:c r="R189" s="2">
        <x:v>790</x:v>
      </x:c>
      <x:c r="S189" s="2" t="s">
        <x:v>111</x:v>
      </x:c>
      <x:c r="T189" s="2">
        <x:v>20</x:v>
      </x:c>
      <x:c r="U189" s="2">
        <x:v>37</x:v>
      </x:c>
      <x:c r="V189" s="2"/>
      <x:c r="W189" s="2"/>
      <x:c r="X189" s="2" t="s">
        <x:v>251</x:v>
      </x:c>
      <x:c r="Y189" s="2" t="s">
        <x:v>113</x:v>
      </x:c>
      <x:c r="Z189" s="2" t="s">
        <x:v>114</x:v>
      </x:c>
    </x:row>
    <x:row r="190" ht="40.5">
      <x:c r="A190" s="2">
        <x:v>1439</x:v>
      </x:c>
      <x:c r="B190" s="2">
        <x:v>1300799</x:v>
      </x:c>
      <x:c r="C190" s="2">
        <x:v>756471</x:v>
      </x:c>
      <x:c r="D190" s="2">
        <x:v>115854</x:v>
      </x:c>
      <x:c r="E190" s="2" t="s">
        <x:v>10</x:v>
      </x:c>
      <x:c r="F190" s="2" t="s">
        <x:v>235</x:v>
      </x:c>
      <x:c r="G190" s="2" t="s">
        <x:v>106</x:v>
      </x:c>
      <x:c r="H190" s="2" t="s">
        <x:v>107</x:v>
      </x:c>
      <x:c r="I190" s="2" t="s">
        <x:v>108</x:v>
      </x:c>
      <x:c r="J190" s="2">
        <x:v>4</x:v>
      </x:c>
      <x:c r="K190" s="2" t="s">
        <x:v>126</x:v>
      </x:c>
      <x:c r="L190" s="2" t="s">
        <x:v>110</x:v>
      </x:c>
      <x:c r="M190" s="2"/>
      <x:c r="N190" s="2"/>
      <x:c r="O190" s="2">
        <x:v>400</x:v>
      </x:c>
      <x:c r="P190" s="2">
        <x:v>600</x:v>
      </x:c>
      <x:c r="Q190" s="2" t="s">
        <x:v>111</x:v>
      </x:c>
      <x:c r="R190" s="2">
        <x:v>0.43065500000000001</x:v>
      </x:c>
      <x:c r="S190" s="2" t="s">
        <x:v>121</x:v>
      </x:c>
      <x:c r="T190" s="2"/>
      <x:c r="U190" s="2"/>
      <x:c r="V190" s="2"/>
      <x:c r="W190" s="2"/>
      <x:c r="X190" s="2" t="s">
        <x:v>112</x:v>
      </x:c>
      <x:c r="Y190" s="2" t="s">
        <x:v>220</x:v>
      </x:c>
      <x:c r="Z190" s="2" t="s">
        <x:v>255</x:v>
      </x:c>
    </x:row>
    <x:row r="191" ht="40.5">
      <x:c r="A191" s="2">
        <x:v>1442</x:v>
      </x:c>
      <x:c r="B191" s="2">
        <x:v>1300788</x:v>
      </x:c>
      <x:c r="C191" s="2">
        <x:v>756460</x:v>
      </x:c>
      <x:c r="D191" s="2">
        <x:v>115854</x:v>
      </x:c>
      <x:c r="E191" s="2" t="s">
        <x:v>10</x:v>
      </x:c>
      <x:c r="F191" s="2" t="s">
        <x:v>235</x:v>
      </x:c>
      <x:c r="G191" s="2" t="s">
        <x:v>106</x:v>
      </x:c>
      <x:c r="H191" s="2" t="s">
        <x:v>107</x:v>
      </x:c>
      <x:c r="I191" s="2" t="s">
        <x:v>108</x:v>
      </x:c>
      <x:c r="J191" s="2">
        <x:v>4</x:v>
      </x:c>
      <x:c r="K191" s="2" t="s">
        <x:v>126</x:v>
      </x:c>
      <x:c r="L191" s="2" t="s">
        <x:v>110</x:v>
      </x:c>
      <x:c r="M191" s="2"/>
      <x:c r="N191" s="2">
        <x:v>585</x:v>
      </x:c>
      <x:c r="O191" s="2"/>
      <x:c r="P191" s="2"/>
      <x:c r="Q191" s="2" t="s">
        <x:v>111</x:v>
      </x:c>
      <x:c r="R191" s="2">
        <x:v>585</x:v>
      </x:c>
      <x:c r="S191" s="2" t="s">
        <x:v>111</x:v>
      </x:c>
      <x:c r="T191" s="2"/>
      <x:c r="U191" s="2"/>
      <x:c r="V191" s="2"/>
      <x:c r="W191" s="2"/>
      <x:c r="X191" s="2" t="s">
        <x:v>112</x:v>
      </x:c>
      <x:c r="Y191" s="2" t="s">
        <x:v>113</x:v>
      </x:c>
      <x:c r="Z191" s="2" t="s">
        <x:v>114</x:v>
      </x:c>
    </x:row>
    <x:row r="192" ht="27">
      <x:c r="A192" s="2">
        <x:v>1445</x:v>
      </x:c>
      <x:c r="B192" s="2">
        <x:v>1310606</x:v>
      </x:c>
      <x:c r="C192" s="2">
        <x:v>767787</x:v>
      </x:c>
      <x:c r="D192" s="2">
        <x:v>14474</x:v>
      </x:c>
      <x:c r="E192" s="2" t="s">
        <x:v>10</x:v>
      </x:c>
      <x:c r="F192" s="2" t="s">
        <x:v>235</x:v>
      </x:c>
      <x:c r="G192" s="2" t="s">
        <x:v>141</x:v>
      </x:c>
      <x:c r="H192" s="2" t="s">
        <x:v>135</x:v>
      </x:c>
      <x:c r="I192" s="2"/>
      <x:c r="J192" s="2">
        <x:v>2</x:v>
      </x:c>
      <x:c r="K192" s="2" t="s">
        <x:v>117</x:v>
      </x:c>
      <x:c r="L192" s="2" t="s">
        <x:v>110</x:v>
      </x:c>
      <x:c r="M192" s="2"/>
      <x:c r="N192" s="2">
        <x:v>8.2000000000000003E-2</x:v>
      </x:c>
      <x:c r="O192" s="2"/>
      <x:c r="P192" s="2"/>
      <x:c r="Q192" s="2" t="s">
        <x:v>121</x:v>
      </x:c>
      <x:c r="R192" s="2">
        <x:v>8.2000000000000003E-2</x:v>
      </x:c>
      <x:c r="S192" s="2" t="s">
        <x:v>121</x:v>
      </x:c>
      <x:c r="T192" s="2"/>
      <x:c r="U192" s="2"/>
      <x:c r="V192" s="2"/>
      <x:c r="W192" s="2"/>
      <x:c r="X192" s="2" t="s">
        <x:v>240</x:v>
      </x:c>
      <x:c r="Y192" s="2" t="s">
        <x:v>113</x:v>
      </x:c>
      <x:c r="Z192" s="2" t="s">
        <x:v>114</x:v>
      </x:c>
    </x:row>
    <x:row r="193" ht="27">
      <x:c r="A193" s="2">
        <x:v>1446</x:v>
      </x:c>
      <x:c r="B193" s="2">
        <x:v>2145987</x:v>
      </x:c>
      <x:c r="C193" s="2">
        <x:v>2276128</x:v>
      </x:c>
      <x:c r="D193" s="2">
        <x:v>169694</x:v>
      </x:c>
      <x:c r="E193" s="2" t="s">
        <x:v>10</x:v>
      </x:c>
      <x:c r="F193" s="2" t="s">
        <x:v>235</x:v>
      </x:c>
      <x:c r="G193" s="2" t="s">
        <x:v>106</x:v>
      </x:c>
      <x:c r="H193" s="2" t="s">
        <x:v>107</x:v>
      </x:c>
      <x:c r="I193" s="2" t="s">
        <x:v>108</x:v>
      </x:c>
      <x:c r="J193" s="2">
        <x:v>4</x:v>
      </x:c>
      <x:c r="K193" s="2" t="s">
        <x:v>117</x:v>
      </x:c>
      <x:c r="L193" s="2" t="s">
        <x:v>120</x:v>
      </x:c>
      <x:c r="M193" s="2"/>
      <x:c r="N193" s="2">
        <x:v>32.75</x:v>
      </x:c>
      <x:c r="O193" s="2">
        <x:v>31.85</x:v>
      </x:c>
      <x:c r="P193" s="2">
        <x:v>33.68</x:v>
      </x:c>
      <x:c r="Q193" s="2" t="s">
        <x:v>121</x:v>
      </x:c>
      <x:c r="R193" s="2">
        <x:v>32.75</x:v>
      </x:c>
      <x:c r="S193" s="2" t="s">
        <x:v>121</x:v>
      </x:c>
      <x:c r="T193" s="2">
        <x:v>20</x:v>
      </x:c>
      <x:c r="U193" s="2">
        <x:v>35</x:v>
      </x:c>
      <x:c r="V193" s="2">
        <x:v>8.65</x:v>
      </x:c>
      <x:c r="W193" s="2"/>
      <x:c r="X193" s="2" t="s">
        <x:v>122</x:v>
      </x:c>
      <x:c r="Y193" s="2" t="s">
        <x:v>113</x:v>
      </x:c>
      <x:c r="Z193" s="2" t="s">
        <x:v>114</x:v>
      </x:c>
    </x:row>
    <x:row r="194" ht="27">
      <x:c r="A194" s="2">
        <x:v>1447</x:v>
      </x:c>
      <x:c r="B194" s="2">
        <x:v>2140455</x:v>
      </x:c>
      <x:c r="C194" s="2">
        <x:v>2262926</x:v>
      </x:c>
      <x:c r="D194" s="2">
        <x:v>166160</x:v>
      </x:c>
      <x:c r="E194" s="2" t="s">
        <x:v>10</x:v>
      </x:c>
      <x:c r="F194" s="2" t="s">
        <x:v>235</x:v>
      </x:c>
      <x:c r="G194" s="2" t="s">
        <x:v>106</x:v>
      </x:c>
      <x:c r="H194" s="2" t="s">
        <x:v>107</x:v>
      </x:c>
      <x:c r="I194" s="2" t="s">
        <x:v>108</x:v>
      </x:c>
      <x:c r="J194" s="2">
        <x:v>4</x:v>
      </x:c>
      <x:c r="K194" s="2" t="s">
        <x:v>126</x:v>
      </x:c>
      <x:c r="L194" s="2" t="s">
        <x:v>110</x:v>
      </x:c>
      <x:c r="M194" s="2"/>
      <x:c r="N194" s="2">
        <x:v>330</x:v>
      </x:c>
      <x:c r="O194" s="2">
        <x:v>280</x:v>
      </x:c>
      <x:c r="P194" s="2">
        <x:v>390</x:v>
      </x:c>
      <x:c r="Q194" s="2" t="s">
        <x:v>111</x:v>
      </x:c>
      <x:c r="R194" s="2">
        <x:v>330</x:v>
      </x:c>
      <x:c r="S194" s="2" t="s">
        <x:v>111</x:v>
      </x:c>
      <x:c r="T194" s="2">
        <x:v>25</x:v>
      </x:c>
      <x:c r="U194" s="2">
        <x:v>33</x:v>
      </x:c>
      <x:c r="V194" s="2"/>
      <x:c r="W194" s="2"/>
      <x:c r="X194" s="2" t="s">
        <x:v>257</x:v>
      </x:c>
      <x:c r="Y194" s="2" t="s">
        <x:v>113</x:v>
      </x:c>
      <x:c r="Z194" s="2" t="s">
        <x:v>114</x:v>
      </x:c>
    </x:row>
    <x:row r="195" ht="27">
      <x:c r="A195" s="2">
        <x:v>1451</x:v>
      </x:c>
      <x:c r="B195" s="2">
        <x:v>2140455</x:v>
      </x:c>
      <x:c r="C195" s="2">
        <x:v>2262925</x:v>
      </x:c>
      <x:c r="D195" s="2">
        <x:v>166160</x:v>
      </x:c>
      <x:c r="E195" s="2" t="s">
        <x:v>10</x:v>
      </x:c>
      <x:c r="F195" s="2" t="s">
        <x:v>235</x:v>
      </x:c>
      <x:c r="G195" s="2" t="s">
        <x:v>106</x:v>
      </x:c>
      <x:c r="H195" s="2" t="s">
        <x:v>107</x:v>
      </x:c>
      <x:c r="I195" s="2" t="s">
        <x:v>108</x:v>
      </x:c>
      <x:c r="J195" s="2">
        <x:v>3</x:v>
      </x:c>
      <x:c r="K195" s="2" t="s">
        <x:v>126</x:v>
      </x:c>
      <x:c r="L195" s="2" t="s">
        <x:v>110</x:v>
      </x:c>
      <x:c r="M195" s="2"/>
      <x:c r="N195" s="2">
        <x:v>590</x:v>
      </x:c>
      <x:c r="O195" s="2">
        <x:v>510</x:v>
      </x:c>
      <x:c r="P195" s="2">
        <x:v>690</x:v>
      </x:c>
      <x:c r="Q195" s="2" t="s">
        <x:v>111</x:v>
      </x:c>
      <x:c r="R195" s="2">
        <x:v>590</x:v>
      </x:c>
      <x:c r="S195" s="2" t="s">
        <x:v>111</x:v>
      </x:c>
      <x:c r="T195" s="2">
        <x:v>25</x:v>
      </x:c>
      <x:c r="U195" s="2">
        <x:v>33</x:v>
      </x:c>
      <x:c r="V195" s="2"/>
      <x:c r="W195" s="2"/>
      <x:c r="X195" s="2" t="s">
        <x:v>257</x:v>
      </x:c>
      <x:c r="Y195" s="2" t="s">
        <x:v>113</x:v>
      </x:c>
      <x:c r="Z195" s="2" t="s">
        <x:v>114</x:v>
      </x:c>
    </x:row>
    <x:row r="196" ht="27">
      <x:c r="A196" s="2">
        <x:v>1453</x:v>
      </x:c>
      <x:c r="B196" s="2">
        <x:v>2135202</x:v>
      </x:c>
      <x:c r="C196" s="2">
        <x:v>2249959</x:v>
      </x:c>
      <x:c r="D196" s="2">
        <x:v>119554</x:v>
      </x:c>
      <x:c r="E196" s="2" t="s">
        <x:v>10</x:v>
      </x:c>
      <x:c r="F196" s="2" t="s">
        <x:v>235</x:v>
      </x:c>
      <x:c r="G196" s="2" t="s">
        <x:v>132</x:v>
      </x:c>
      <x:c r="H196" s="2" t="s">
        <x:v>107</x:v>
      </x:c>
      <x:c r="I196" s="2" t="s">
        <x:v>253</x:v>
      </x:c>
      <x:c r="J196" s="2">
        <x:v>2</x:v>
      </x:c>
      <x:c r="K196" s="2" t="s">
        <x:v>117</x:v>
      </x:c>
      <x:c r="L196" s="2" t="s">
        <x:v>120</x:v>
      </x:c>
      <x:c r="M196" s="2"/>
      <x:c r="N196" s="2">
        <x:v>256</x:v>
      </x:c>
      <x:c r="O196" s="2"/>
      <x:c r="P196" s="2"/>
      <x:c r="Q196" s="2" t="s">
        <x:v>111</x:v>
      </x:c>
      <x:c r="R196" s="2">
        <x:v>256</x:v>
      </x:c>
      <x:c r="S196" s="2" t="s">
        <x:v>111</x:v>
      </x:c>
      <x:c r="T196" s="2">
        <x:v>20</x:v>
      </x:c>
      <x:c r="U196" s="2">
        <x:v>35</x:v>
      </x:c>
      <x:c r="V196" s="2">
        <x:v>8.1999999999999993</x:v>
      </x:c>
      <x:c r="W196" s="2"/>
      <x:c r="X196" s="2" t="s">
        <x:v>252</x:v>
      </x:c>
      <x:c r="Y196" s="2" t="s">
        <x:v>113</x:v>
      </x:c>
      <x:c r="Z196" s="2" t="s">
        <x:v>114</x:v>
      </x:c>
    </x:row>
    <x:row r="197" ht="27">
      <x:c r="A197" s="2">
        <x:v>1475</x:v>
      </x:c>
      <x:c r="B197" s="2">
        <x:v>1053588</x:v>
      </x:c>
      <x:c r="C197" s="2">
        <x:v>126384</x:v>
      </x:c>
      <x:c r="D197" s="2">
        <x:v>3740</x:v>
      </x:c>
      <x:c r="E197" s="2" t="s">
        <x:v>27</x:v>
      </x:c>
      <x:c r="F197" s="2" t="s">
        <x:v>258</x:v>
      </x:c>
      <x:c r="G197" s="2" t="s">
        <x:v>134</x:v>
      </x:c>
      <x:c r="H197" s="2" t="s">
        <x:v>135</x:v>
      </x:c>
      <x:c r="I197" s="2"/>
      <x:c r="J197" s="2">
        <x:v>4</x:v>
      </x:c>
      <x:c r="K197" s="2" t="s">
        <x:v>117</x:v>
      </x:c>
      <x:c r="L197" s="2" t="s">
        <x:v>110</x:v>
      </x:c>
      <x:c r="M197" s="2"/>
      <x:c r="N197" s="2">
        <x:v>30.9</x:v>
      </x:c>
      <x:c r="O197" s="2">
        <x:v>22.3</x:v>
      </x:c>
      <x:c r="P197" s="2">
        <x:v>46.7</x:v>
      </x:c>
      <x:c r="Q197" s="2" t="s">
        <x:v>111</x:v>
      </x:c>
      <x:c r="R197" s="2">
        <x:v>30.9</x:v>
      </x:c>
      <x:c r="S197" s="2" t="s">
        <x:v>111</x:v>
      </x:c>
      <x:c r="T197" s="2">
        <x:v>22</x:v>
      </x:c>
      <x:c r="U197" s="2">
        <x:v>28</x:v>
      </x:c>
      <x:c r="V197" s="2"/>
      <x:c r="W197" s="2"/>
      <x:c r="X197" s="2" t="s">
        <x:v>259</x:v>
      </x:c>
      <x:c r="Y197" s="2" t="s">
        <x:v>113</x:v>
      </x:c>
      <x:c r="Z197" s="2" t="s">
        <x:v>114</x:v>
      </x:c>
    </x:row>
    <x:row r="198">
      <x:c r="A198" s="2">
        <x:v>1478</x:v>
      </x:c>
      <x:c r="B198" s="2">
        <x:v>1053718</x:v>
      </x:c>
      <x:c r="C198" s="2">
        <x:v>194909</x:v>
      </x:c>
      <x:c r="D198" s="2">
        <x:v>3751</x:v>
      </x:c>
      <x:c r="E198" s="2" t="s">
        <x:v>27</x:v>
      </x:c>
      <x:c r="F198" s="2" t="s">
        <x:v>258</x:v>
      </x:c>
      <x:c r="G198" s="2" t="s">
        <x:v>134</x:v>
      </x:c>
      <x:c r="H198" s="2" t="s">
        <x:v>135</x:v>
      </x:c>
      <x:c r="I198" s="2" t="s">
        <x:v>108</x:v>
      </x:c>
      <x:c r="J198" s="2">
        <x:v>4</x:v>
      </x:c>
      <x:c r="K198" s="2" t="s">
        <x:v>117</x:v>
      </x:c>
      <x:c r="L198" s="2" t="s">
        <x:v>110</x:v>
      </x:c>
      <x:c r="M198" s="2"/>
      <x:c r="N198" s="2">
        <x:v>36.299999999999997</x:v>
      </x:c>
      <x:c r="O198" s="2">
        <x:v>21.8</x:v>
      </x:c>
      <x:c r="P198" s="2">
        <x:v>102</x:v>
      </x:c>
      <x:c r="Q198" s="2" t="s">
        <x:v>111</x:v>
      </x:c>
      <x:c r="R198" s="2">
        <x:v>36.299999999999997</x:v>
      </x:c>
      <x:c r="S198" s="2" t="s">
        <x:v>111</x:v>
      </x:c>
      <x:c r="T198" s="2">
        <x:v>20</x:v>
      </x:c>
      <x:c r="U198" s="2">
        <x:v>30</x:v>
      </x:c>
      <x:c r="V198" s="2"/>
      <x:c r="W198" s="2"/>
      <x:c r="X198" s="2" t="s">
        <x:v>143</x:v>
      </x:c>
      <x:c r="Y198" s="2" t="s">
        <x:v>113</x:v>
      </x:c>
      <x:c r="Z198" s="2" t="s">
        <x:v>114</x:v>
      </x:c>
    </x:row>
    <x:row r="199" ht="27">
      <x:c r="A199" s="2">
        <x:v>1479</x:v>
      </x:c>
      <x:c r="B199" s="2">
        <x:v>1054942</x:v>
      </x:c>
      <x:c r="C199" s="2">
        <x:v>134343</x:v>
      </x:c>
      <x:c r="D199" s="2">
        <x:v>3825</x:v>
      </x:c>
      <x:c r="E199" s="2" t="s">
        <x:v>27</x:v>
      </x:c>
      <x:c r="F199" s="2" t="s">
        <x:v>258</x:v>
      </x:c>
      <x:c r="G199" s="2" t="s">
        <x:v>141</x:v>
      </x:c>
      <x:c r="H199" s="2" t="s">
        <x:v>135</x:v>
      </x:c>
      <x:c r="I199" s="2" t="s">
        <x:v>108</x:v>
      </x:c>
      <x:c r="J199" s="2">
        <x:v>4</x:v>
      </x:c>
      <x:c r="K199" s="2" t="s">
        <x:v>117</x:v>
      </x:c>
      <x:c r="L199" s="2" t="s">
        <x:v>110</x:v>
      </x:c>
      <x:c r="M199" s="2"/>
      <x:c r="N199" s="2">
        <x:v>43</x:v>
      </x:c>
      <x:c r="O199" s="2"/>
      <x:c r="P199" s="2"/>
      <x:c r="Q199" s="2" t="s">
        <x:v>111</x:v>
      </x:c>
      <x:c r="R199" s="2">
        <x:v>43</x:v>
      </x:c>
      <x:c r="S199" s="2" t="s">
        <x:v>111</x:v>
      </x:c>
      <x:c r="T199" s="2">
        <x:v>8</x:v>
      </x:c>
      <x:c r="U199" s="2">
        <x:v>30</x:v>
      </x:c>
      <x:c r="V199" s="2"/>
      <x:c r="W199" s="2"/>
      <x:c r="X199" s="2" t="s">
        <x:v>142</x:v>
      </x:c>
      <x:c r="Y199" s="2" t="s">
        <x:v>113</x:v>
      </x:c>
      <x:c r="Z199" s="2" t="s">
        <x:v>114</x:v>
      </x:c>
    </x:row>
    <x:row r="200" ht="54">
      <x:c r="A200" s="2">
        <x:v>1485</x:v>
      </x:c>
      <x:c r="B200" s="2">
        <x:v>1205927</x:v>
      </x:c>
      <x:c r="C200" s="2">
        <x:v>171318</x:v>
      </x:c>
      <x:c r="D200" s="2">
        <x:v>18833</x:v>
      </x:c>
      <x:c r="E200" s="2" t="s">
        <x:v>27</x:v>
      </x:c>
      <x:c r="F200" s="2" t="s">
        <x:v>258</x:v>
      </x:c>
      <x:c r="G200" s="2" t="s">
        <x:v>226</x:v>
      </x:c>
      <x:c r="H200" s="2" t="s">
        <x:v>107</x:v>
      </x:c>
      <x:c r="I200" s="2" t="s">
        <x:v>173</x:v>
      </x:c>
      <x:c r="J200" s="2">
        <x:v>4</x:v>
      </x:c>
      <x:c r="K200" s="2" t="s">
        <x:v>126</x:v>
      </x:c>
      <x:c r="L200" s="2" t="s">
        <x:v>110</x:v>
      </x:c>
      <x:c r="M200" s="2"/>
      <x:c r="N200" s="2">
        <x:v>55.66</x:v>
      </x:c>
      <x:c r="O200" s="2"/>
      <x:c r="P200" s="2"/>
      <x:c r="Q200" s="2" t="s">
        <x:v>111</x:v>
      </x:c>
      <x:c r="R200" s="2">
        <x:v>55.66</x:v>
      </x:c>
      <x:c r="S200" s="2" t="s">
        <x:v>111</x:v>
      </x:c>
      <x:c r="T200" s="2">
        <x:v>20</x:v>
      </x:c>
      <x:c r="U200" s="2">
        <x:v>37</x:v>
      </x:c>
      <x:c r="V200" s="2"/>
      <x:c r="W200" s="2"/>
      <x:c r="X200" s="2" t="s">
        <x:v>251</x:v>
      </x:c>
      <x:c r="Y200" s="2" t="s">
        <x:v>113</x:v>
      </x:c>
      <x:c r="Z200" s="2" t="s">
        <x:v>114</x:v>
      </x:c>
    </x:row>
    <x:row r="201" ht="54">
      <x:c r="A201" s="2">
        <x:v>1491</x:v>
      </x:c>
      <x:c r="B201" s="2">
        <x:v>1205928</x:v>
      </x:c>
      <x:c r="C201" s="2">
        <x:v>171319</x:v>
      </x:c>
      <x:c r="D201" s="2">
        <x:v>18833</x:v>
      </x:c>
      <x:c r="E201" s="2" t="s">
        <x:v>27</x:v>
      </x:c>
      <x:c r="F201" s="2" t="s">
        <x:v>258</x:v>
      </x:c>
      <x:c r="G201" s="2" t="s">
        <x:v>226</x:v>
      </x:c>
      <x:c r="H201" s="2" t="s">
        <x:v>107</x:v>
      </x:c>
      <x:c r="I201" s="2" t="s">
        <x:v>108</x:v>
      </x:c>
      <x:c r="J201" s="2">
        <x:v>4</x:v>
      </x:c>
      <x:c r="K201" s="2" t="s">
        <x:v>126</x:v>
      </x:c>
      <x:c r="L201" s="2" t="s">
        <x:v>110</x:v>
      </x:c>
      <x:c r="M201" s="2"/>
      <x:c r="N201" s="2">
        <x:v>120.81</x:v>
      </x:c>
      <x:c r="O201" s="2"/>
      <x:c r="P201" s="2"/>
      <x:c r="Q201" s="2" t="s">
        <x:v>111</x:v>
      </x:c>
      <x:c r="R201" s="2">
        <x:v>120.81</x:v>
      </x:c>
      <x:c r="S201" s="2" t="s">
        <x:v>111</x:v>
      </x:c>
      <x:c r="T201" s="2">
        <x:v>20</x:v>
      </x:c>
      <x:c r="U201" s="2">
        <x:v>37</x:v>
      </x:c>
      <x:c r="V201" s="2"/>
      <x:c r="W201" s="2"/>
      <x:c r="X201" s="2" t="s">
        <x:v>251</x:v>
      </x:c>
      <x:c r="Y201" s="2" t="s">
        <x:v>113</x:v>
      </x:c>
      <x:c r="Z201" s="2" t="s">
        <x:v>114</x:v>
      </x:c>
    </x:row>
    <x:row r="202" ht="54">
      <x:c r="A202" s="2">
        <x:v>1493</x:v>
      </x:c>
      <x:c r="B202" s="2">
        <x:v>1205926</x:v>
      </x:c>
      <x:c r="C202" s="2">
        <x:v>171317</x:v>
      </x:c>
      <x:c r="D202" s="2">
        <x:v>18833</x:v>
      </x:c>
      <x:c r="E202" s="2" t="s">
        <x:v>27</x:v>
      </x:c>
      <x:c r="F202" s="2" t="s">
        <x:v>258</x:v>
      </x:c>
      <x:c r="G202" s="2" t="s">
        <x:v>226</x:v>
      </x:c>
      <x:c r="H202" s="2" t="s">
        <x:v>107</x:v>
      </x:c>
      <x:c r="I202" s="2" t="s">
        <x:v>125</x:v>
      </x:c>
      <x:c r="J202" s="2">
        <x:v>4</x:v>
      </x:c>
      <x:c r="K202" s="2" t="s">
        <x:v>126</x:v>
      </x:c>
      <x:c r="L202" s="2" t="s">
        <x:v>110</x:v>
      </x:c>
      <x:c r="M202" s="2"/>
      <x:c r="N202" s="2">
        <x:v>36.369999999999997</x:v>
      </x:c>
      <x:c r="O202" s="2"/>
      <x:c r="P202" s="2"/>
      <x:c r="Q202" s="2" t="s">
        <x:v>111</x:v>
      </x:c>
      <x:c r="R202" s="2">
        <x:v>36.369999999999997</x:v>
      </x:c>
      <x:c r="S202" s="2" t="s">
        <x:v>111</x:v>
      </x:c>
      <x:c r="T202" s="2">
        <x:v>20</x:v>
      </x:c>
      <x:c r="U202" s="2">
        <x:v>37</x:v>
      </x:c>
      <x:c r="V202" s="2"/>
      <x:c r="W202" s="2"/>
      <x:c r="X202" s="2" t="s">
        <x:v>251</x:v>
      </x:c>
      <x:c r="Y202" s="2" t="s">
        <x:v>113</x:v>
      </x:c>
      <x:c r="Z202" s="2" t="s">
        <x:v>114</x:v>
      </x:c>
    </x:row>
    <x:row r="203" ht="40.5">
      <x:c r="A203" s="2">
        <x:v>1495</x:v>
      </x:c>
      <x:c r="B203" s="2">
        <x:v>1285255</x:v>
      </x:c>
      <x:c r="C203" s="2">
        <x:v>739335</x:v>
      </x:c>
      <x:c r="D203" s="2">
        <x:v>76315</x:v>
      </x:c>
      <x:c r="E203" s="2" t="s">
        <x:v>27</x:v>
      </x:c>
      <x:c r="F203" s="2" t="s">
        <x:v>258</x:v>
      </x:c>
      <x:c r="G203" s="2" t="s">
        <x:v>226</x:v>
      </x:c>
      <x:c r="H203" s="2" t="s">
        <x:v>107</x:v>
      </x:c>
      <x:c r="I203" s="2" t="s">
        <x:v>108</x:v>
      </x:c>
      <x:c r="J203" s="2">
        <x:v>4</x:v>
      </x:c>
      <x:c r="K203" s="2" t="s">
        <x:v>126</x:v>
      </x:c>
      <x:c r="L203" s="2" t="s">
        <x:v>110</x:v>
      </x:c>
      <x:c r="M203" s="2"/>
      <x:c r="N203" s="2">
        <x:v>95</x:v>
      </x:c>
      <x:c r="O203" s="2"/>
      <x:c r="P203" s="2"/>
      <x:c r="Q203" s="2" t="s">
        <x:v>111</x:v>
      </x:c>
      <x:c r="R203" s="2">
        <x:v>95</x:v>
      </x:c>
      <x:c r="S203" s="2" t="s">
        <x:v>111</x:v>
      </x:c>
      <x:c r="T203" s="2">
        <x:v>20</x:v>
      </x:c>
      <x:c r="U203" s="2">
        <x:v>34.5</x:v>
      </x:c>
      <x:c r="V203" s="2">
        <x:v>8.1999999999999993</x:v>
      </x:c>
      <x:c r="W203" s="2"/>
      <x:c r="X203" s="2" t="s">
        <x:v>261</x:v>
      </x:c>
      <x:c r="Y203" s="2" t="s">
        <x:v>113</x:v>
      </x:c>
      <x:c r="Z203" s="2" t="s">
        <x:v>114</x:v>
      </x:c>
    </x:row>
    <x:row r="204" ht="27">
      <x:c r="A204" s="2">
        <x:v>1497</x:v>
      </x:c>
      <x:c r="B204" s="2">
        <x:v>1054943</x:v>
      </x:c>
      <x:c r="C204" s="2">
        <x:v>134344</x:v>
      </x:c>
      <x:c r="D204" s="2">
        <x:v>3825</x:v>
      </x:c>
      <x:c r="E204" s="2" t="s">
        <x:v>27</x:v>
      </x:c>
      <x:c r="F204" s="2" t="s">
        <x:v>258</x:v>
      </x:c>
      <x:c r="G204" s="2" t="s">
        <x:v>134</x:v>
      </x:c>
      <x:c r="H204" s="2" t="s">
        <x:v>135</x:v>
      </x:c>
      <x:c r="I204" s="2" t="s">
        <x:v>108</x:v>
      </x:c>
      <x:c r="J204" s="2">
        <x:v>4</x:v>
      </x:c>
      <x:c r="K204" s="2" t="s">
        <x:v>117</x:v>
      </x:c>
      <x:c r="L204" s="2" t="s">
        <x:v>110</x:v>
      </x:c>
      <x:c r="M204" s="2"/>
      <x:c r="N204" s="2">
        <x:v>36.299999999999997</x:v>
      </x:c>
      <x:c r="O204" s="2"/>
      <x:c r="P204" s="2"/>
      <x:c r="Q204" s="2" t="s">
        <x:v>111</x:v>
      </x:c>
      <x:c r="R204" s="2">
        <x:v>36.299999999999997</x:v>
      </x:c>
      <x:c r="S204" s="2" t="s">
        <x:v>111</x:v>
      </x:c>
      <x:c r="T204" s="2">
        <x:v>20</x:v>
      </x:c>
      <x:c r="U204" s="2"/>
      <x:c r="V204" s="2"/>
      <x:c r="W204" s="2"/>
      <x:c r="X204" s="2" t="s">
        <x:v>142</x:v>
      </x:c>
      <x:c r="Y204" s="2" t="s">
        <x:v>113</x:v>
      </x:c>
      <x:c r="Z204" s="2" t="s">
        <x:v>114</x:v>
      </x:c>
    </x:row>
    <x:row r="205" ht="27">
      <x:c r="A205" s="2">
        <x:v>1501</x:v>
      </x:c>
      <x:c r="B205" s="2">
        <x:v>1053591</x:v>
      </x:c>
      <x:c r="C205" s="2">
        <x:v>126387</x:v>
      </x:c>
      <x:c r="D205" s="2">
        <x:v>3740</x:v>
      </x:c>
      <x:c r="E205" s="2" t="s">
        <x:v>27</x:v>
      </x:c>
      <x:c r="F205" s="2" t="s">
        <x:v>258</x:v>
      </x:c>
      <x:c r="G205" s="2" t="s">
        <x:v>134</x:v>
      </x:c>
      <x:c r="H205" s="2" t="s">
        <x:v>135</x:v>
      </x:c>
      <x:c r="I205" s="2"/>
      <x:c r="J205" s="2">
        <x:v>4</x:v>
      </x:c>
      <x:c r="K205" s="2" t="s">
        <x:v>117</x:v>
      </x:c>
      <x:c r="L205" s="2" t="s">
        <x:v>110</x:v>
      </x:c>
      <x:c r="M205" s="2"/>
      <x:c r="N205" s="2">
        <x:v>23.5</x:v>
      </x:c>
      <x:c r="O205" s="2">
        <x:v>17.2</x:v>
      </x:c>
      <x:c r="P205" s="2">
        <x:v>29.6</x:v>
      </x:c>
      <x:c r="Q205" s="2" t="s">
        <x:v>111</x:v>
      </x:c>
      <x:c r="R205" s="2">
        <x:v>23.5</x:v>
      </x:c>
      <x:c r="S205" s="2" t="s">
        <x:v>111</x:v>
      </x:c>
      <x:c r="T205" s="2">
        <x:v>22</x:v>
      </x:c>
      <x:c r="U205" s="2">
        <x:v>28</x:v>
      </x:c>
      <x:c r="V205" s="2"/>
      <x:c r="W205" s="2"/>
      <x:c r="X205" s="2" t="s">
        <x:v>259</x:v>
      </x:c>
      <x:c r="Y205" s="2" t="s">
        <x:v>113</x:v>
      </x:c>
      <x:c r="Z205" s="2" t="s">
        <x:v>114</x:v>
      </x:c>
    </x:row>
    <x:row r="206" ht="27">
      <x:c r="A206" s="2">
        <x:v>1503</x:v>
      </x:c>
      <x:c r="B206" s="2">
        <x:v>1053592</x:v>
      </x:c>
      <x:c r="C206" s="2">
        <x:v>126388</x:v>
      </x:c>
      <x:c r="D206" s="2">
        <x:v>3740</x:v>
      </x:c>
      <x:c r="E206" s="2" t="s">
        <x:v>27</x:v>
      </x:c>
      <x:c r="F206" s="2" t="s">
        <x:v>258</x:v>
      </x:c>
      <x:c r="G206" s="2" t="s">
        <x:v>134</x:v>
      </x:c>
      <x:c r="H206" s="2" t="s">
        <x:v>135</x:v>
      </x:c>
      <x:c r="I206" s="2"/>
      <x:c r="J206" s="2">
        <x:v>4</x:v>
      </x:c>
      <x:c r="K206" s="2" t="s">
        <x:v>117</x:v>
      </x:c>
      <x:c r="L206" s="2" t="s">
        <x:v>110</x:v>
      </x:c>
      <x:c r="M206" s="2"/>
      <x:c r="N206" s="2">
        <x:v>36.4</x:v>
      </x:c>
      <x:c r="O206" s="2">
        <x:v>29.4</x:v>
      </x:c>
      <x:c r="P206" s="2">
        <x:v>45.8</x:v>
      </x:c>
      <x:c r="Q206" s="2" t="s">
        <x:v>111</x:v>
      </x:c>
      <x:c r="R206" s="2">
        <x:v>36.4</x:v>
      </x:c>
      <x:c r="S206" s="2" t="s">
        <x:v>111</x:v>
      </x:c>
      <x:c r="T206" s="2">
        <x:v>22</x:v>
      </x:c>
      <x:c r="U206" s="2">
        <x:v>28</x:v>
      </x:c>
      <x:c r="V206" s="2"/>
      <x:c r="W206" s="2"/>
      <x:c r="X206" s="2" t="s">
        <x:v>259</x:v>
      </x:c>
      <x:c r="Y206" s="2" t="s">
        <x:v>113</x:v>
      </x:c>
      <x:c r="Z206" s="2" t="s">
        <x:v>114</x:v>
      </x:c>
    </x:row>
    <x:row r="207" ht="27">
      <x:c r="A207" s="2">
        <x:v>1506</x:v>
      </x:c>
      <x:c r="B207" s="2">
        <x:v>1326414</x:v>
      </x:c>
      <x:c r="C207" s="2">
        <x:v>785777</x:v>
      </x:c>
      <x:c r="D207" s="2">
        <x:v>107127</x:v>
      </x:c>
      <x:c r="E207" s="2" t="s">
        <x:v>27</x:v>
      </x:c>
      <x:c r="F207" s="2" t="s">
        <x:v>258</x:v>
      </x:c>
      <x:c r="G207" s="2" t="s">
        <x:v>106</x:v>
      </x:c>
      <x:c r="H207" s="2" t="s">
        <x:v>107</x:v>
      </x:c>
      <x:c r="I207" s="2" t="s">
        <x:v>108</x:v>
      </x:c>
      <x:c r="J207" s="2">
        <x:v>4</x:v>
      </x:c>
      <x:c r="K207" s="2" t="s">
        <x:v>126</x:v>
      </x:c>
      <x:c r="L207" s="2" t="s">
        <x:v>110</x:v>
      </x:c>
      <x:c r="M207" s="2"/>
      <x:c r="N207" s="2">
        <x:v>2.4E-2</x:v>
      </x:c>
      <x:c r="O207" s="2">
        <x:v>2.1999999999999999E-2</x:v>
      </x:c>
      <x:c r="P207" s="2">
        <x:v>2.8000000000000001E-2</x:v>
      </x:c>
      <x:c r="Q207" s="2" t="s">
        <x:v>121</x:v>
      </x:c>
      <x:c r="R207" s="2">
        <x:v>2.4E-2</x:v>
      </x:c>
      <x:c r="S207" s="2" t="s">
        <x:v>121</x:v>
      </x:c>
      <x:c r="T207" s="2">
        <x:v>20</x:v>
      </x:c>
      <x:c r="U207" s="2">
        <x:v>32</x:v>
      </x:c>
      <x:c r="V207" s="2"/>
      <x:c r="W207" s="2"/>
      <x:c r="X207" s="2" t="s">
        <x:v>262</x:v>
      </x:c>
      <x:c r="Y207" s="2" t="s">
        <x:v>113</x:v>
      </x:c>
      <x:c r="Z207" s="2" t="s">
        <x:v>114</x:v>
      </x:c>
    </x:row>
    <x:row r="208" ht="54">
      <x:c r="A208" s="2">
        <x:v>1510</x:v>
      </x:c>
      <x:c r="B208" s="2">
        <x:v>1205929</x:v>
      </x:c>
      <x:c r="C208" s="2">
        <x:v>171320</x:v>
      </x:c>
      <x:c r="D208" s="2">
        <x:v>18833</x:v>
      </x:c>
      <x:c r="E208" s="2" t="s">
        <x:v>27</x:v>
      </x:c>
      <x:c r="F208" s="2" t="s">
        <x:v>258</x:v>
      </x:c>
      <x:c r="G208" s="2" t="s">
        <x:v>226</x:v>
      </x:c>
      <x:c r="H208" s="2" t="s">
        <x:v>107</x:v>
      </x:c>
      <x:c r="I208" s="2" t="s">
        <x:v>108</x:v>
      </x:c>
      <x:c r="J208" s="2">
        <x:v>4</x:v>
      </x:c>
      <x:c r="K208" s="2" t="s">
        <x:v>126</x:v>
      </x:c>
      <x:c r="L208" s="2" t="s">
        <x:v>110</x:v>
      </x:c>
      <x:c r="M208" s="2"/>
      <x:c r="N208" s="2">
        <x:v>159</x:v>
      </x:c>
      <x:c r="O208" s="2"/>
      <x:c r="P208" s="2"/>
      <x:c r="Q208" s="2" t="s">
        <x:v>111</x:v>
      </x:c>
      <x:c r="R208" s="2">
        <x:v>159</x:v>
      </x:c>
      <x:c r="S208" s="2" t="s">
        <x:v>111</x:v>
      </x:c>
      <x:c r="T208" s="2">
        <x:v>20</x:v>
      </x:c>
      <x:c r="U208" s="2">
        <x:v>37</x:v>
      </x:c>
      <x:c r="V208" s="2"/>
      <x:c r="W208" s="2"/>
      <x:c r="X208" s="2" t="s">
        <x:v>251</x:v>
      </x:c>
      <x:c r="Y208" s="2" t="s">
        <x:v>113</x:v>
      </x:c>
      <x:c r="Z208" s="2" t="s">
        <x:v>114</x:v>
      </x:c>
    </x:row>
    <x:row r="209" ht="27">
      <x:c r="A209" s="2">
        <x:v>1511</x:v>
      </x:c>
      <x:c r="B209" s="2">
        <x:v>1053590</x:v>
      </x:c>
      <x:c r="C209" s="2">
        <x:v>126386</x:v>
      </x:c>
      <x:c r="D209" s="2">
        <x:v>3740</x:v>
      </x:c>
      <x:c r="E209" s="2" t="s">
        <x:v>27</x:v>
      </x:c>
      <x:c r="F209" s="2" t="s">
        <x:v>258</x:v>
      </x:c>
      <x:c r="G209" s="2" t="s">
        <x:v>134</x:v>
      </x:c>
      <x:c r="H209" s="2" t="s">
        <x:v>135</x:v>
      </x:c>
      <x:c r="I209" s="2"/>
      <x:c r="J209" s="2">
        <x:v>4</x:v>
      </x:c>
      <x:c r="K209" s="2" t="s">
        <x:v>117</x:v>
      </x:c>
      <x:c r="L209" s="2" t="s">
        <x:v>110</x:v>
      </x:c>
      <x:c r="M209" s="2"/>
      <x:c r="N209" s="2">
        <x:v>35.799999999999997</x:v>
      </x:c>
      <x:c r="O209" s="2">
        <x:v>30.5</x:v>
      </x:c>
      <x:c r="P209" s="2">
        <x:v>41.6</x:v>
      </x:c>
      <x:c r="Q209" s="2" t="s">
        <x:v>111</x:v>
      </x:c>
      <x:c r="R209" s="2">
        <x:v>35.799999999999997</x:v>
      </x:c>
      <x:c r="S209" s="2" t="s">
        <x:v>111</x:v>
      </x:c>
      <x:c r="T209" s="2">
        <x:v>22</x:v>
      </x:c>
      <x:c r="U209" s="2">
        <x:v>28</x:v>
      </x:c>
      <x:c r="V209" s="2"/>
      <x:c r="W209" s="2"/>
      <x:c r="X209" s="2" t="s">
        <x:v>259</x:v>
      </x:c>
      <x:c r="Y209" s="2" t="s">
        <x:v>113</x:v>
      </x:c>
      <x:c r="Z209" s="2" t="s">
        <x:v>114</x:v>
      </x:c>
    </x:row>
    <x:row r="210" ht="27">
      <x:c r="A210" s="2">
        <x:v>1512</x:v>
      </x:c>
      <x:c r="B210" s="2">
        <x:v>1053589</x:v>
      </x:c>
      <x:c r="C210" s="2">
        <x:v>126385</x:v>
      </x:c>
      <x:c r="D210" s="2">
        <x:v>3740</x:v>
      </x:c>
      <x:c r="E210" s="2" t="s">
        <x:v>27</x:v>
      </x:c>
      <x:c r="F210" s="2" t="s">
        <x:v>258</x:v>
      </x:c>
      <x:c r="G210" s="2" t="s">
        <x:v>134</x:v>
      </x:c>
      <x:c r="H210" s="2" t="s">
        <x:v>135</x:v>
      </x:c>
      <x:c r="I210" s="2"/>
      <x:c r="J210" s="2">
        <x:v>4</x:v>
      </x:c>
      <x:c r="K210" s="2" t="s">
        <x:v>117</x:v>
      </x:c>
      <x:c r="L210" s="2" t="s">
        <x:v>110</x:v>
      </x:c>
      <x:c r="M210" s="2"/>
      <x:c r="N210" s="2">
        <x:v>66</x:v>
      </x:c>
      <x:c r="O210" s="2">
        <x:v>59</x:v>
      </x:c>
      <x:c r="P210" s="2">
        <x:v>74</x:v>
      </x:c>
      <x:c r="Q210" s="2" t="s">
        <x:v>111</x:v>
      </x:c>
      <x:c r="R210" s="2">
        <x:v>66</x:v>
      </x:c>
      <x:c r="S210" s="2" t="s">
        <x:v>111</x:v>
      </x:c>
      <x:c r="T210" s="2">
        <x:v>22</x:v>
      </x:c>
      <x:c r="U210" s="2">
        <x:v>28</x:v>
      </x:c>
      <x:c r="V210" s="2"/>
      <x:c r="W210" s="2"/>
      <x:c r="X210" s="2" t="s">
        <x:v>259</x:v>
      </x:c>
      <x:c r="Y210" s="2" t="s">
        <x:v>113</x:v>
      </x:c>
      <x:c r="Z210" s="2" t="s">
        <x:v>114</x:v>
      </x:c>
    </x:row>
    <x:row r="211" ht="27">
      <x:c r="A211" s="2">
        <x:v>1513</x:v>
      </x:c>
      <x:c r="B211" s="2">
        <x:v>1054976</x:v>
      </x:c>
      <x:c r="C211" s="2">
        <x:v>220863</x:v>
      </x:c>
      <x:c r="D211" s="2">
        <x:v>3825</x:v>
      </x:c>
      <x:c r="E211" s="2" t="s">
        <x:v>27</x:v>
      </x:c>
      <x:c r="F211" s="2" t="s">
        <x:v>258</x:v>
      </x:c>
      <x:c r="G211" s="2" t="s">
        <x:v>134</x:v>
      </x:c>
      <x:c r="H211" s="2" t="s">
        <x:v>135</x:v>
      </x:c>
      <x:c r="I211" s="2" t="s">
        <x:v>108</x:v>
      </x:c>
      <x:c r="J211" s="2">
        <x:v>4</x:v>
      </x:c>
      <x:c r="K211" s="2" t="s">
        <x:v>117</x:v>
      </x:c>
      <x:c r="L211" s="2" t="s">
        <x:v>110</x:v>
      </x:c>
      <x:c r="M211" s="2"/>
      <x:c r="N211" s="2">
        <x:v>36.299999999999997</x:v>
      </x:c>
      <x:c r="O211" s="2">
        <x:v>21.8</x:v>
      </x:c>
      <x:c r="P211" s="2">
        <x:v>102</x:v>
      </x:c>
      <x:c r="Q211" s="2" t="s">
        <x:v>195</x:v>
      </x:c>
      <x:c r="R211" s="2">
        <x:v>36.299999999999997</x:v>
      </x:c>
      <x:c r="S211" s="2" t="s">
        <x:v>195</x:v>
      </x:c>
      <x:c r="T211" s="2">
        <x:v>20</x:v>
      </x:c>
      <x:c r="U211" s="2">
        <x:v>30</x:v>
      </x:c>
      <x:c r="V211" s="2"/>
      <x:c r="W211" s="2"/>
      <x:c r="X211" s="2" t="s">
        <x:v>142</x:v>
      </x:c>
      <x:c r="Y211" s="2" t="s">
        <x:v>113</x:v>
      </x:c>
      <x:c r="Z211" s="2" t="s">
        <x:v>114</x:v>
      </x:c>
    </x:row>
    <x:row r="212" ht="40.5">
      <x:c r="A212" s="2">
        <x:v>1523</x:v>
      </x:c>
      <x:c r="B212" s="2">
        <x:v>2114337</x:v>
      </x:c>
      <x:c r="C212" s="2">
        <x:v>2208951</x:v>
      </x:c>
      <x:c r="D212" s="2">
        <x:v>52250</x:v>
      </x:c>
      <x:c r="E212" s="2" t="s">
        <x:v>163</x:v>
      </x:c>
      <x:c r="F212" s="2" t="s">
        <x:v>263</x:v>
      </x:c>
      <x:c r="G212" s="2" t="s">
        <x:v>116</x:v>
      </x:c>
      <x:c r="H212" s="2" t="s">
        <x:v>107</x:v>
      </x:c>
      <x:c r="I212" s="2" t="s">
        <x:v>264</x:v>
      </x:c>
      <x:c r="J212" s="2">
        <x:v>2</x:v>
      </x:c>
      <x:c r="K212" s="2" t="s">
        <x:v>117</x:v>
      </x:c>
      <x:c r="L212" s="2" t="s">
        <x:v>110</x:v>
      </x:c>
      <x:c r="M212" s="2"/>
      <x:c r="N212" s="2">
        <x:v>9.6</x:v>
      </x:c>
      <x:c r="O212" s="2">
        <x:v>7.0469999999999997</x:v>
      </x:c>
      <x:c r="P212" s="2">
        <x:v>13.497</x:v>
      </x:c>
      <x:c r="Q212" s="2" t="s">
        <x:v>207</x:v>
      </x:c>
      <x:c r="R212" s="2">
        <x:v>9.6</x:v>
      </x:c>
      <x:c r="S212" s="2" t="s">
        <x:v>207</x:v>
      </x:c>
      <x:c r="T212" s="2">
        <x:v>19</x:v>
      </x:c>
      <x:c r="U212" s="2">
        <x:v>38</x:v>
      </x:c>
      <x:c r="V212" s="2"/>
      <x:c r="W212" s="2"/>
      <x:c r="X212" s="2" t="s">
        <x:v>265</x:v>
      </x:c>
      <x:c r="Y212" s="2" t="s">
        <x:v>113</x:v>
      </x:c>
      <x:c r="Z212" s="2" t="s">
        <x:v>114</x:v>
      </x:c>
    </x:row>
    <x:row r="213" ht="40.5">
      <x:c r="A213" s="2">
        <x:v>1525</x:v>
      </x:c>
      <x:c r="B213" s="2">
        <x:v>2114334</x:v>
      </x:c>
      <x:c r="C213" s="2">
        <x:v>2208948</x:v>
      </x:c>
      <x:c r="D213" s="2">
        <x:v>52250</x:v>
      </x:c>
      <x:c r="E213" s="2" t="s">
        <x:v>163</x:v>
      </x:c>
      <x:c r="F213" s="2" t="s">
        <x:v>263</x:v>
      </x:c>
      <x:c r="G213" s="2" t="s">
        <x:v>116</x:v>
      </x:c>
      <x:c r="H213" s="2" t="s">
        <x:v>107</x:v>
      </x:c>
      <x:c r="I213" s="2" t="s">
        <x:v>264</x:v>
      </x:c>
      <x:c r="J213" s="2">
        <x:v>2</x:v>
      </x:c>
      <x:c r="K213" s="2" t="s">
        <x:v>117</x:v>
      </x:c>
      <x:c r="L213" s="2" t="s">
        <x:v>110</x:v>
      </x:c>
      <x:c r="M213" s="2"/>
      <x:c r="N213" s="2">
        <x:v>2.8370000000000002</x:v>
      </x:c>
      <x:c r="O213" s="2">
        <x:v>1.07</x:v>
      </x:c>
      <x:c r="P213" s="2">
        <x:v>4.2240000000000002</x:v>
      </x:c>
      <x:c r="Q213" s="2" t="s">
        <x:v>207</x:v>
      </x:c>
      <x:c r="R213" s="2">
        <x:v>2.8370000000000002</x:v>
      </x:c>
      <x:c r="S213" s="2" t="s">
        <x:v>207</x:v>
      </x:c>
      <x:c r="T213" s="2">
        <x:v>19</x:v>
      </x:c>
      <x:c r="U213" s="2">
        <x:v>38</x:v>
      </x:c>
      <x:c r="V213" s="2"/>
      <x:c r="W213" s="2"/>
      <x:c r="X213" s="2" t="s">
        <x:v>265</x:v>
      </x:c>
      <x:c r="Y213" s="2" t="s">
        <x:v>113</x:v>
      </x:c>
      <x:c r="Z213" s="2" t="s">
        <x:v>114</x:v>
      </x:c>
    </x:row>
    <x:row r="214" ht="27">
      <x:c r="A214" s="2">
        <x:v>1529</x:v>
      </x:c>
      <x:c r="B214" s="2">
        <x:v>1179973</x:v>
      </x:c>
      <x:c r="C214" s="2">
        <x:v>82439</x:v>
      </x:c>
      <x:c r="D214" s="2">
        <x:v>15726</x:v>
      </x:c>
      <x:c r="E214" s="2" t="s">
        <x:v>163</x:v>
      </x:c>
      <x:c r="F214" s="2" t="s">
        <x:v>263</x:v>
      </x:c>
      <x:c r="G214" s="2" t="s">
        <x:v>116</x:v>
      </x:c>
      <x:c r="H214" s="2" t="s">
        <x:v>107</x:v>
      </x:c>
      <x:c r="I214" s="2" t="s">
        <x:v>108</x:v>
      </x:c>
      <x:c r="J214" s="2">
        <x:v>2</x:v>
      </x:c>
      <x:c r="K214" s="2" t="s">
        <x:v>117</x:v>
      </x:c>
      <x:c r="L214" s="2" t="s">
        <x:v>110</x:v>
      </x:c>
      <x:c r="M214" s="2"/>
      <x:c r="N214" s="2">
        <x:v>8140</x:v>
      </x:c>
      <x:c r="O214" s="2"/>
      <x:c r="P214" s="2"/>
      <x:c r="Q214" s="2" t="s">
        <x:v>111</x:v>
      </x:c>
      <x:c r="R214" s="2">
        <x:v>8140</x:v>
      </x:c>
      <x:c r="S214" s="2" t="s">
        <x:v>111</x:v>
      </x:c>
      <x:c r="T214" s="2">
        <x:v>24</x:v>
      </x:c>
      <x:c r="U214" s="2"/>
      <x:c r="V214" s="2"/>
      <x:c r="W214" s="2"/>
      <x:c r="X214" s="2" t="s">
        <x:v>248</x:v>
      </x:c>
      <x:c r="Y214" s="2" t="s">
        <x:v>113</x:v>
      </x:c>
      <x:c r="Z214" s="2" t="s">
        <x:v>114</x:v>
      </x:c>
    </x:row>
    <x:row r="215" ht="40.5">
      <x:c r="A215" s="2">
        <x:v>1533</x:v>
      </x:c>
      <x:c r="B215" s="2">
        <x:v>2114335</x:v>
      </x:c>
      <x:c r="C215" s="2">
        <x:v>2208949</x:v>
      </x:c>
      <x:c r="D215" s="2">
        <x:v>52250</x:v>
      </x:c>
      <x:c r="E215" s="2" t="s">
        <x:v>163</x:v>
      </x:c>
      <x:c r="F215" s="2" t="s">
        <x:v>263</x:v>
      </x:c>
      <x:c r="G215" s="2" t="s">
        <x:v>116</x:v>
      </x:c>
      <x:c r="H215" s="2" t="s">
        <x:v>107</x:v>
      </x:c>
      <x:c r="I215" s="2" t="s">
        <x:v>264</x:v>
      </x:c>
      <x:c r="J215" s="2">
        <x:v>2</x:v>
      </x:c>
      <x:c r="K215" s="2" t="s">
        <x:v>117</x:v>
      </x:c>
      <x:c r="L215" s="2" t="s">
        <x:v>110</x:v>
      </x:c>
      <x:c r="M215" s="2"/>
      <x:c r="N215" s="2">
        <x:v>1.6990000000000001</x:v>
      </x:c>
      <x:c r="O215" s="2">
        <x:v>7.1999999999999995E-2</x:v>
      </x:c>
      <x:c r="P215" s="2">
        <x:v>2.8860000000000001</x:v>
      </x:c>
      <x:c r="Q215" s="2" t="s">
        <x:v>207</x:v>
      </x:c>
      <x:c r="R215" s="2">
        <x:v>1.6990000000000001</x:v>
      </x:c>
      <x:c r="S215" s="2" t="s">
        <x:v>207</x:v>
      </x:c>
      <x:c r="T215" s="2">
        <x:v>19</x:v>
      </x:c>
      <x:c r="U215" s="2">
        <x:v>38</x:v>
      </x:c>
      <x:c r="V215" s="2"/>
      <x:c r="W215" s="2"/>
      <x:c r="X215" s="2" t="s">
        <x:v>265</x:v>
      </x:c>
      <x:c r="Y215" s="2" t="s">
        <x:v>113</x:v>
      </x:c>
      <x:c r="Z215" s="2" t="s">
        <x:v>114</x:v>
      </x:c>
    </x:row>
    <x:row r="216" ht="40.5">
      <x:c r="A216" s="2">
        <x:v>1534</x:v>
      </x:c>
      <x:c r="B216" s="2">
        <x:v>2114336</x:v>
      </x:c>
      <x:c r="C216" s="2">
        <x:v>2208950</x:v>
      </x:c>
      <x:c r="D216" s="2">
        <x:v>52250</x:v>
      </x:c>
      <x:c r="E216" s="2" t="s">
        <x:v>163</x:v>
      </x:c>
      <x:c r="F216" s="2" t="s">
        <x:v>263</x:v>
      </x:c>
      <x:c r="G216" s="2" t="s">
        <x:v>116</x:v>
      </x:c>
      <x:c r="H216" s="2" t="s">
        <x:v>107</x:v>
      </x:c>
      <x:c r="I216" s="2" t="s">
        <x:v>264</x:v>
      </x:c>
      <x:c r="J216" s="2">
        <x:v>2</x:v>
      </x:c>
      <x:c r="K216" s="2" t="s">
        <x:v>117</x:v>
      </x:c>
      <x:c r="L216" s="2" t="s">
        <x:v>110</x:v>
      </x:c>
      <x:c r="M216" s="2"/>
      <x:c r="N216" s="2">
        <x:v>7.327</x:v>
      </x:c>
      <x:c r="O216" s="2">
        <x:v>3.01</x:v>
      </x:c>
      <x:c r="P216" s="2">
        <x:v>12.49</x:v>
      </x:c>
      <x:c r="Q216" s="2" t="s">
        <x:v>207</x:v>
      </x:c>
      <x:c r="R216" s="2">
        <x:v>7.327</x:v>
      </x:c>
      <x:c r="S216" s="2" t="s">
        <x:v>207</x:v>
      </x:c>
      <x:c r="T216" s="2">
        <x:v>19</x:v>
      </x:c>
      <x:c r="U216" s="2">
        <x:v>38</x:v>
      </x:c>
      <x:c r="V216" s="2"/>
      <x:c r="W216" s="2"/>
      <x:c r="X216" s="2" t="s">
        <x:v>265</x:v>
      </x:c>
      <x:c r="Y216" s="2" t="s">
        <x:v>113</x:v>
      </x:c>
      <x:c r="Z216" s="2" t="s">
        <x:v>114</x:v>
      </x:c>
    </x:row>
    <x:row r="217" ht="27">
      <x:c r="A217" s="2">
        <x:v>1539</x:v>
      </x:c>
      <x:c r="B217" s="2">
        <x:v>1140048</x:v>
      </x:c>
      <x:c r="C217" s="2">
        <x:v>94094</x:v>
      </x:c>
      <x:c r="D217" s="2">
        <x:v>11673</x:v>
      </x:c>
      <x:c r="E217" s="2" t="s">
        <x:v>163</x:v>
      </x:c>
      <x:c r="F217" s="2" t="s">
        <x:v>263</x:v>
      </x:c>
      <x:c r="G217" s="2" t="s">
        <x:v>141</x:v>
      </x:c>
      <x:c r="H217" s="2" t="s">
        <x:v>135</x:v>
      </x:c>
      <x:c r="I217" s="2" t="s">
        <x:v>108</x:v>
      </x:c>
      <x:c r="J217" s="2">
        <x:v>2</x:v>
      </x:c>
      <x:c r="K217" s="2" t="s">
        <x:v>126</x:v>
      </x:c>
      <x:c r="L217" s="2" t="s">
        <x:v>110</x:v>
      </x:c>
      <x:c r="M217" s="2"/>
      <x:c r="N217" s="2">
        <x:v>12260</x:v>
      </x:c>
      <x:c r="O217" s="2"/>
      <x:c r="P217" s="2"/>
      <x:c r="Q217" s="2" t="s">
        <x:v>111</x:v>
      </x:c>
      <x:c r="R217" s="2">
        <x:v>12260</x:v>
      </x:c>
      <x:c r="S217" s="2" t="s">
        <x:v>111</x:v>
      </x:c>
      <x:c r="T217" s="2">
        <x:v>14</x:v>
      </x:c>
      <x:c r="U217" s="2"/>
      <x:c r="V217" s="2"/>
      <x:c r="W217" s="2"/>
      <x:c r="X217" s="2" t="s">
        <x:v>266</x:v>
      </x:c>
      <x:c r="Y217" s="2" t="s">
        <x:v>113</x:v>
      </x:c>
      <x:c r="Z217" s="2" t="s">
        <x:v>114</x:v>
      </x:c>
    </x:row>
    <x:row r="218" ht="27">
      <x:c r="A218" s="2">
        <x:v>1541</x:v>
      </x:c>
      <x:c r="B218" s="2">
        <x:v>1140047</x:v>
      </x:c>
      <x:c r="C218" s="2">
        <x:v>94093</x:v>
      </x:c>
      <x:c r="D218" s="2">
        <x:v>11673</x:v>
      </x:c>
      <x:c r="E218" s="2" t="s">
        <x:v>163</x:v>
      </x:c>
      <x:c r="F218" s="2" t="s">
        <x:v>263</x:v>
      </x:c>
      <x:c r="G218" s="2" t="s">
        <x:v>141</x:v>
      </x:c>
      <x:c r="H218" s="2" t="s">
        <x:v>135</x:v>
      </x:c>
      <x:c r="I218" s="2" t="s">
        <x:v>108</x:v>
      </x:c>
      <x:c r="J218" s="2">
        <x:v>2</x:v>
      </x:c>
      <x:c r="K218" s="2" t="s">
        <x:v>126</x:v>
      </x:c>
      <x:c r="L218" s="2" t="s">
        <x:v>110</x:v>
      </x:c>
      <x:c r="M218" s="2"/>
      <x:c r="N218" s="2">
        <x:v>16370</x:v>
      </x:c>
      <x:c r="O218" s="2"/>
      <x:c r="P218" s="2"/>
      <x:c r="Q218" s="2" t="s">
        <x:v>111</x:v>
      </x:c>
      <x:c r="R218" s="2">
        <x:v>16370</x:v>
      </x:c>
      <x:c r="S218" s="2" t="s">
        <x:v>111</x:v>
      </x:c>
      <x:c r="T218" s="2">
        <x:v>14</x:v>
      </x:c>
      <x:c r="U218" s="2"/>
      <x:c r="V218" s="2"/>
      <x:c r="W218" s="2"/>
      <x:c r="X218" s="2" t="s">
        <x:v>266</x:v>
      </x:c>
      <x:c r="Y218" s="2" t="s">
        <x:v>113</x:v>
      </x:c>
      <x:c r="Z218" s="2" t="s">
        <x:v>114</x:v>
      </x:c>
    </x:row>
    <x:row r="219" ht="27">
      <x:c r="A219" s="2">
        <x:v>1544</x:v>
      </x:c>
      <x:c r="B219" s="2">
        <x:v>1140045</x:v>
      </x:c>
      <x:c r="C219" s="2">
        <x:v>94091</x:v>
      </x:c>
      <x:c r="D219" s="2">
        <x:v>11673</x:v>
      </x:c>
      <x:c r="E219" s="2" t="s">
        <x:v>163</x:v>
      </x:c>
      <x:c r="F219" s="2" t="s">
        <x:v>263</x:v>
      </x:c>
      <x:c r="G219" s="2" t="s">
        <x:v>141</x:v>
      </x:c>
      <x:c r="H219" s="2" t="s">
        <x:v>135</x:v>
      </x:c>
      <x:c r="I219" s="2" t="s">
        <x:v>108</x:v>
      </x:c>
      <x:c r="J219" s="2">
        <x:v>2</x:v>
      </x:c>
      <x:c r="K219" s="2" t="s">
        <x:v>126</x:v>
      </x:c>
      <x:c r="L219" s="2" t="s">
        <x:v>110</x:v>
      </x:c>
      <x:c r="M219" s="2"/>
      <x:c r="N219" s="2">
        <x:v>11470</x:v>
      </x:c>
      <x:c r="O219" s="2"/>
      <x:c r="P219" s="2"/>
      <x:c r="Q219" s="2" t="s">
        <x:v>111</x:v>
      </x:c>
      <x:c r="R219" s="2">
        <x:v>11470</x:v>
      </x:c>
      <x:c r="S219" s="2" t="s">
        <x:v>111</x:v>
      </x:c>
      <x:c r="T219" s="2">
        <x:v>18</x:v>
      </x:c>
      <x:c r="U219" s="2"/>
      <x:c r="V219" s="2"/>
      <x:c r="W219" s="2"/>
      <x:c r="X219" s="2" t="s">
        <x:v>266</x:v>
      </x:c>
      <x:c r="Y219" s="2" t="s">
        <x:v>113</x:v>
      </x:c>
      <x:c r="Z219" s="2" t="s">
        <x:v>114</x:v>
      </x:c>
    </x:row>
    <x:row r="220" ht="27">
      <x:c r="A220" s="2">
        <x:v>1546</x:v>
      </x:c>
      <x:c r="B220" s="2">
        <x:v>1140046</x:v>
      </x:c>
      <x:c r="C220" s="2">
        <x:v>94092</x:v>
      </x:c>
      <x:c r="D220" s="2">
        <x:v>11673</x:v>
      </x:c>
      <x:c r="E220" s="2" t="s">
        <x:v>163</x:v>
      </x:c>
      <x:c r="F220" s="2" t="s">
        <x:v>263</x:v>
      </x:c>
      <x:c r="G220" s="2" t="s">
        <x:v>141</x:v>
      </x:c>
      <x:c r="H220" s="2" t="s">
        <x:v>135</x:v>
      </x:c>
      <x:c r="I220" s="2" t="s">
        <x:v>108</x:v>
      </x:c>
      <x:c r="J220" s="2">
        <x:v>2</x:v>
      </x:c>
      <x:c r="K220" s="2" t="s">
        <x:v>126</x:v>
      </x:c>
      <x:c r="L220" s="2" t="s">
        <x:v>110</x:v>
      </x:c>
      <x:c r="M220" s="2"/>
      <x:c r="N220" s="2">
        <x:v>8830</x:v>
      </x:c>
      <x:c r="O220" s="2"/>
      <x:c r="P220" s="2"/>
      <x:c r="Q220" s="2" t="s">
        <x:v>111</x:v>
      </x:c>
      <x:c r="R220" s="2">
        <x:v>8830</x:v>
      </x:c>
      <x:c r="S220" s="2" t="s">
        <x:v>111</x:v>
      </x:c>
      <x:c r="T220" s="2">
        <x:v>22</x:v>
      </x:c>
      <x:c r="U220" s="2"/>
      <x:c r="V220" s="2"/>
      <x:c r="W220" s="2"/>
      <x:c r="X220" s="2" t="s">
        <x:v>266</x:v>
      </x:c>
      <x:c r="Y220" s="2" t="s">
        <x:v>113</x:v>
      </x:c>
      <x:c r="Z220" s="2" t="s">
        <x:v>114</x:v>
      </x:c>
    </x:row>
    <x:row r="221" ht="27">
      <x:c r="A221" s="2">
        <x:v>1547</x:v>
      </x:c>
      <x:c r="B221" s="2">
        <x:v>1140044</x:v>
      </x:c>
      <x:c r="C221" s="2">
        <x:v>94090</x:v>
      </x:c>
      <x:c r="D221" s="2">
        <x:v>11673</x:v>
      </x:c>
      <x:c r="E221" s="2" t="s">
        <x:v>163</x:v>
      </x:c>
      <x:c r="F221" s="2" t="s">
        <x:v>263</x:v>
      </x:c>
      <x:c r="G221" s="2" t="s">
        <x:v>141</x:v>
      </x:c>
      <x:c r="H221" s="2" t="s">
        <x:v>135</x:v>
      </x:c>
      <x:c r="I221" s="2" t="s">
        <x:v>108</x:v>
      </x:c>
      <x:c r="J221" s="2">
        <x:v>2</x:v>
      </x:c>
      <x:c r="K221" s="2" t="s">
        <x:v>126</x:v>
      </x:c>
      <x:c r="L221" s="2" t="s">
        <x:v>110</x:v>
      </x:c>
      <x:c r="M221" s="2"/>
      <x:c r="N221" s="2">
        <x:v>16990</x:v>
      </x:c>
      <x:c r="O221" s="2"/>
      <x:c r="P221" s="2"/>
      <x:c r="Q221" s="2" t="s">
        <x:v>111</x:v>
      </x:c>
      <x:c r="R221" s="2">
        <x:v>16990</x:v>
      </x:c>
      <x:c r="S221" s="2" t="s">
        <x:v>111</x:v>
      </x:c>
      <x:c r="T221" s="2">
        <x:v>14</x:v>
      </x:c>
      <x:c r="U221" s="2"/>
      <x:c r="V221" s="2"/>
      <x:c r="W221" s="2"/>
      <x:c r="X221" s="2" t="s">
        <x:v>266</x:v>
      </x:c>
      <x:c r="Y221" s="2" t="s">
        <x:v>113</x:v>
      </x:c>
      <x:c r="Z221" s="2" t="s">
        <x:v>114</x:v>
      </x:c>
    </x:row>
    <x:row r="222" ht="40.5">
      <x:c r="A222" s="2">
        <x:v>1687</x:v>
      </x:c>
      <x:c r="B222" s="2">
        <x:v>1201121</x:v>
      </x:c>
      <x:c r="C222" s="2">
        <x:v>160584</x:v>
      </x:c>
      <x:c r="D222" s="2">
        <x:v>18307</x:v>
      </x:c>
      <x:c r="E222" s="2" t="s">
        <x:v>163</x:v>
      </x:c>
      <x:c r="F222" s="2" t="s">
        <x:v>267</x:v>
      </x:c>
      <x:c r="G222" s="2" t="s">
        <x:v>129</x:v>
      </x:c>
      <x:c r="H222" s="2" t="s">
        <x:v>107</x:v>
      </x:c>
      <x:c r="I222" s="2" t="s">
        <x:v>167</x:v>
      </x:c>
      <x:c r="J222" s="2">
        <x:v>4</x:v>
      </x:c>
      <x:c r="K222" s="2" t="s">
        <x:v>109</x:v>
      </x:c>
      <x:c r="L222" s="2" t="s">
        <x:v>110</x:v>
      </x:c>
      <x:c r="M222" s="2"/>
      <x:c r="N222" s="2">
        <x:v>22000</x:v>
      </x:c>
      <x:c r="O222" s="2"/>
      <x:c r="P222" s="2"/>
      <x:c r="Q222" s="2" t="s">
        <x:v>111</x:v>
      </x:c>
      <x:c r="R222" s="2">
        <x:v>22000</x:v>
      </x:c>
      <x:c r="S222" s="2" t="s">
        <x:v>111</x:v>
      </x:c>
      <x:c r="T222" s="2">
        <x:v>20</x:v>
      </x:c>
      <x:c r="U222" s="2">
        <x:v>9</x:v>
      </x:c>
      <x:c r="V222" s="2"/>
      <x:c r="W222" s="2"/>
      <x:c r="X222" s="2" t="s">
        <x:v>272</x:v>
      </x:c>
      <x:c r="Y222" s="2" t="s">
        <x:v>113</x:v>
      </x:c>
      <x:c r="Z222" s="2" t="s">
        <x:v>114</x:v>
      </x:c>
    </x:row>
    <x:row r="223" ht="40.5">
      <x:c r="A223" s="2">
        <x:v>1691</x:v>
      </x:c>
      <x:c r="B223" s="2">
        <x:v>1201116</x:v>
      </x:c>
      <x:c r="C223" s="2">
        <x:v>160579</x:v>
      </x:c>
      <x:c r="D223" s="2">
        <x:v>18307</x:v>
      </x:c>
      <x:c r="E223" s="2" t="s">
        <x:v>163</x:v>
      </x:c>
      <x:c r="F223" s="2" t="s">
        <x:v>267</x:v>
      </x:c>
      <x:c r="G223" s="2" t="s">
        <x:v>129</x:v>
      </x:c>
      <x:c r="H223" s="2" t="s">
        <x:v>107</x:v>
      </x:c>
      <x:c r="I223" s="2" t="s">
        <x:v>167</x:v>
      </x:c>
      <x:c r="J223" s="2">
        <x:v>4</x:v>
      </x:c>
      <x:c r="K223" s="2" t="s">
        <x:v>109</x:v>
      </x:c>
      <x:c r="L223" s="2" t="s">
        <x:v>110</x:v>
      </x:c>
      <x:c r="M223" s="2"/>
      <x:c r="N223" s="2">
        <x:v>50000</x:v>
      </x:c>
      <x:c r="O223" s="2">
        <x:v>38000</x:v>
      </x:c>
      <x:c r="P223" s="2">
        <x:v>77000</x:v>
      </x:c>
      <x:c r="Q223" s="2" t="s">
        <x:v>111</x:v>
      </x:c>
      <x:c r="R223" s="2">
        <x:v>50000</x:v>
      </x:c>
      <x:c r="S223" s="2" t="s">
        <x:v>111</x:v>
      </x:c>
      <x:c r="T223" s="2">
        <x:v>20</x:v>
      </x:c>
      <x:c r="U223" s="2">
        <x:v>27</x:v>
      </x:c>
      <x:c r="V223" s="2"/>
      <x:c r="W223" s="2"/>
      <x:c r="X223" s="2" t="s">
        <x:v>272</x:v>
      </x:c>
      <x:c r="Y223" s="2" t="s">
        <x:v>113</x:v>
      </x:c>
      <x:c r="Z223" s="2" t="s">
        <x:v>114</x:v>
      </x:c>
    </x:row>
    <x:row r="224" ht="40.5">
      <x:c r="A224" s="2">
        <x:v>1692</x:v>
      </x:c>
      <x:c r="B224" s="2">
        <x:v>1201130</x:v>
      </x:c>
      <x:c r="C224" s="2">
        <x:v>160593</x:v>
      </x:c>
      <x:c r="D224" s="2">
        <x:v>18307</x:v>
      </x:c>
      <x:c r="E224" s="2" t="s">
        <x:v>163</x:v>
      </x:c>
      <x:c r="F224" s="2" t="s">
        <x:v>267</x:v>
      </x:c>
      <x:c r="G224" s="2" t="s">
        <x:v>129</x:v>
      </x:c>
      <x:c r="H224" s="2" t="s">
        <x:v>107</x:v>
      </x:c>
      <x:c r="I224" s="2" t="s">
        <x:v>167</x:v>
      </x:c>
      <x:c r="J224" s="2">
        <x:v>4</x:v>
      </x:c>
      <x:c r="K224" s="2" t="s">
        <x:v>109</x:v>
      </x:c>
      <x:c r="L224" s="2" t="s">
        <x:v>110</x:v>
      </x:c>
      <x:c r="M224" s="2"/>
      <x:c r="N224" s="2">
        <x:v>34000</x:v>
      </x:c>
      <x:c r="O224" s="2"/>
      <x:c r="P224" s="2"/>
      <x:c r="Q224" s="2" t="s">
        <x:v>111</x:v>
      </x:c>
      <x:c r="R224" s="2">
        <x:v>34000</x:v>
      </x:c>
      <x:c r="S224" s="2" t="s">
        <x:v>111</x:v>
      </x:c>
      <x:c r="T224" s="2">
        <x:v>20</x:v>
      </x:c>
      <x:c r="U224" s="2">
        <x:v>16</x:v>
      </x:c>
      <x:c r="V224" s="2"/>
      <x:c r="W224" s="2"/>
      <x:c r="X224" s="2" t="s">
        <x:v>272</x:v>
      </x:c>
      <x:c r="Y224" s="2" t="s">
        <x:v>113</x:v>
      </x:c>
      <x:c r="Z224" s="2" t="s">
        <x:v>114</x:v>
      </x:c>
    </x:row>
    <x:row r="225" ht="40.5">
      <x:c r="A225" s="2">
        <x:v>1696</x:v>
      </x:c>
      <x:c r="B225" s="2">
        <x:v>1201119</x:v>
      </x:c>
      <x:c r="C225" s="2">
        <x:v>160582</x:v>
      </x:c>
      <x:c r="D225" s="2">
        <x:v>18307</x:v>
      </x:c>
      <x:c r="E225" s="2" t="s">
        <x:v>163</x:v>
      </x:c>
      <x:c r="F225" s="2" t="s">
        <x:v>267</x:v>
      </x:c>
      <x:c r="G225" s="2" t="s">
        <x:v>129</x:v>
      </x:c>
      <x:c r="H225" s="2" t="s">
        <x:v>107</x:v>
      </x:c>
      <x:c r="I225" s="2" t="s">
        <x:v>167</x:v>
      </x:c>
      <x:c r="J225" s="2">
        <x:v>4</x:v>
      </x:c>
      <x:c r="K225" s="2" t="s">
        <x:v>109</x:v>
      </x:c>
      <x:c r="L225" s="2" t="s">
        <x:v>110</x:v>
      </x:c>
      <x:c r="M225" s="2"/>
      <x:c r="N225" s="2">
        <x:v>22700</x:v>
      </x:c>
      <x:c r="O225" s="2"/>
      <x:c r="P225" s="2"/>
      <x:c r="Q225" s="2" t="s">
        <x:v>111</x:v>
      </x:c>
      <x:c r="R225" s="2">
        <x:v>22700</x:v>
      </x:c>
      <x:c r="S225" s="2" t="s">
        <x:v>111</x:v>
      </x:c>
      <x:c r="T225" s="2">
        <x:v>20</x:v>
      </x:c>
      <x:c r="U225" s="2">
        <x:v>9</x:v>
      </x:c>
      <x:c r="V225" s="2"/>
      <x:c r="W225" s="2"/>
      <x:c r="X225" s="2" t="s">
        <x:v>272</x:v>
      </x:c>
      <x:c r="Y225" s="2" t="s">
        <x:v>113</x:v>
      </x:c>
      <x:c r="Z225" s="2" t="s">
        <x:v>114</x:v>
      </x:c>
    </x:row>
    <x:row r="226" ht="40.5">
      <x:c r="A226" s="2">
        <x:v>1699</x:v>
      </x:c>
      <x:c r="B226" s="2">
        <x:v>1201120</x:v>
      </x:c>
      <x:c r="C226" s="2">
        <x:v>160583</x:v>
      </x:c>
      <x:c r="D226" s="2">
        <x:v>18307</x:v>
      </x:c>
      <x:c r="E226" s="2" t="s">
        <x:v>163</x:v>
      </x:c>
      <x:c r="F226" s="2" t="s">
        <x:v>267</x:v>
      </x:c>
      <x:c r="G226" s="2" t="s">
        <x:v>129</x:v>
      </x:c>
      <x:c r="H226" s="2" t="s">
        <x:v>107</x:v>
      </x:c>
      <x:c r="I226" s="2" t="s">
        <x:v>167</x:v>
      </x:c>
      <x:c r="J226" s="2">
        <x:v>4</x:v>
      </x:c>
      <x:c r="K226" s="2" t="s">
        <x:v>109</x:v>
      </x:c>
      <x:c r="L226" s="2" t="s">
        <x:v>110</x:v>
      </x:c>
      <x:c r="M226" s="2"/>
      <x:c r="N226" s="2">
        <x:v>15500</x:v>
      </x:c>
      <x:c r="O226" s="2"/>
      <x:c r="P226" s="2"/>
      <x:c r="Q226" s="2" t="s">
        <x:v>111</x:v>
      </x:c>
      <x:c r="R226" s="2">
        <x:v>15500</x:v>
      </x:c>
      <x:c r="S226" s="2" t="s">
        <x:v>111</x:v>
      </x:c>
      <x:c r="T226" s="2">
        <x:v>20</x:v>
      </x:c>
      <x:c r="U226" s="2">
        <x:v>9</x:v>
      </x:c>
      <x:c r="V226" s="2"/>
      <x:c r="W226" s="2"/>
      <x:c r="X226" s="2" t="s">
        <x:v>272</x:v>
      </x:c>
      <x:c r="Y226" s="2" t="s">
        <x:v>113</x:v>
      </x:c>
      <x:c r="Z226" s="2" t="s">
        <x:v>114</x:v>
      </x:c>
    </x:row>
    <x:row r="227" ht="40.5">
      <x:c r="A227" s="2">
        <x:v>1702</x:v>
      </x:c>
      <x:c r="B227" s="2">
        <x:v>1201107</x:v>
      </x:c>
      <x:c r="C227" s="2">
        <x:v>160570</x:v>
      </x:c>
      <x:c r="D227" s="2">
        <x:v>18307</x:v>
      </x:c>
      <x:c r="E227" s="2" t="s">
        <x:v>163</x:v>
      </x:c>
      <x:c r="F227" s="2" t="s">
        <x:v>267</x:v>
      </x:c>
      <x:c r="G227" s="2" t="s">
        <x:v>129</x:v>
      </x:c>
      <x:c r="H227" s="2" t="s">
        <x:v>107</x:v>
      </x:c>
      <x:c r="I227" s="2" t="s">
        <x:v>167</x:v>
      </x:c>
      <x:c r="J227" s="2">
        <x:v>3</x:v>
      </x:c>
      <x:c r="K227" s="2" t="s">
        <x:v>109</x:v>
      </x:c>
      <x:c r="L227" s="2" t="s">
        <x:v>110</x:v>
      </x:c>
      <x:c r="M227" s="2"/>
      <x:c r="N227" s="2">
        <x:v>16000</x:v>
      </x:c>
      <x:c r="O227" s="2">
        <x:v>12000</x:v>
      </x:c>
      <x:c r="P227" s="2">
        <x:v>21000</x:v>
      </x:c>
      <x:c r="Q227" s="2" t="s">
        <x:v>111</x:v>
      </x:c>
      <x:c r="R227" s="2">
        <x:v>16000</x:v>
      </x:c>
      <x:c r="S227" s="2" t="s">
        <x:v>111</x:v>
      </x:c>
      <x:c r="T227" s="2">
        <x:v>20</x:v>
      </x:c>
      <x:c r="U227" s="2">
        <x:v>6.8</x:v>
      </x:c>
      <x:c r="V227" s="2"/>
      <x:c r="W227" s="2"/>
      <x:c r="X227" s="2" t="s">
        <x:v>272</x:v>
      </x:c>
      <x:c r="Y227" s="2" t="s">
        <x:v>113</x:v>
      </x:c>
      <x:c r="Z227" s="2" t="s">
        <x:v>114</x:v>
      </x:c>
    </x:row>
    <x:row r="228" ht="27">
      <x:c r="A228" s="2">
        <x:v>1705</x:v>
      </x:c>
      <x:c r="B228" s="2">
        <x:v>2314542</x:v>
      </x:c>
      <x:c r="C228" s="2">
        <x:v>2781646</x:v>
      </x:c>
      <x:c r="D228" s="2">
        <x:v>52818</x:v>
      </x:c>
      <x:c r="E228" s="2" t="s">
        <x:v>163</x:v>
      </x:c>
      <x:c r="F228" s="2" t="s">
        <x:v>267</x:v>
      </x:c>
      <x:c r="G228" s="2" t="s">
        <x:v>134</x:v>
      </x:c>
      <x:c r="H228" s="2" t="s">
        <x:v>135</x:v>
      </x:c>
      <x:c r="I228" s="2" t="s">
        <x:v>108</x:v>
      </x:c>
      <x:c r="J228" s="2">
        <x:v>1</x:v>
      </x:c>
      <x:c r="K228" s="2" t="s">
        <x:v>117</x:v>
      </x:c>
      <x:c r="L228" s="2" t="s">
        <x:v>110</x:v>
      </x:c>
      <x:c r="M228" s="2"/>
      <x:c r="N228" s="2">
        <x:v>47</x:v>
      </x:c>
      <x:c r="O228" s="2">
        <x:v>38</x:v>
      </x:c>
      <x:c r="P228" s="2">
        <x:v>63</x:v>
      </x:c>
      <x:c r="Q228" s="2" t="s">
        <x:v>121</x:v>
      </x:c>
      <x:c r="R228" s="2">
        <x:v>47</x:v>
      </x:c>
      <x:c r="S228" s="2" t="s">
        <x:v>121</x:v>
      </x:c>
      <x:c r="T228" s="2">
        <x:v>20</x:v>
      </x:c>
      <x:c r="U228" s="2">
        <x:v>18</x:v>
      </x:c>
      <x:c r="V228" s="2"/>
      <x:c r="W228" s="2"/>
      <x:c r="X228" s="2" t="s">
        <x:v>273</x:v>
      </x:c>
      <x:c r="Y228" s="2" t="s">
        <x:v>113</x:v>
      </x:c>
      <x:c r="Z228" s="2" t="s">
        <x:v>114</x:v>
      </x:c>
    </x:row>
    <x:row r="229" ht="27">
      <x:c r="A229" s="2">
        <x:v>1706</x:v>
      </x:c>
      <x:c r="B229" s="2">
        <x:v>2314542</x:v>
      </x:c>
      <x:c r="C229" s="2">
        <x:v>2781647</x:v>
      </x:c>
      <x:c r="D229" s="2">
        <x:v>52818</x:v>
      </x:c>
      <x:c r="E229" s="2" t="s">
        <x:v>163</x:v>
      </x:c>
      <x:c r="F229" s="2" t="s">
        <x:v>267</x:v>
      </x:c>
      <x:c r="G229" s="2" t="s">
        <x:v>134</x:v>
      </x:c>
      <x:c r="H229" s="2" t="s">
        <x:v>135</x:v>
      </x:c>
      <x:c r="I229" s="2" t="s">
        <x:v>108</x:v>
      </x:c>
      <x:c r="J229" s="2">
        <x:v>2</x:v>
      </x:c>
      <x:c r="K229" s="2" t="s">
        <x:v>117</x:v>
      </x:c>
      <x:c r="L229" s="2" t="s">
        <x:v>110</x:v>
      </x:c>
      <x:c r="M229" s="2"/>
      <x:c r="N229" s="2">
        <x:v>16</x:v>
      </x:c>
      <x:c r="O229" s="2">
        <x:v>13</x:v>
      </x:c>
      <x:c r="P229" s="2">
        <x:v>21</x:v>
      </x:c>
      <x:c r="Q229" s="2" t="s">
        <x:v>121</x:v>
      </x:c>
      <x:c r="R229" s="2">
        <x:v>16</x:v>
      </x:c>
      <x:c r="S229" s="2" t="s">
        <x:v>121</x:v>
      </x:c>
      <x:c r="T229" s="2">
        <x:v>20</x:v>
      </x:c>
      <x:c r="U229" s="2">
        <x:v>18</x:v>
      </x:c>
      <x:c r="V229" s="2"/>
      <x:c r="W229" s="2"/>
      <x:c r="X229" s="2" t="s">
        <x:v>273</x:v>
      </x:c>
      <x:c r="Y229" s="2" t="s">
        <x:v>113</x:v>
      </x:c>
      <x:c r="Z229" s="2" t="s">
        <x:v>114</x:v>
      </x:c>
    </x:row>
    <x:row r="230" ht="40.5">
      <x:c r="A230" s="2">
        <x:v>1709</x:v>
      </x:c>
      <x:c r="B230" s="2">
        <x:v>1159875</x:v>
      </x:c>
      <x:c r="C230" s="2">
        <x:v>142884</x:v>
      </x:c>
      <x:c r="D230" s="2">
        <x:v>14137</x:v>
      </x:c>
      <x:c r="E230" s="2" t="s">
        <x:v>163</x:v>
      </x:c>
      <x:c r="F230" s="2" t="s">
        <x:v>267</x:v>
      </x:c>
      <x:c r="G230" s="2" t="s">
        <x:v>132</x:v>
      </x:c>
      <x:c r="H230" s="2" t="s">
        <x:v>107</x:v>
      </x:c>
      <x:c r="I230" s="2" t="s">
        <x:v>108</x:v>
      </x:c>
      <x:c r="J230" s="2">
        <x:v>4</x:v>
      </x:c>
      <x:c r="K230" s="2" t="s">
        <x:v>126</x:v>
      </x:c>
      <x:c r="L230" s="2" t="s">
        <x:v>110</x:v>
      </x:c>
      <x:c r="M230" s="2"/>
      <x:c r="N230" s="2">
        <x:v>5900</x:v>
      </x:c>
      <x:c r="O230" s="2"/>
      <x:c r="P230" s="2"/>
      <x:c r="Q230" s="2" t="s">
        <x:v>111</x:v>
      </x:c>
      <x:c r="R230" s="2">
        <x:v>5900</x:v>
      </x:c>
      <x:c r="S230" s="2" t="s">
        <x:v>111</x:v>
      </x:c>
      <x:c r="T230" s="2"/>
      <x:c r="U230" s="2"/>
      <x:c r="V230" s="2"/>
      <x:c r="W230" s="2"/>
      <x:c r="X230" s="2" t="s">
        <x:v>133</x:v>
      </x:c>
      <x:c r="Y230" s="2" t="s">
        <x:v>113</x:v>
      </x:c>
      <x:c r="Z230" s="2" t="s">
        <x:v>114</x:v>
      </x:c>
    </x:row>
    <x:row r="231" ht="27">
      <x:c r="A231" s="2">
        <x:v>1712</x:v>
      </x:c>
      <x:c r="B231" s="2">
        <x:v>2314544</x:v>
      </x:c>
      <x:c r="C231" s="2">
        <x:v>2781653</x:v>
      </x:c>
      <x:c r="D231" s="2">
        <x:v>52818</x:v>
      </x:c>
      <x:c r="E231" s="2" t="s">
        <x:v>163</x:v>
      </x:c>
      <x:c r="F231" s="2" t="s">
        <x:v>267</x:v>
      </x:c>
      <x:c r="G231" s="2" t="s">
        <x:v>134</x:v>
      </x:c>
      <x:c r="H231" s="2" t="s">
        <x:v>135</x:v>
      </x:c>
      <x:c r="I231" s="2" t="s">
        <x:v>108</x:v>
      </x:c>
      <x:c r="J231" s="2">
        <x:v>2</x:v>
      </x:c>
      <x:c r="K231" s="2" t="s">
        <x:v>117</x:v>
      </x:c>
      <x:c r="L231" s="2" t="s">
        <x:v>110</x:v>
      </x:c>
      <x:c r="M231" s="2"/>
      <x:c r="N231" s="2">
        <x:v>10</x:v>
      </x:c>
      <x:c r="O231" s="2">
        <x:v>8.6999999999999993</x:v>
      </x:c>
      <x:c r="P231" s="2">
        <x:v>12</x:v>
      </x:c>
      <x:c r="Q231" s="2" t="s">
        <x:v>121</x:v>
      </x:c>
      <x:c r="R231" s="2">
        <x:v>10</x:v>
      </x:c>
      <x:c r="S231" s="2" t="s">
        <x:v>121</x:v>
      </x:c>
      <x:c r="T231" s="2">
        <x:v>20</x:v>
      </x:c>
      <x:c r="U231" s="2">
        <x:v>18</x:v>
      </x:c>
      <x:c r="V231" s="2"/>
      <x:c r="W231" s="2"/>
      <x:c r="X231" s="2" t="s">
        <x:v>273</x:v>
      </x:c>
      <x:c r="Y231" s="2" t="s">
        <x:v>113</x:v>
      </x:c>
      <x:c r="Z231" s="2" t="s">
        <x:v>114</x:v>
      </x:c>
    </x:row>
    <x:row r="232" ht="27">
      <x:c r="A232" s="2">
        <x:v>1713</x:v>
      </x:c>
      <x:c r="B232" s="2">
        <x:v>2314544</x:v>
      </x:c>
      <x:c r="C232" s="2">
        <x:v>2781652</x:v>
      </x:c>
      <x:c r="D232" s="2">
        <x:v>52818</x:v>
      </x:c>
      <x:c r="E232" s="2" t="s">
        <x:v>163</x:v>
      </x:c>
      <x:c r="F232" s="2" t="s">
        <x:v>267</x:v>
      </x:c>
      <x:c r="G232" s="2" t="s">
        <x:v>134</x:v>
      </x:c>
      <x:c r="H232" s="2" t="s">
        <x:v>135</x:v>
      </x:c>
      <x:c r="I232" s="2" t="s">
        <x:v>108</x:v>
      </x:c>
      <x:c r="J232" s="2">
        <x:v>1</x:v>
      </x:c>
      <x:c r="K232" s="2" t="s">
        <x:v>117</x:v>
      </x:c>
      <x:c r="L232" s="2" t="s">
        <x:v>110</x:v>
      </x:c>
      <x:c r="M232" s="2"/>
      <x:c r="N232" s="2">
        <x:v>20</x:v>
      </x:c>
      <x:c r="O232" s="2">
        <x:v>17</x:v>
      </x:c>
      <x:c r="P232" s="2">
        <x:v>23</x:v>
      </x:c>
      <x:c r="Q232" s="2" t="s">
        <x:v>121</x:v>
      </x:c>
      <x:c r="R232" s="2">
        <x:v>20</x:v>
      </x:c>
      <x:c r="S232" s="2" t="s">
        <x:v>121</x:v>
      </x:c>
      <x:c r="T232" s="2">
        <x:v>20</x:v>
      </x:c>
      <x:c r="U232" s="2">
        <x:v>18</x:v>
      </x:c>
      <x:c r="V232" s="2"/>
      <x:c r="W232" s="2"/>
      <x:c r="X232" s="2" t="s">
        <x:v>273</x:v>
      </x:c>
      <x:c r="Y232" s="2" t="s">
        <x:v>113</x:v>
      </x:c>
      <x:c r="Z232" s="2" t="s">
        <x:v>114</x:v>
      </x:c>
    </x:row>
    <x:row r="233" ht="27">
      <x:c r="A233" s="2">
        <x:v>1715</x:v>
      </x:c>
      <x:c r="B233" s="2">
        <x:v>2114272</x:v>
      </x:c>
      <x:c r="C233" s="2">
        <x:v>2208825</x:v>
      </x:c>
      <x:c r="D233" s="2">
        <x:v>167149</x:v>
      </x:c>
      <x:c r="E233" s="2" t="s">
        <x:v>163</x:v>
      </x:c>
      <x:c r="F233" s="2" t="s">
        <x:v>267</x:v>
      </x:c>
      <x:c r="G233" s="2" t="s">
        <x:v>134</x:v>
      </x:c>
      <x:c r="H233" s="2" t="s">
        <x:v>135</x:v>
      </x:c>
      <x:c r="I233" s="2" t="s">
        <x:v>159</x:v>
      </x:c>
      <x:c r="J233" s="2">
        <x:v>2</x:v>
      </x:c>
      <x:c r="K233" s="2" t="s">
        <x:v>117</x:v>
      </x:c>
      <x:c r="L233" s="2" t="s">
        <x:v>110</x:v>
      </x:c>
      <x:c r="M233" s="2"/>
      <x:c r="N233" s="2">
        <x:v>10.6</x:v>
      </x:c>
      <x:c r="O233" s="2">
        <x:v>7.2</x:v>
      </x:c>
      <x:c r="P233" s="2">
        <x:v>26</x:v>
      </x:c>
      <x:c r="Q233" s="2" t="s">
        <x:v>121</x:v>
      </x:c>
      <x:c r="R233" s="2">
        <x:v>10.6</x:v>
      </x:c>
      <x:c r="S233" s="2" t="s">
        <x:v>121</x:v>
      </x:c>
      <x:c r="T233" s="2">
        <x:v>25</x:v>
      </x:c>
      <x:c r="U233" s="2"/>
      <x:c r="V233" s="2">
        <x:v>8.1</x:v>
      </x:c>
      <x:c r="W233" s="2"/>
      <x:c r="X233" s="2" t="s">
        <x:v>274</x:v>
      </x:c>
      <x:c r="Y233" s="2" t="s">
        <x:v>113</x:v>
      </x:c>
      <x:c r="Z233" s="2" t="s">
        <x:v>114</x:v>
      </x:c>
    </x:row>
    <x:row r="234" ht="27">
      <x:c r="A234" s="2">
        <x:v>1716</x:v>
      </x:c>
      <x:c r="B234" s="2">
        <x:v>2114255</x:v>
      </x:c>
      <x:c r="C234" s="2">
        <x:v>2208798</x:v>
      </x:c>
      <x:c r="D234" s="2">
        <x:v>167149</x:v>
      </x:c>
      <x:c r="E234" s="2" t="s">
        <x:v>163</x:v>
      </x:c>
      <x:c r="F234" s="2" t="s">
        <x:v>267</x:v>
      </x:c>
      <x:c r="G234" s="2" t="s">
        <x:v>134</x:v>
      </x:c>
      <x:c r="H234" s="2" t="s">
        <x:v>135</x:v>
      </x:c>
      <x:c r="I234" s="2" t="s">
        <x:v>159</x:v>
      </x:c>
      <x:c r="J234" s="2">
        <x:v>2</x:v>
      </x:c>
      <x:c r="K234" s="2" t="s">
        <x:v>117</x:v>
      </x:c>
      <x:c r="L234" s="2" t="s">
        <x:v>110</x:v>
      </x:c>
      <x:c r="M234" s="2"/>
      <x:c r="N234" s="2">
        <x:v>11.9</x:v>
      </x:c>
      <x:c r="O234" s="2">
        <x:v>7.2</x:v>
      </x:c>
      <x:c r="P234" s="2">
        <x:v>26</x:v>
      </x:c>
      <x:c r="Q234" s="2" t="s">
        <x:v>121</x:v>
      </x:c>
      <x:c r="R234" s="2">
        <x:v>11.9</x:v>
      </x:c>
      <x:c r="S234" s="2" t="s">
        <x:v>121</x:v>
      </x:c>
      <x:c r="T234" s="2">
        <x:v>25</x:v>
      </x:c>
      <x:c r="U234" s="2"/>
      <x:c r="V234" s="2"/>
      <x:c r="W234" s="2"/>
      <x:c r="X234" s="2" t="s">
        <x:v>274</x:v>
      </x:c>
      <x:c r="Y234" s="2" t="s">
        <x:v>113</x:v>
      </x:c>
      <x:c r="Z234" s="2" t="s">
        <x:v>114</x:v>
      </x:c>
    </x:row>
    <x:row r="235" ht="40.5">
      <x:c r="A235" s="2">
        <x:v>1717</x:v>
      </x:c>
      <x:c r="B235" s="2">
        <x:v>1201124</x:v>
      </x:c>
      <x:c r="C235" s="2">
        <x:v>160587</x:v>
      </x:c>
      <x:c r="D235" s="2">
        <x:v>18307</x:v>
      </x:c>
      <x:c r="E235" s="2" t="s">
        <x:v>163</x:v>
      </x:c>
      <x:c r="F235" s="2" t="s">
        <x:v>267</x:v>
      </x:c>
      <x:c r="G235" s="2" t="s">
        <x:v>129</x:v>
      </x:c>
      <x:c r="H235" s="2" t="s">
        <x:v>107</x:v>
      </x:c>
      <x:c r="I235" s="2" t="s">
        <x:v>167</x:v>
      </x:c>
      <x:c r="J235" s="2">
        <x:v>4</x:v>
      </x:c>
      <x:c r="K235" s="2" t="s">
        <x:v>109</x:v>
      </x:c>
      <x:c r="L235" s="2" t="s">
        <x:v>110</x:v>
      </x:c>
      <x:c r="M235" s="2"/>
      <x:c r="N235" s="2">
        <x:v>21000</x:v>
      </x:c>
      <x:c r="O235" s="2"/>
      <x:c r="P235" s="2"/>
      <x:c r="Q235" s="2" t="s">
        <x:v>111</x:v>
      </x:c>
      <x:c r="R235" s="2">
        <x:v>21000</x:v>
      </x:c>
      <x:c r="S235" s="2" t="s">
        <x:v>111</x:v>
      </x:c>
      <x:c r="T235" s="2">
        <x:v>20</x:v>
      </x:c>
      <x:c r="U235" s="2">
        <x:v>9</x:v>
      </x:c>
      <x:c r="V235" s="2"/>
      <x:c r="W235" s="2"/>
      <x:c r="X235" s="2" t="s">
        <x:v>272</x:v>
      </x:c>
      <x:c r="Y235" s="2" t="s">
        <x:v>113</x:v>
      </x:c>
      <x:c r="Z235" s="2" t="s">
        <x:v>114</x:v>
      </x:c>
    </x:row>
    <x:row r="236" ht="40.5">
      <x:c r="A236" s="2">
        <x:v>1723</x:v>
      </x:c>
      <x:c r="B236" s="2">
        <x:v>2299146</x:v>
      </x:c>
      <x:c r="C236" s="2">
        <x:v>2706683</x:v>
      </x:c>
      <x:c r="D236" s="2">
        <x:v>5185</x:v>
      </x:c>
      <x:c r="E236" s="2" t="s">
        <x:v>163</x:v>
      </x:c>
      <x:c r="F236" s="2" t="s">
        <x:v>267</x:v>
      </x:c>
      <x:c r="G236" s="2" t="s">
        <x:v>129</x:v>
      </x:c>
      <x:c r="H236" s="2" t="s">
        <x:v>107</x:v>
      </x:c>
      <x:c r="I236" s="2" t="s">
        <x:v>108</x:v>
      </x:c>
      <x:c r="J236" s="2">
        <x:v>4</x:v>
      </x:c>
      <x:c r="K236" s="2" t="s">
        <x:v>117</x:v>
      </x:c>
      <x:c r="L236" s="2" t="s">
        <x:v>110</x:v>
      </x:c>
      <x:c r="M236" s="2"/>
      <x:c r="N236" s="2">
        <x:v>16</x:v>
      </x:c>
      <x:c r="O236" s="2">
        <x:v>11</x:v>
      </x:c>
      <x:c r="P236" s="2">
        <x:v>23</x:v>
      </x:c>
      <x:c r="Q236" s="2" t="s">
        <x:v>121</x:v>
      </x:c>
      <x:c r="R236" s="2">
        <x:v>16</x:v>
      </x:c>
      <x:c r="S236" s="2" t="s">
        <x:v>121</x:v>
      </x:c>
      <x:c r="T236" s="2">
        <x:v>21</x:v>
      </x:c>
      <x:c r="U236" s="2">
        <x:v>7</x:v>
      </x:c>
      <x:c r="V236" s="2">
        <x:v>7.8</x:v>
      </x:c>
      <x:c r="W236" s="2"/>
      <x:c r="X236" s="2" t="s">
        <x:v>225</x:v>
      </x:c>
      <x:c r="Y236" s="2" t="s">
        <x:v>113</x:v>
      </x:c>
      <x:c r="Z236" s="2" t="s">
        <x:v>114</x:v>
      </x:c>
    </x:row>
    <x:row r="237" ht="40.5">
      <x:c r="A237" s="2">
        <x:v>1724</x:v>
      </x:c>
      <x:c r="B237" s="2">
        <x:v>1201105</x:v>
      </x:c>
      <x:c r="C237" s="2">
        <x:v>160568</x:v>
      </x:c>
      <x:c r="D237" s="2">
        <x:v>18307</x:v>
      </x:c>
      <x:c r="E237" s="2" t="s">
        <x:v>163</x:v>
      </x:c>
      <x:c r="F237" s="2" t="s">
        <x:v>267</x:v>
      </x:c>
      <x:c r="G237" s="2" t="s">
        <x:v>129</x:v>
      </x:c>
      <x:c r="H237" s="2" t="s">
        <x:v>107</x:v>
      </x:c>
      <x:c r="I237" s="2" t="s">
        <x:v>167</x:v>
      </x:c>
      <x:c r="J237" s="2">
        <x:v>1</x:v>
      </x:c>
      <x:c r="K237" s="2" t="s">
        <x:v>109</x:v>
      </x:c>
      <x:c r="L237" s="2" t="s">
        <x:v>110</x:v>
      </x:c>
      <x:c r="M237" s="2"/>
      <x:c r="N237" s="2">
        <x:v>51000</x:v>
      </x:c>
      <x:c r="O237" s="2">
        <x:v>36000</x:v>
      </x:c>
      <x:c r="P237" s="2">
        <x:v>94000</x:v>
      </x:c>
      <x:c r="Q237" s="2" t="s">
        <x:v>111</x:v>
      </x:c>
      <x:c r="R237" s="2">
        <x:v>51000</x:v>
      </x:c>
      <x:c r="S237" s="2" t="s">
        <x:v>111</x:v>
      </x:c>
      <x:c r="T237" s="2">
        <x:v>20</x:v>
      </x:c>
      <x:c r="U237" s="2">
        <x:v>6.8</x:v>
      </x:c>
      <x:c r="V237" s="2"/>
      <x:c r="W237" s="2"/>
      <x:c r="X237" s="2" t="s">
        <x:v>272</x:v>
      </x:c>
      <x:c r="Y237" s="2" t="s">
        <x:v>113</x:v>
      </x:c>
      <x:c r="Z237" s="2" t="s">
        <x:v>114</x:v>
      </x:c>
    </x:row>
    <x:row r="238" ht="40.5">
      <x:c r="A238" s="2">
        <x:v>1726</x:v>
      </x:c>
      <x:c r="B238" s="2">
        <x:v>1201129</x:v>
      </x:c>
      <x:c r="C238" s="2">
        <x:v>160592</x:v>
      </x:c>
      <x:c r="D238" s="2">
        <x:v>18307</x:v>
      </x:c>
      <x:c r="E238" s="2" t="s">
        <x:v>163</x:v>
      </x:c>
      <x:c r="F238" s="2" t="s">
        <x:v>267</x:v>
      </x:c>
      <x:c r="G238" s="2" t="s">
        <x:v>129</x:v>
      </x:c>
      <x:c r="H238" s="2" t="s">
        <x:v>107</x:v>
      </x:c>
      <x:c r="I238" s="2" t="s">
        <x:v>167</x:v>
      </x:c>
      <x:c r="J238" s="2">
        <x:v>4</x:v>
      </x:c>
      <x:c r="K238" s="2" t="s">
        <x:v>109</x:v>
      </x:c>
      <x:c r="L238" s="2" t="s">
        <x:v>110</x:v>
      </x:c>
      <x:c r="M238" s="2"/>
      <x:c r="N238" s="2">
        <x:v>54600</x:v>
      </x:c>
      <x:c r="O238" s="2"/>
      <x:c r="P238" s="2"/>
      <x:c r="Q238" s="2" t="s">
        <x:v>111</x:v>
      </x:c>
      <x:c r="R238" s="2">
        <x:v>54600</x:v>
      </x:c>
      <x:c r="S238" s="2" t="s">
        <x:v>111</x:v>
      </x:c>
      <x:c r="T238" s="2">
        <x:v>20</x:v>
      </x:c>
      <x:c r="U238" s="2">
        <x:v>15</x:v>
      </x:c>
      <x:c r="V238" s="2"/>
      <x:c r="W238" s="2"/>
      <x:c r="X238" s="2" t="s">
        <x:v>272</x:v>
      </x:c>
      <x:c r="Y238" s="2" t="s">
        <x:v>113</x:v>
      </x:c>
      <x:c r="Z238" s="2" t="s">
        <x:v>114</x:v>
      </x:c>
    </x:row>
    <x:row r="239" ht="40.5">
      <x:c r="A239" s="2">
        <x:v>1735</x:v>
      </x:c>
      <x:c r="B239" s="2">
        <x:v>1201131</x:v>
      </x:c>
      <x:c r="C239" s="2">
        <x:v>160594</x:v>
      </x:c>
      <x:c r="D239" s="2">
        <x:v>18307</x:v>
      </x:c>
      <x:c r="E239" s="2" t="s">
        <x:v>163</x:v>
      </x:c>
      <x:c r="F239" s="2" t="s">
        <x:v>267</x:v>
      </x:c>
      <x:c r="G239" s="2" t="s">
        <x:v>129</x:v>
      </x:c>
      <x:c r="H239" s="2" t="s">
        <x:v>107</x:v>
      </x:c>
      <x:c r="I239" s="2" t="s">
        <x:v>167</x:v>
      </x:c>
      <x:c r="J239" s="2">
        <x:v>4</x:v>
      </x:c>
      <x:c r="K239" s="2" t="s">
        <x:v>109</x:v>
      </x:c>
      <x:c r="L239" s="2" t="s">
        <x:v>110</x:v>
      </x:c>
      <x:c r="M239" s="2"/>
      <x:c r="N239" s="2">
        <x:v>15000</x:v>
      </x:c>
      <x:c r="O239" s="2"/>
      <x:c r="P239" s="2"/>
      <x:c r="Q239" s="2" t="s">
        <x:v>111</x:v>
      </x:c>
      <x:c r="R239" s="2">
        <x:v>15000</x:v>
      </x:c>
      <x:c r="S239" s="2" t="s">
        <x:v>111</x:v>
      </x:c>
      <x:c r="T239" s="2">
        <x:v>20</x:v>
      </x:c>
      <x:c r="U239" s="2">
        <x:v>16</x:v>
      </x:c>
      <x:c r="V239" s="2"/>
      <x:c r="W239" s="2"/>
      <x:c r="X239" s="2" t="s">
        <x:v>272</x:v>
      </x:c>
      <x:c r="Y239" s="2" t="s">
        <x:v>113</x:v>
      </x:c>
      <x:c r="Z239" s="2" t="s">
        <x:v>114</x:v>
      </x:c>
    </x:row>
    <x:row r="240" ht="40.5">
      <x:c r="A240" s="2">
        <x:v>1737</x:v>
      </x:c>
      <x:c r="B240" s="2">
        <x:v>1201118</x:v>
      </x:c>
      <x:c r="C240" s="2">
        <x:v>160581</x:v>
      </x:c>
      <x:c r="D240" s="2">
        <x:v>18307</x:v>
      </x:c>
      <x:c r="E240" s="2" t="s">
        <x:v>163</x:v>
      </x:c>
      <x:c r="F240" s="2" t="s">
        <x:v>267</x:v>
      </x:c>
      <x:c r="G240" s="2" t="s">
        <x:v>129</x:v>
      </x:c>
      <x:c r="H240" s="2" t="s">
        <x:v>107</x:v>
      </x:c>
      <x:c r="I240" s="2" t="s">
        <x:v>167</x:v>
      </x:c>
      <x:c r="J240" s="2">
        <x:v>4</x:v>
      </x:c>
      <x:c r="K240" s="2" t="s">
        <x:v>109</x:v>
      </x:c>
      <x:c r="L240" s="2" t="s">
        <x:v>110</x:v>
      </x:c>
      <x:c r="M240" s="2"/>
      <x:c r="N240" s="2">
        <x:v>20500</x:v>
      </x:c>
      <x:c r="O240" s="2"/>
      <x:c r="P240" s="2"/>
      <x:c r="Q240" s="2" t="s">
        <x:v>111</x:v>
      </x:c>
      <x:c r="R240" s="2">
        <x:v>20500</x:v>
      </x:c>
      <x:c r="S240" s="2" t="s">
        <x:v>111</x:v>
      </x:c>
      <x:c r="T240" s="2">
        <x:v>20</x:v>
      </x:c>
      <x:c r="U240" s="2">
        <x:v>7</x:v>
      </x:c>
      <x:c r="V240" s="2"/>
      <x:c r="W240" s="2"/>
      <x:c r="X240" s="2" t="s">
        <x:v>272</x:v>
      </x:c>
      <x:c r="Y240" s="2" t="s">
        <x:v>113</x:v>
      </x:c>
      <x:c r="Z240" s="2" t="s">
        <x:v>114</x:v>
      </x:c>
    </x:row>
    <x:row r="241" ht="27">
      <x:c r="A241" s="2">
        <x:v>1741</x:v>
      </x:c>
      <x:c r="B241" s="2">
        <x:v>2314543</x:v>
      </x:c>
      <x:c r="C241" s="2">
        <x:v>2781649</x:v>
      </x:c>
      <x:c r="D241" s="2">
        <x:v>52818</x:v>
      </x:c>
      <x:c r="E241" s="2" t="s">
        <x:v>163</x:v>
      </x:c>
      <x:c r="F241" s="2" t="s">
        <x:v>267</x:v>
      </x:c>
      <x:c r="G241" s="2" t="s">
        <x:v>134</x:v>
      </x:c>
      <x:c r="H241" s="2" t="s">
        <x:v>135</x:v>
      </x:c>
      <x:c r="I241" s="2" t="s">
        <x:v>108</x:v>
      </x:c>
      <x:c r="J241" s="2">
        <x:v>1</x:v>
      </x:c>
      <x:c r="K241" s="2" t="s">
        <x:v>117</x:v>
      </x:c>
      <x:c r="L241" s="2" t="s">
        <x:v>110</x:v>
      </x:c>
      <x:c r="M241" s="2"/>
      <x:c r="N241" s="2">
        <x:v>49</x:v>
      </x:c>
      <x:c r="O241" s="2">
        <x:v>41</x:v>
      </x:c>
      <x:c r="P241" s="2">
        <x:v>61</x:v>
      </x:c>
      <x:c r="Q241" s="2" t="s">
        <x:v>121</x:v>
      </x:c>
      <x:c r="R241" s="2">
        <x:v>49</x:v>
      </x:c>
      <x:c r="S241" s="2" t="s">
        <x:v>121</x:v>
      </x:c>
      <x:c r="T241" s="2">
        <x:v>20</x:v>
      </x:c>
      <x:c r="U241" s="2">
        <x:v>18</x:v>
      </x:c>
      <x:c r="V241" s="2"/>
      <x:c r="W241" s="2"/>
      <x:c r="X241" s="2" t="s">
        <x:v>273</x:v>
      </x:c>
      <x:c r="Y241" s="2" t="s">
        <x:v>113</x:v>
      </x:c>
      <x:c r="Z241" s="2" t="s">
        <x:v>114</x:v>
      </x:c>
    </x:row>
    <x:row r="242" ht="27">
      <x:c r="A242" s="2">
        <x:v>1743</x:v>
      </x:c>
      <x:c r="B242" s="2">
        <x:v>2314543</x:v>
      </x:c>
      <x:c r="C242" s="2">
        <x:v>2781650</x:v>
      </x:c>
      <x:c r="D242" s="2">
        <x:v>52818</x:v>
      </x:c>
      <x:c r="E242" s="2" t="s">
        <x:v>163</x:v>
      </x:c>
      <x:c r="F242" s="2" t="s">
        <x:v>267</x:v>
      </x:c>
      <x:c r="G242" s="2" t="s">
        <x:v>134</x:v>
      </x:c>
      <x:c r="H242" s="2" t="s">
        <x:v>135</x:v>
      </x:c>
      <x:c r="I242" s="2" t="s">
        <x:v>108</x:v>
      </x:c>
      <x:c r="J242" s="2">
        <x:v>2</x:v>
      </x:c>
      <x:c r="K242" s="2" t="s">
        <x:v>117</x:v>
      </x:c>
      <x:c r="L242" s="2" t="s">
        <x:v>110</x:v>
      </x:c>
      <x:c r="M242" s="2"/>
      <x:c r="N242" s="2">
        <x:v>18</x:v>
      </x:c>
      <x:c r="O242" s="2">
        <x:v>15</x:v>
      </x:c>
      <x:c r="P242" s="2">
        <x:v>23</x:v>
      </x:c>
      <x:c r="Q242" s="2" t="s">
        <x:v>121</x:v>
      </x:c>
      <x:c r="R242" s="2">
        <x:v>18</x:v>
      </x:c>
      <x:c r="S242" s="2" t="s">
        <x:v>121</x:v>
      </x:c>
      <x:c r="T242" s="2">
        <x:v>20</x:v>
      </x:c>
      <x:c r="U242" s="2">
        <x:v>18</x:v>
      </x:c>
      <x:c r="V242" s="2"/>
      <x:c r="W242" s="2"/>
      <x:c r="X242" s="2" t="s">
        <x:v>273</x:v>
      </x:c>
      <x:c r="Y242" s="2" t="s">
        <x:v>113</x:v>
      </x:c>
      <x:c r="Z242" s="2" t="s">
        <x:v>114</x:v>
      </x:c>
    </x:row>
    <x:row r="243" ht="40.5">
      <x:c r="A243" s="2">
        <x:v>1746</x:v>
      </x:c>
      <x:c r="B243" s="2">
        <x:v>1201108</x:v>
      </x:c>
      <x:c r="C243" s="2">
        <x:v>160571</x:v>
      </x:c>
      <x:c r="D243" s="2">
        <x:v>18307</x:v>
      </x:c>
      <x:c r="E243" s="2" t="s">
        <x:v>163</x:v>
      </x:c>
      <x:c r="F243" s="2" t="s">
        <x:v>267</x:v>
      </x:c>
      <x:c r="G243" s="2" t="s">
        <x:v>129</x:v>
      </x:c>
      <x:c r="H243" s="2" t="s">
        <x:v>107</x:v>
      </x:c>
      <x:c r="I243" s="2" t="s">
        <x:v>167</x:v>
      </x:c>
      <x:c r="J243" s="2">
        <x:v>4</x:v>
      </x:c>
      <x:c r="K243" s="2" t="s">
        <x:v>109</x:v>
      </x:c>
      <x:c r="L243" s="2" t="s">
        <x:v>110</x:v>
      </x:c>
      <x:c r="M243" s="2"/>
      <x:c r="N243" s="2">
        <x:v>14000</x:v>
      </x:c>
      <x:c r="O243" s="2">
        <x:v>11000</x:v>
      </x:c>
      <x:c r="P243" s="2">
        <x:v>18000</x:v>
      </x:c>
      <x:c r="Q243" s="2" t="s">
        <x:v>111</x:v>
      </x:c>
      <x:c r="R243" s="2">
        <x:v>14000</x:v>
      </x:c>
      <x:c r="S243" s="2" t="s">
        <x:v>111</x:v>
      </x:c>
      <x:c r="T243" s="2">
        <x:v>20</x:v>
      </x:c>
      <x:c r="U243" s="2">
        <x:v>6.8</x:v>
      </x:c>
      <x:c r="V243" s="2"/>
      <x:c r="W243" s="2"/>
      <x:c r="X243" s="2" t="s">
        <x:v>272</x:v>
      </x:c>
      <x:c r="Y243" s="2" t="s">
        <x:v>113</x:v>
      </x:c>
      <x:c r="Z243" s="2" t="s">
        <x:v>114</x:v>
      </x:c>
    </x:row>
    <x:row r="244" ht="40.5">
      <x:c r="A244" s="2">
        <x:v>1748</x:v>
      </x:c>
      <x:c r="B244" s="2">
        <x:v>1201122</x:v>
      </x:c>
      <x:c r="C244" s="2">
        <x:v>160585</x:v>
      </x:c>
      <x:c r="D244" s="2">
        <x:v>18307</x:v>
      </x:c>
      <x:c r="E244" s="2" t="s">
        <x:v>163</x:v>
      </x:c>
      <x:c r="F244" s="2" t="s">
        <x:v>267</x:v>
      </x:c>
      <x:c r="G244" s="2" t="s">
        <x:v>129</x:v>
      </x:c>
      <x:c r="H244" s="2" t="s">
        <x:v>107</x:v>
      </x:c>
      <x:c r="I244" s="2" t="s">
        <x:v>167</x:v>
      </x:c>
      <x:c r="J244" s="2">
        <x:v>4</x:v>
      </x:c>
      <x:c r="K244" s="2" t="s">
        <x:v>109</x:v>
      </x:c>
      <x:c r="L244" s="2" t="s">
        <x:v>110</x:v>
      </x:c>
      <x:c r="M244" s="2"/>
      <x:c r="N244" s="2">
        <x:v>11500</x:v>
      </x:c>
      <x:c r="O244" s="2"/>
      <x:c r="P244" s="2"/>
      <x:c r="Q244" s="2" t="s">
        <x:v>111</x:v>
      </x:c>
      <x:c r="R244" s="2">
        <x:v>11500</x:v>
      </x:c>
      <x:c r="S244" s="2" t="s">
        <x:v>111</x:v>
      </x:c>
      <x:c r="T244" s="2">
        <x:v>20</x:v>
      </x:c>
      <x:c r="U244" s="2">
        <x:v>9</x:v>
      </x:c>
      <x:c r="V244" s="2"/>
      <x:c r="W244" s="2"/>
      <x:c r="X244" s="2" t="s">
        <x:v>272</x:v>
      </x:c>
      <x:c r="Y244" s="2" t="s">
        <x:v>113</x:v>
      </x:c>
      <x:c r="Z244" s="2" t="s">
        <x:v>114</x:v>
      </x:c>
    </x:row>
    <x:row r="245" ht="40.5">
      <x:c r="A245" s="2">
        <x:v>1752</x:v>
      </x:c>
      <x:c r="B245" s="2">
        <x:v>1159874</x:v>
      </x:c>
      <x:c r="C245" s="2">
        <x:v>142883</x:v>
      </x:c>
      <x:c r="D245" s="2">
        <x:v>14137</x:v>
      </x:c>
      <x:c r="E245" s="2" t="s">
        <x:v>163</x:v>
      </x:c>
      <x:c r="F245" s="2" t="s">
        <x:v>267</x:v>
      </x:c>
      <x:c r="G245" s="2" t="s">
        <x:v>132</x:v>
      </x:c>
      <x:c r="H245" s="2" t="s">
        <x:v>107</x:v>
      </x:c>
      <x:c r="I245" s="2" t="s">
        <x:v>125</x:v>
      </x:c>
      <x:c r="J245" s="2">
        <x:v>4</x:v>
      </x:c>
      <x:c r="K245" s="2" t="s">
        <x:v>126</x:v>
      </x:c>
      <x:c r="L245" s="2" t="s">
        <x:v>110</x:v>
      </x:c>
      <x:c r="M245" s="2"/>
      <x:c r="N245" s="2">
        <x:v>1600</x:v>
      </x:c>
      <x:c r="O245" s="2"/>
      <x:c r="P245" s="2"/>
      <x:c r="Q245" s="2" t="s">
        <x:v>111</x:v>
      </x:c>
      <x:c r="R245" s="2">
        <x:v>1600</x:v>
      </x:c>
      <x:c r="S245" s="2" t="s">
        <x:v>111</x:v>
      </x:c>
      <x:c r="T245" s="2"/>
      <x:c r="U245" s="2"/>
      <x:c r="V245" s="2"/>
      <x:c r="W245" s="2"/>
      <x:c r="X245" s="2" t="s">
        <x:v>133</x:v>
      </x:c>
      <x:c r="Y245" s="2" t="s">
        <x:v>113</x:v>
      </x:c>
      <x:c r="Z245" s="2" t="s">
        <x:v>114</x:v>
      </x:c>
    </x:row>
    <x:row r="246" ht="40.5">
      <x:c r="A246" s="2">
        <x:v>1759</x:v>
      </x:c>
      <x:c r="B246" s="2">
        <x:v>1201106</x:v>
      </x:c>
      <x:c r="C246" s="2">
        <x:v>160569</x:v>
      </x:c>
      <x:c r="D246" s="2">
        <x:v>18307</x:v>
      </x:c>
      <x:c r="E246" s="2" t="s">
        <x:v>163</x:v>
      </x:c>
      <x:c r="F246" s="2" t="s">
        <x:v>267</x:v>
      </x:c>
      <x:c r="G246" s="2" t="s">
        <x:v>129</x:v>
      </x:c>
      <x:c r="H246" s="2" t="s">
        <x:v>107</x:v>
      </x:c>
      <x:c r="I246" s="2" t="s">
        <x:v>167</x:v>
      </x:c>
      <x:c r="J246" s="2">
        <x:v>2</x:v>
      </x:c>
      <x:c r="K246" s="2" t="s">
        <x:v>109</x:v>
      </x:c>
      <x:c r="L246" s="2" t="s">
        <x:v>110</x:v>
      </x:c>
      <x:c r="M246" s="2"/>
      <x:c r="N246" s="2">
        <x:v>21000</x:v>
      </x:c>
      <x:c r="O246" s="2">
        <x:v>14000</x:v>
      </x:c>
      <x:c r="P246" s="2">
        <x:v>31000</x:v>
      </x:c>
      <x:c r="Q246" s="2" t="s">
        <x:v>111</x:v>
      </x:c>
      <x:c r="R246" s="2">
        <x:v>21000</x:v>
      </x:c>
      <x:c r="S246" s="2" t="s">
        <x:v>111</x:v>
      </x:c>
      <x:c r="T246" s="2">
        <x:v>20</x:v>
      </x:c>
      <x:c r="U246" s="2">
        <x:v>6.8</x:v>
      </x:c>
      <x:c r="V246" s="2"/>
      <x:c r="W246" s="2"/>
      <x:c r="X246" s="2" t="s">
        <x:v>272</x:v>
      </x:c>
      <x:c r="Y246" s="2" t="s">
        <x:v>113</x:v>
      </x:c>
      <x:c r="Z246" s="2" t="s">
        <x:v>114</x:v>
      </x:c>
    </x:row>
    <x:row r="247" ht="40.5">
      <x:c r="A247" s="2">
        <x:v>1761</x:v>
      </x:c>
      <x:c r="B247" s="2">
        <x:v>1201112</x:v>
      </x:c>
      <x:c r="C247" s="2">
        <x:v>160575</x:v>
      </x:c>
      <x:c r="D247" s="2">
        <x:v>18307</x:v>
      </x:c>
      <x:c r="E247" s="2" t="s">
        <x:v>163</x:v>
      </x:c>
      <x:c r="F247" s="2" t="s">
        <x:v>267</x:v>
      </x:c>
      <x:c r="G247" s="2" t="s">
        <x:v>129</x:v>
      </x:c>
      <x:c r="H247" s="2" t="s">
        <x:v>107</x:v>
      </x:c>
      <x:c r="I247" s="2" t="s">
        <x:v>167</x:v>
      </x:c>
      <x:c r="J247" s="2">
        <x:v>4</x:v>
      </x:c>
      <x:c r="K247" s="2" t="s">
        <x:v>109</x:v>
      </x:c>
      <x:c r="L247" s="2" t="s">
        <x:v>110</x:v>
      </x:c>
      <x:c r="M247" s="2"/>
      <x:c r="N247" s="2">
        <x:v>29000</x:v>
      </x:c>
      <x:c r="O247" s="2">
        <x:v>22000</x:v>
      </x:c>
      <x:c r="P247" s="2">
        <x:v>41000</x:v>
      </x:c>
      <x:c r="Q247" s="2" t="s">
        <x:v>111</x:v>
      </x:c>
      <x:c r="R247" s="2">
        <x:v>29000</x:v>
      </x:c>
      <x:c r="S247" s="2" t="s">
        <x:v>111</x:v>
      </x:c>
      <x:c r="T247" s="2">
        <x:v>20</x:v>
      </x:c>
      <x:c r="U247" s="2">
        <x:v>13.5</x:v>
      </x:c>
      <x:c r="V247" s="2"/>
      <x:c r="W247" s="2"/>
      <x:c r="X247" s="2" t="s">
        <x:v>272</x:v>
      </x:c>
      <x:c r="Y247" s="2" t="s">
        <x:v>113</x:v>
      </x:c>
      <x:c r="Z247" s="2" t="s">
        <x:v>114</x:v>
      </x:c>
    </x:row>
    <x:row r="248" ht="27">
      <x:c r="A248" s="2">
        <x:v>1769</x:v>
      </x:c>
      <x:c r="B248" s="2">
        <x:v>2114271</x:v>
      </x:c>
      <x:c r="C248" s="2">
        <x:v>2208824</x:v>
      </x:c>
      <x:c r="D248" s="2">
        <x:v>167149</x:v>
      </x:c>
      <x:c r="E248" s="2" t="s">
        <x:v>163</x:v>
      </x:c>
      <x:c r="F248" s="2" t="s">
        <x:v>267</x:v>
      </x:c>
      <x:c r="G248" s="2" t="s">
        <x:v>134</x:v>
      </x:c>
      <x:c r="H248" s="2" t="s">
        <x:v>135</x:v>
      </x:c>
      <x:c r="I248" s="2" t="s">
        <x:v>159</x:v>
      </x:c>
      <x:c r="J248" s="2">
        <x:v>2</x:v>
      </x:c>
      <x:c r="K248" s="2" t="s">
        <x:v>117</x:v>
      </x:c>
      <x:c r="L248" s="2" t="s">
        <x:v>110</x:v>
      </x:c>
      <x:c r="M248" s="2"/>
      <x:c r="N248" s="2">
        <x:v>11.9</x:v>
      </x:c>
      <x:c r="O248" s="2">
        <x:v>7.2</x:v>
      </x:c>
      <x:c r="P248" s="2">
        <x:v>26</x:v>
      </x:c>
      <x:c r="Q248" s="2" t="s">
        <x:v>121</x:v>
      </x:c>
      <x:c r="R248" s="2">
        <x:v>11.9</x:v>
      </x:c>
      <x:c r="S248" s="2" t="s">
        <x:v>121</x:v>
      </x:c>
      <x:c r="T248" s="2">
        <x:v>25</x:v>
      </x:c>
      <x:c r="U248" s="2"/>
      <x:c r="V248" s="2">
        <x:v>8.1</x:v>
      </x:c>
      <x:c r="W248" s="2"/>
      <x:c r="X248" s="2" t="s">
        <x:v>274</x:v>
      </x:c>
      <x:c r="Y248" s="2" t="s">
        <x:v>113</x:v>
      </x:c>
      <x:c r="Z248" s="2" t="s">
        <x:v>114</x:v>
      </x:c>
    </x:row>
    <x:row r="249" ht="27">
      <x:c r="A249" s="2">
        <x:v>1771</x:v>
      </x:c>
      <x:c r="B249" s="2">
        <x:v>2034090</x:v>
      </x:c>
      <x:c r="C249" s="2">
        <x:v>2055215</x:v>
      </x:c>
      <x:c r="D249" s="2">
        <x:v>97664</x:v>
      </x:c>
      <x:c r="E249" s="2" t="s">
        <x:v>163</x:v>
      </x:c>
      <x:c r="F249" s="2" t="s">
        <x:v>267</x:v>
      </x:c>
      <x:c r="G249" s="2" t="s">
        <x:v>129</x:v>
      </x:c>
      <x:c r="H249" s="2" t="s">
        <x:v>107</x:v>
      </x:c>
      <x:c r="I249" s="2"/>
      <x:c r="J249" s="2">
        <x:v>4</x:v>
      </x:c>
      <x:c r="K249" s="2" t="s">
        <x:v>117</x:v>
      </x:c>
      <x:c r="L249" s="2" t="s">
        <x:v>110</x:v>
      </x:c>
      <x:c r="M249" s="2"/>
      <x:c r="N249" s="2">
        <x:v>31</x:v>
      </x:c>
      <x:c r="O249" s="2"/>
      <x:c r="P249" s="2"/>
      <x:c r="Q249" s="2" t="s">
        <x:v>121</x:v>
      </x:c>
      <x:c r="R249" s="2">
        <x:v>31</x:v>
      </x:c>
      <x:c r="S249" s="2" t="s">
        <x:v>121</x:v>
      </x:c>
      <x:c r="T249" s="2">
        <x:v>21</x:v>
      </x:c>
      <x:c r="U249" s="2"/>
      <x:c r="V249" s="2"/>
      <x:c r="W249" s="2"/>
      <x:c r="X249" s="2" t="s">
        <x:v>275</x:v>
      </x:c>
      <x:c r="Y249" s="2" t="s">
        <x:v>113</x:v>
      </x:c>
      <x:c r="Z249" s="2" t="s">
        <x:v>114</x:v>
      </x:c>
    </x:row>
    <x:row r="250" ht="40.5">
      <x:c r="A250" s="2">
        <x:v>1772</x:v>
      </x:c>
      <x:c r="B250" s="2">
        <x:v>1201110</x:v>
      </x:c>
      <x:c r="C250" s="2">
        <x:v>160573</x:v>
      </x:c>
      <x:c r="D250" s="2">
        <x:v>18307</x:v>
      </x:c>
      <x:c r="E250" s="2" t="s">
        <x:v>163</x:v>
      </x:c>
      <x:c r="F250" s="2" t="s">
        <x:v>267</x:v>
      </x:c>
      <x:c r="G250" s="2" t="s">
        <x:v>129</x:v>
      </x:c>
      <x:c r="H250" s="2" t="s">
        <x:v>107</x:v>
      </x:c>
      <x:c r="I250" s="2" t="s">
        <x:v>167</x:v>
      </x:c>
      <x:c r="J250" s="2">
        <x:v>2</x:v>
      </x:c>
      <x:c r="K250" s="2" t="s">
        <x:v>109</x:v>
      </x:c>
      <x:c r="L250" s="2" t="s">
        <x:v>110</x:v>
      </x:c>
      <x:c r="M250" s="2"/>
      <x:c r="N250" s="2">
        <x:v>46000</x:v>
      </x:c>
      <x:c r="O250" s="2">
        <x:v>31000</x:v>
      </x:c>
      <x:c r="P250" s="2">
        <x:v>93000</x:v>
      </x:c>
      <x:c r="Q250" s="2" t="s">
        <x:v>111</x:v>
      </x:c>
      <x:c r="R250" s="2">
        <x:v>46000</x:v>
      </x:c>
      <x:c r="S250" s="2" t="s">
        <x:v>111</x:v>
      </x:c>
      <x:c r="T250" s="2">
        <x:v>20</x:v>
      </x:c>
      <x:c r="U250" s="2">
        <x:v>13.5</x:v>
      </x:c>
      <x:c r="V250" s="2"/>
      <x:c r="W250" s="2"/>
      <x:c r="X250" s="2" t="s">
        <x:v>272</x:v>
      </x:c>
      <x:c r="Y250" s="2" t="s">
        <x:v>113</x:v>
      </x:c>
      <x:c r="Z250" s="2" t="s">
        <x:v>114</x:v>
      </x:c>
    </x:row>
    <x:row r="251" ht="40.5">
      <x:c r="A251" s="2">
        <x:v>1774</x:v>
      </x:c>
      <x:c r="B251" s="2">
        <x:v>1201126</x:v>
      </x:c>
      <x:c r="C251" s="2">
        <x:v>160589</x:v>
      </x:c>
      <x:c r="D251" s="2">
        <x:v>18307</x:v>
      </x:c>
      <x:c r="E251" s="2" t="s">
        <x:v>163</x:v>
      </x:c>
      <x:c r="F251" s="2" t="s">
        <x:v>267</x:v>
      </x:c>
      <x:c r="G251" s="2" t="s">
        <x:v>129</x:v>
      </x:c>
      <x:c r="H251" s="2" t="s">
        <x:v>107</x:v>
      </x:c>
      <x:c r="I251" s="2" t="s">
        <x:v>167</x:v>
      </x:c>
      <x:c r="J251" s="2">
        <x:v>4</x:v>
      </x:c>
      <x:c r="K251" s="2" t="s">
        <x:v>109</x:v>
      </x:c>
      <x:c r="L251" s="2" t="s">
        <x:v>110</x:v>
      </x:c>
      <x:c r="M251" s="2"/>
      <x:c r="N251" s="2">
        <x:v>34800</x:v>
      </x:c>
      <x:c r="O251" s="2"/>
      <x:c r="P251" s="2"/>
      <x:c r="Q251" s="2" t="s">
        <x:v>111</x:v>
      </x:c>
      <x:c r="R251" s="2">
        <x:v>34800</x:v>
      </x:c>
      <x:c r="S251" s="2" t="s">
        <x:v>111</x:v>
      </x:c>
      <x:c r="T251" s="2">
        <x:v>20</x:v>
      </x:c>
      <x:c r="U251" s="2">
        <x:v>9</x:v>
      </x:c>
      <x:c r="V251" s="2"/>
      <x:c r="W251" s="2"/>
      <x:c r="X251" s="2" t="s">
        <x:v>272</x:v>
      </x:c>
      <x:c r="Y251" s="2" t="s">
        <x:v>113</x:v>
      </x:c>
      <x:c r="Z251" s="2" t="s">
        <x:v>114</x:v>
      </x:c>
    </x:row>
    <x:row r="252" ht="40.5">
      <x:c r="A252" s="2">
        <x:v>1780</x:v>
      </x:c>
      <x:c r="B252" s="2">
        <x:v>1201132</x:v>
      </x:c>
      <x:c r="C252" s="2">
        <x:v>160596</x:v>
      </x:c>
      <x:c r="D252" s="2">
        <x:v>18307</x:v>
      </x:c>
      <x:c r="E252" s="2" t="s">
        <x:v>163</x:v>
      </x:c>
      <x:c r="F252" s="2" t="s">
        <x:v>267</x:v>
      </x:c>
      <x:c r="G252" s="2" t="s">
        <x:v>129</x:v>
      </x:c>
      <x:c r="H252" s="2" t="s">
        <x:v>107</x:v>
      </x:c>
      <x:c r="I252" s="2" t="s">
        <x:v>167</x:v>
      </x:c>
      <x:c r="J252" s="2">
        <x:v>4</x:v>
      </x:c>
      <x:c r="K252" s="2" t="s">
        <x:v>109</x:v>
      </x:c>
      <x:c r="L252" s="2" t="s">
        <x:v>110</x:v>
      </x:c>
      <x:c r="M252" s="2"/>
      <x:c r="N252" s="2">
        <x:v>44600</x:v>
      </x:c>
      <x:c r="O252" s="2"/>
      <x:c r="P252" s="2"/>
      <x:c r="Q252" s="2" t="s">
        <x:v>111</x:v>
      </x:c>
      <x:c r="R252" s="2">
        <x:v>44600</x:v>
      </x:c>
      <x:c r="S252" s="2" t="s">
        <x:v>111</x:v>
      </x:c>
      <x:c r="T252" s="2">
        <x:v>20</x:v>
      </x:c>
      <x:c r="U252" s="2">
        <x:v>33</x:v>
      </x:c>
      <x:c r="V252" s="2"/>
      <x:c r="W252" s="2"/>
      <x:c r="X252" s="2" t="s">
        <x:v>272</x:v>
      </x:c>
      <x:c r="Y252" s="2" t="s">
        <x:v>113</x:v>
      </x:c>
      <x:c r="Z252" s="2" t="s">
        <x:v>114</x:v>
      </x:c>
    </x:row>
    <x:row r="253" ht="40.5">
      <x:c r="A253" s="2">
        <x:v>1781</x:v>
      </x:c>
      <x:c r="B253" s="2">
        <x:v>1201123</x:v>
      </x:c>
      <x:c r="C253" s="2">
        <x:v>160586</x:v>
      </x:c>
      <x:c r="D253" s="2">
        <x:v>18307</x:v>
      </x:c>
      <x:c r="E253" s="2" t="s">
        <x:v>163</x:v>
      </x:c>
      <x:c r="F253" s="2" t="s">
        <x:v>267</x:v>
      </x:c>
      <x:c r="G253" s="2" t="s">
        <x:v>129</x:v>
      </x:c>
      <x:c r="H253" s="2" t="s">
        <x:v>107</x:v>
      </x:c>
      <x:c r="I253" s="2" t="s">
        <x:v>167</x:v>
      </x:c>
      <x:c r="J253" s="2">
        <x:v>4</x:v>
      </x:c>
      <x:c r="K253" s="2" t="s">
        <x:v>109</x:v>
      </x:c>
      <x:c r="L253" s="2" t="s">
        <x:v>110</x:v>
      </x:c>
      <x:c r="M253" s="2"/>
      <x:c r="N253" s="2">
        <x:v>8700</x:v>
      </x:c>
      <x:c r="O253" s="2"/>
      <x:c r="P253" s="2"/>
      <x:c r="Q253" s="2" t="s">
        <x:v>111</x:v>
      </x:c>
      <x:c r="R253" s="2">
        <x:v>8700</x:v>
      </x:c>
      <x:c r="S253" s="2" t="s">
        <x:v>111</x:v>
      </x:c>
      <x:c r="T253" s="2">
        <x:v>20</x:v>
      </x:c>
      <x:c r="U253" s="2">
        <x:v>9</x:v>
      </x:c>
      <x:c r="V253" s="2"/>
      <x:c r="W253" s="2"/>
      <x:c r="X253" s="2" t="s">
        <x:v>272</x:v>
      </x:c>
      <x:c r="Y253" s="2" t="s">
        <x:v>113</x:v>
      </x:c>
      <x:c r="Z253" s="2" t="s">
        <x:v>114</x:v>
      </x:c>
    </x:row>
    <x:row r="254" ht="40.5">
      <x:c r="A254" s="2">
        <x:v>1784</x:v>
      </x:c>
      <x:c r="B254" s="2">
        <x:v>1201117</x:v>
      </x:c>
      <x:c r="C254" s="2">
        <x:v>160580</x:v>
      </x:c>
      <x:c r="D254" s="2">
        <x:v>18307</x:v>
      </x:c>
      <x:c r="E254" s="2" t="s">
        <x:v>163</x:v>
      </x:c>
      <x:c r="F254" s="2" t="s">
        <x:v>267</x:v>
      </x:c>
      <x:c r="G254" s="2" t="s">
        <x:v>129</x:v>
      </x:c>
      <x:c r="H254" s="2" t="s">
        <x:v>107</x:v>
      </x:c>
      <x:c r="I254" s="2" t="s">
        <x:v>167</x:v>
      </x:c>
      <x:c r="J254" s="2">
        <x:v>4</x:v>
      </x:c>
      <x:c r="K254" s="2" t="s">
        <x:v>109</x:v>
      </x:c>
      <x:c r="L254" s="2" t="s">
        <x:v>110</x:v>
      </x:c>
      <x:c r="M254" s="2"/>
      <x:c r="N254" s="2">
        <x:v>24200</x:v>
      </x:c>
      <x:c r="O254" s="2"/>
      <x:c r="P254" s="2"/>
      <x:c r="Q254" s="2" t="s">
        <x:v>111</x:v>
      </x:c>
      <x:c r="R254" s="2">
        <x:v>24200</x:v>
      </x:c>
      <x:c r="S254" s="2" t="s">
        <x:v>111</x:v>
      </x:c>
      <x:c r="T254" s="2">
        <x:v>20</x:v>
      </x:c>
      <x:c r="U254" s="2">
        <x:v>7</x:v>
      </x:c>
      <x:c r="V254" s="2"/>
      <x:c r="W254" s="2"/>
      <x:c r="X254" s="2" t="s">
        <x:v>272</x:v>
      </x:c>
      <x:c r="Y254" s="2" t="s">
        <x:v>113</x:v>
      </x:c>
      <x:c r="Z254" s="2" t="s">
        <x:v>114</x:v>
      </x:c>
    </x:row>
    <x:row r="255" ht="40.5">
      <x:c r="A255" s="2">
        <x:v>1785</x:v>
      </x:c>
      <x:c r="B255" s="2">
        <x:v>1201128</x:v>
      </x:c>
      <x:c r="C255" s="2">
        <x:v>160591</x:v>
      </x:c>
      <x:c r="D255" s="2">
        <x:v>18307</x:v>
      </x:c>
      <x:c r="E255" s="2" t="s">
        <x:v>163</x:v>
      </x:c>
      <x:c r="F255" s="2" t="s">
        <x:v>267</x:v>
      </x:c>
      <x:c r="G255" s="2" t="s">
        <x:v>129</x:v>
      </x:c>
      <x:c r="H255" s="2" t="s">
        <x:v>107</x:v>
      </x:c>
      <x:c r="I255" s="2" t="s">
        <x:v>167</x:v>
      </x:c>
      <x:c r="J255" s="2">
        <x:v>4</x:v>
      </x:c>
      <x:c r="K255" s="2" t="s">
        <x:v>109</x:v>
      </x:c>
      <x:c r="L255" s="2" t="s">
        <x:v>110</x:v>
      </x:c>
      <x:c r="M255" s="2"/>
      <x:c r="N255" s="2">
        <x:v>34800</x:v>
      </x:c>
      <x:c r="O255" s="2"/>
      <x:c r="P255" s="2"/>
      <x:c r="Q255" s="2" t="s">
        <x:v>111</x:v>
      </x:c>
      <x:c r="R255" s="2">
        <x:v>34800</x:v>
      </x:c>
      <x:c r="S255" s="2" t="s">
        <x:v>111</x:v>
      </x:c>
      <x:c r="T255" s="2">
        <x:v>20</x:v>
      </x:c>
      <x:c r="U255" s="2">
        <x:v>15</x:v>
      </x:c>
      <x:c r="V255" s="2"/>
      <x:c r="W255" s="2"/>
      <x:c r="X255" s="2" t="s">
        <x:v>272</x:v>
      </x:c>
      <x:c r="Y255" s="2" t="s">
        <x:v>113</x:v>
      </x:c>
      <x:c r="Z255" s="2" t="s">
        <x:v>114</x:v>
      </x:c>
    </x:row>
    <x:row r="256" ht="27">
      <x:c r="A256" s="2">
        <x:v>1787</x:v>
      </x:c>
      <x:c r="B256" s="2">
        <x:v>1236962</x:v>
      </x:c>
      <x:c r="C256" s="2">
        <x:v>215847</x:v>
      </x:c>
      <x:c r="D256" s="2">
        <x:v>66691</x:v>
      </x:c>
      <x:c r="E256" s="2" t="s">
        <x:v>163</x:v>
      </x:c>
      <x:c r="F256" s="2" t="s">
        <x:v>267</x:v>
      </x:c>
      <x:c r="G256" s="2" t="s">
        <x:v>134</x:v>
      </x:c>
      <x:c r="H256" s="2" t="s">
        <x:v>135</x:v>
      </x:c>
      <x:c r="I256" s="2" t="s">
        <x:v>108</x:v>
      </x:c>
      <x:c r="J256" s="2">
        <x:v>2</x:v>
      </x:c>
      <x:c r="K256" s="2" t="s">
        <x:v>117</x:v>
      </x:c>
      <x:c r="L256" s="2" t="s">
        <x:v>110</x:v>
      </x:c>
      <x:c r="M256" s="2"/>
      <x:c r="N256" s="2">
        <x:v>10</x:v>
      </x:c>
      <x:c r="O256" s="2">
        <x:v>8.6999999999999993</x:v>
      </x:c>
      <x:c r="P256" s="2">
        <x:v>12</x:v>
      </x:c>
      <x:c r="Q256" s="2" t="s">
        <x:v>121</x:v>
      </x:c>
      <x:c r="R256" s="2">
        <x:v>10</x:v>
      </x:c>
      <x:c r="S256" s="2" t="s">
        <x:v>121</x:v>
      </x:c>
      <x:c r="T256" s="2">
        <x:v>20</x:v>
      </x:c>
      <x:c r="U256" s="2">
        <x:v>18</x:v>
      </x:c>
      <x:c r="V256" s="2"/>
      <x:c r="W256" s="2"/>
      <x:c r="X256" s="2" t="s">
        <x:v>276</x:v>
      </x:c>
      <x:c r="Y256" s="2" t="s">
        <x:v>113</x:v>
      </x:c>
      <x:c r="Z256" s="2" t="s">
        <x:v>114</x:v>
      </x:c>
    </x:row>
    <x:row r="257" ht="40.5">
      <x:c r="A257" s="2">
        <x:v>1789</x:v>
      </x:c>
      <x:c r="B257" s="2">
        <x:v>1201127</x:v>
      </x:c>
      <x:c r="C257" s="2">
        <x:v>160590</x:v>
      </x:c>
      <x:c r="D257" s="2">
        <x:v>18307</x:v>
      </x:c>
      <x:c r="E257" s="2" t="s">
        <x:v>163</x:v>
      </x:c>
      <x:c r="F257" s="2" t="s">
        <x:v>267</x:v>
      </x:c>
      <x:c r="G257" s="2" t="s">
        <x:v>129</x:v>
      </x:c>
      <x:c r="H257" s="2" t="s">
        <x:v>107</x:v>
      </x:c>
      <x:c r="I257" s="2" t="s">
        <x:v>167</x:v>
      </x:c>
      <x:c r="J257" s="2">
        <x:v>4</x:v>
      </x:c>
      <x:c r="K257" s="2" t="s">
        <x:v>109</x:v>
      </x:c>
      <x:c r="L257" s="2" t="s">
        <x:v>110</x:v>
      </x:c>
      <x:c r="M257" s="2"/>
      <x:c r="N257" s="2">
        <x:v>7500</x:v>
      </x:c>
      <x:c r="O257" s="2"/>
      <x:c r="P257" s="2"/>
      <x:c r="Q257" s="2" t="s">
        <x:v>111</x:v>
      </x:c>
      <x:c r="R257" s="2">
        <x:v>7500</x:v>
      </x:c>
      <x:c r="S257" s="2" t="s">
        <x:v>111</x:v>
      </x:c>
      <x:c r="T257" s="2">
        <x:v>20</x:v>
      </x:c>
      <x:c r="U257" s="2">
        <x:v>9</x:v>
      </x:c>
      <x:c r="V257" s="2"/>
      <x:c r="W257" s="2"/>
      <x:c r="X257" s="2" t="s">
        <x:v>272</x:v>
      </x:c>
      <x:c r="Y257" s="2" t="s">
        <x:v>113</x:v>
      </x:c>
      <x:c r="Z257" s="2" t="s">
        <x:v>114</x:v>
      </x:c>
    </x:row>
    <x:row r="258" ht="40.5">
      <x:c r="A258" s="2">
        <x:v>1792</x:v>
      </x:c>
      <x:c r="B258" s="2">
        <x:v>1201125</x:v>
      </x:c>
      <x:c r="C258" s="2">
        <x:v>160588</x:v>
      </x:c>
      <x:c r="D258" s="2">
        <x:v>18307</x:v>
      </x:c>
      <x:c r="E258" s="2" t="s">
        <x:v>163</x:v>
      </x:c>
      <x:c r="F258" s="2" t="s">
        <x:v>267</x:v>
      </x:c>
      <x:c r="G258" s="2" t="s">
        <x:v>129</x:v>
      </x:c>
      <x:c r="H258" s="2" t="s">
        <x:v>107</x:v>
      </x:c>
      <x:c r="I258" s="2" t="s">
        <x:v>167</x:v>
      </x:c>
      <x:c r="J258" s="2">
        <x:v>4</x:v>
      </x:c>
      <x:c r="K258" s="2" t="s">
        <x:v>109</x:v>
      </x:c>
      <x:c r="L258" s="2" t="s">
        <x:v>110</x:v>
      </x:c>
      <x:c r="M258" s="2"/>
      <x:c r="N258" s="2">
        <x:v>17000</x:v>
      </x:c>
      <x:c r="O258" s="2"/>
      <x:c r="P258" s="2"/>
      <x:c r="Q258" s="2" t="s">
        <x:v>111</x:v>
      </x:c>
      <x:c r="R258" s="2">
        <x:v>17000</x:v>
      </x:c>
      <x:c r="S258" s="2" t="s">
        <x:v>111</x:v>
      </x:c>
      <x:c r="T258" s="2">
        <x:v>20</x:v>
      </x:c>
      <x:c r="U258" s="2">
        <x:v>9</x:v>
      </x:c>
      <x:c r="V258" s="2"/>
      <x:c r="W258" s="2"/>
      <x:c r="X258" s="2" t="s">
        <x:v>272</x:v>
      </x:c>
      <x:c r="Y258" s="2" t="s">
        <x:v>113</x:v>
      </x:c>
      <x:c r="Z258" s="2" t="s">
        <x:v>114</x:v>
      </x:c>
    </x:row>
    <x:row r="259" ht="40.5">
      <x:c r="A259" s="2">
        <x:v>1797</x:v>
      </x:c>
      <x:c r="B259" s="2">
        <x:v>1201111</x:v>
      </x:c>
      <x:c r="C259" s="2">
        <x:v>160574</x:v>
      </x:c>
      <x:c r="D259" s="2">
        <x:v>18307</x:v>
      </x:c>
      <x:c r="E259" s="2" t="s">
        <x:v>163</x:v>
      </x:c>
      <x:c r="F259" s="2" t="s">
        <x:v>267</x:v>
      </x:c>
      <x:c r="G259" s="2" t="s">
        <x:v>129</x:v>
      </x:c>
      <x:c r="H259" s="2" t="s">
        <x:v>107</x:v>
      </x:c>
      <x:c r="I259" s="2" t="s">
        <x:v>167</x:v>
      </x:c>
      <x:c r="J259" s="2">
        <x:v>3</x:v>
      </x:c>
      <x:c r="K259" s="2" t="s">
        <x:v>109</x:v>
      </x:c>
      <x:c r="L259" s="2" t="s">
        <x:v>110</x:v>
      </x:c>
      <x:c r="M259" s="2"/>
      <x:c r="N259" s="2">
        <x:v>37000</x:v>
      </x:c>
      <x:c r="O259" s="2">
        <x:v>27000</x:v>
      </x:c>
      <x:c r="P259" s="2">
        <x:v>55000</x:v>
      </x:c>
      <x:c r="Q259" s="2" t="s">
        <x:v>111</x:v>
      </x:c>
      <x:c r="R259" s="2">
        <x:v>37000</x:v>
      </x:c>
      <x:c r="S259" s="2" t="s">
        <x:v>111</x:v>
      </x:c>
      <x:c r="T259" s="2">
        <x:v>20</x:v>
      </x:c>
      <x:c r="U259" s="2">
        <x:v>13.5</x:v>
      </x:c>
      <x:c r="V259" s="2"/>
      <x:c r="W259" s="2"/>
      <x:c r="X259" s="2" t="s">
        <x:v>272</x:v>
      </x:c>
      <x:c r="Y259" s="2" t="s">
        <x:v>113</x:v>
      </x:c>
      <x:c r="Z259" s="2" t="s">
        <x:v>114</x:v>
      </x:c>
    </x:row>
    <x:row r="260" ht="27">
      <x:c r="A260" s="2">
        <x:v>1801</x:v>
      </x:c>
      <x:c r="B260" s="2">
        <x:v>2114273</x:v>
      </x:c>
      <x:c r="C260" s="2">
        <x:v>2208826</x:v>
      </x:c>
      <x:c r="D260" s="2">
        <x:v>167149</x:v>
      </x:c>
      <x:c r="E260" s="2" t="s">
        <x:v>163</x:v>
      </x:c>
      <x:c r="F260" s="2" t="s">
        <x:v>267</x:v>
      </x:c>
      <x:c r="G260" s="2" t="s">
        <x:v>134</x:v>
      </x:c>
      <x:c r="H260" s="2" t="s">
        <x:v>135</x:v>
      </x:c>
      <x:c r="I260" s="2" t="s">
        <x:v>159</x:v>
      </x:c>
      <x:c r="J260" s="2">
        <x:v>2</x:v>
      </x:c>
      <x:c r="K260" s="2" t="s">
        <x:v>117</x:v>
      </x:c>
      <x:c r="L260" s="2" t="s">
        <x:v>110</x:v>
      </x:c>
      <x:c r="M260" s="2"/>
      <x:c r="N260" s="2">
        <x:v>10.6</x:v>
      </x:c>
      <x:c r="O260" s="2">
        <x:v>7.2</x:v>
      </x:c>
      <x:c r="P260" s="2">
        <x:v>26</x:v>
      </x:c>
      <x:c r="Q260" s="2" t="s">
        <x:v>121</x:v>
      </x:c>
      <x:c r="R260" s="2">
        <x:v>10.6</x:v>
      </x:c>
      <x:c r="S260" s="2" t="s">
        <x:v>121</x:v>
      </x:c>
      <x:c r="T260" s="2">
        <x:v>25</x:v>
      </x:c>
      <x:c r="U260" s="2"/>
      <x:c r="V260" s="2">
        <x:v>8.1</x:v>
      </x:c>
      <x:c r="W260" s="2"/>
      <x:c r="X260" s="2" t="s">
        <x:v>274</x:v>
      </x:c>
      <x:c r="Y260" s="2" t="s">
        <x:v>113</x:v>
      </x:c>
      <x:c r="Z260" s="2" t="s">
        <x:v>114</x:v>
      </x:c>
    </x:row>
    <x:row r="261" ht="27">
      <x:c r="A261" s="2">
        <x:v>1876</x:v>
      </x:c>
      <x:c r="B261" s="2">
        <x:v>1179972</x:v>
      </x:c>
      <x:c r="C261" s="2">
        <x:v>81929</x:v>
      </x:c>
      <x:c r="D261" s="2">
        <x:v>15726</x:v>
      </x:c>
      <x:c r="E261" s="2" t="s">
        <x:v>16</x:v>
      </x:c>
      <x:c r="F261" s="2" t="s">
        <x:v>279</x:v>
      </x:c>
      <x:c r="G261" s="2" t="s">
        <x:v>116</x:v>
      </x:c>
      <x:c r="H261" s="2" t="s">
        <x:v>107</x:v>
      </x:c>
      <x:c r="I261" s="2" t="s">
        <x:v>108</x:v>
      </x:c>
      <x:c r="J261" s="2">
        <x:v>2</x:v>
      </x:c>
      <x:c r="K261" s="2" t="s">
        <x:v>117</x:v>
      </x:c>
      <x:c r="L261" s="2" t="s">
        <x:v>110</x:v>
      </x:c>
      <x:c r="M261" s="2"/>
      <x:c r="N261" s="2">
        <x:v>970</x:v>
      </x:c>
      <x:c r="O261" s="2"/>
      <x:c r="P261" s="2"/>
      <x:c r="Q261" s="2" t="s">
        <x:v>111</x:v>
      </x:c>
      <x:c r="R261" s="2">
        <x:v>970</x:v>
      </x:c>
      <x:c r="S261" s="2" t="s">
        <x:v>111</x:v>
      </x:c>
      <x:c r="T261" s="2">
        <x:v>24</x:v>
      </x:c>
      <x:c r="U261" s="2"/>
      <x:c r="V261" s="2"/>
      <x:c r="W261" s="2"/>
      <x:c r="X261" s="2" t="s">
        <x:v>248</x:v>
      </x:c>
      <x:c r="Y261" s="2" t="s">
        <x:v>113</x:v>
      </x:c>
      <x:c r="Z261" s="2" t="s">
        <x:v>114</x:v>
      </x:c>
    </x:row>
    <x:row r="262" ht="40.5">
      <x:c r="A262" s="2">
        <x:v>1919</x:v>
      </x:c>
      <x:c r="B262" s="2">
        <x:v>2136234</x:v>
      </x:c>
      <x:c r="C262" s="2">
        <x:v>2252281</x:v>
      </x:c>
      <x:c r="D262" s="2">
        <x:v>153073</x:v>
      </x:c>
      <x:c r="E262" s="2" t="s">
        <x:v>16</x:v>
      </x:c>
      <x:c r="F262" s="2" t="s">
        <x:v>279</x:v>
      </x:c>
      <x:c r="G262" s="2" t="s">
        <x:v>245</x:v>
      </x:c>
      <x:c r="H262" s="2" t="s">
        <x:v>234</x:v>
      </x:c>
      <x:c r="I262" s="2" t="s">
        <x:v>108</x:v>
      </x:c>
      <x:c r="J262" s="2">
        <x:v>4</x:v>
      </x:c>
      <x:c r="K262" s="2" t="s">
        <x:v>126</x:v>
      </x:c>
      <x:c r="L262" s="2" t="s">
        <x:v>110</x:v>
      </x:c>
      <x:c r="M262" s="2"/>
      <x:c r="N262" s="2">
        <x:v>0.3</x:v>
      </x:c>
      <x:c r="O262" s="2">
        <x:v>0.26</x:v>
      </x:c>
      <x:c r="P262" s="2">
        <x:v>0.36</x:v>
      </x:c>
      <x:c r="Q262" s="2" t="s">
        <x:v>121</x:v>
      </x:c>
      <x:c r="R262" s="2">
        <x:v>0.3</x:v>
      </x:c>
      <x:c r="S262" s="2" t="s">
        <x:v>121</x:v>
      </x:c>
      <x:c r="T262" s="2">
        <x:v>25</x:v>
      </x:c>
      <x:c r="U262" s="2">
        <x:v>15</x:v>
      </x:c>
      <x:c r="V262" s="2"/>
      <x:c r="W262" s="2"/>
      <x:c r="X262" s="2" t="s">
        <x:v>246</x:v>
      </x:c>
      <x:c r="Y262" s="2" t="s">
        <x:v>113</x:v>
      </x:c>
      <x:c r="Z262" s="2" t="s">
        <x:v>114</x:v>
      </x:c>
    </x:row>
    <x:row r="263" ht="27">
      <x:c r="A263" s="2">
        <x:v>1928</x:v>
      </x:c>
      <x:c r="B263" s="2">
        <x:v>1135993</x:v>
      </x:c>
      <x:c r="C263" s="2">
        <x:v>90613</x:v>
      </x:c>
      <x:c r="D263" s="2">
        <x:v>11097</x:v>
      </x:c>
      <x:c r="E263" s="2" t="s">
        <x:v>16</x:v>
      </x:c>
      <x:c r="F263" s="2" t="s">
        <x:v>279</x:v>
      </x:c>
      <x:c r="G263" s="2" t="s">
        <x:v>116</x:v>
      </x:c>
      <x:c r="H263" s="2" t="s">
        <x:v>107</x:v>
      </x:c>
      <x:c r="I263" s="2"/>
      <x:c r="J263" s="2">
        <x:v>2</x:v>
      </x:c>
      <x:c r="K263" s="2" t="s">
        <x:v>117</x:v>
      </x:c>
      <x:c r="L263" s="2" t="s">
        <x:v>110</x:v>
      </x:c>
      <x:c r="M263" s="2"/>
      <x:c r="N263" s="2">
        <x:v>872.7</x:v>
      </x:c>
      <x:c r="O263" s="2"/>
      <x:c r="P263" s="2"/>
      <x:c r="Q263" s="2" t="s">
        <x:v>111</x:v>
      </x:c>
      <x:c r="R263" s="2">
        <x:v>872.7</x:v>
      </x:c>
      <x:c r="S263" s="2" t="s">
        <x:v>111</x:v>
      </x:c>
      <x:c r="T263" s="2">
        <x:v>18</x:v>
      </x:c>
      <x:c r="U263" s="2">
        <x:v>38</x:v>
      </x:c>
      <x:c r="V263" s="2"/>
      <x:c r="W263" s="2"/>
      <x:c r="X263" s="2" t="s">
        <x:v>239</x:v>
      </x:c>
      <x:c r="Y263" s="2" t="s">
        <x:v>113</x:v>
      </x:c>
      <x:c r="Z263" s="2" t="s">
        <x:v>114</x:v>
      </x:c>
    </x:row>
    <x:row r="264" ht="27">
      <x:c r="A264" s="2">
        <x:v>1932</x:v>
      </x:c>
      <x:c r="B264" s="2">
        <x:v>1070633</x:v>
      </x:c>
      <x:c r="C264" s="2">
        <x:v>15838</x:v>
      </x:c>
      <x:c r="D264" s="2">
        <x:v>5563</x:v>
      </x:c>
      <x:c r="E264" s="2" t="s">
        <x:v>16</x:v>
      </x:c>
      <x:c r="F264" s="2" t="s">
        <x:v>279</x:v>
      </x:c>
      <x:c r="G264" s="2" t="s">
        <x:v>202</x:v>
      </x:c>
      <x:c r="H264" s="2" t="s">
        <x:v>135</x:v>
      </x:c>
      <x:c r="I264" s="2" t="s">
        <x:v>159</x:v>
      </x:c>
      <x:c r="J264" s="2">
        <x:v>1</x:v>
      </x:c>
      <x:c r="K264" s="2" t="s">
        <x:v>117</x:v>
      </x:c>
      <x:c r="L264" s="2" t="s">
        <x:v>110</x:v>
      </x:c>
      <x:c r="M264" s="2"/>
      <x:c r="N264" s="2">
        <x:v>2710</x:v>
      </x:c>
      <x:c r="O264" s="2">
        <x:v>2070</x:v>
      </x:c>
      <x:c r="P264" s="2">
        <x:v>5220</x:v>
      </x:c>
      <x:c r="Q264" s="2" t="s">
        <x:v>111</x:v>
      </x:c>
      <x:c r="R264" s="2">
        <x:v>2710</x:v>
      </x:c>
      <x:c r="S264" s="2" t="s">
        <x:v>111</x:v>
      </x:c>
      <x:c r="T264" s="2">
        <x:v>17</x:v>
      </x:c>
      <x:c r="U264" s="2"/>
      <x:c r="V264" s="2"/>
      <x:c r="W264" s="2"/>
      <x:c r="X264" s="2" t="s">
        <x:v>200</x:v>
      </x:c>
      <x:c r="Y264" s="2" t="s">
        <x:v>113</x:v>
      </x:c>
      <x:c r="Z264" s="2" t="s">
        <x:v>114</x:v>
      </x:c>
    </x:row>
    <x:row r="265" ht="27">
      <x:c r="A265" s="2">
        <x:v>1944</x:v>
      </x:c>
      <x:c r="B265" s="2">
        <x:v>2307791</x:v>
      </x:c>
      <x:c r="C265" s="2">
        <x:v>2748533</x:v>
      </x:c>
      <x:c r="D265" s="2">
        <x:v>192310</x:v>
      </x:c>
      <x:c r="E265" s="2" t="s">
        <x:v>16</x:v>
      </x:c>
      <x:c r="F265" s="2" t="s">
        <x:v>279</x:v>
      </x:c>
      <x:c r="G265" s="2" t="s">
        <x:v>233</x:v>
      </x:c>
      <x:c r="H265" s="2" t="s">
        <x:v>234</x:v>
      </x:c>
      <x:c r="I265" s="2" t="s">
        <x:v>108</x:v>
      </x:c>
      <x:c r="J265" s="2">
        <x:v>4</x:v>
      </x:c>
      <x:c r="K265" s="2" t="s">
        <x:v>126</x:v>
      </x:c>
      <x:c r="L265" s="2" t="s">
        <x:v>120</x:v>
      </x:c>
      <x:c r="M265" s="2"/>
      <x:c r="N265" s="2">
        <x:v>1.9E-2</x:v>
      </x:c>
      <x:c r="O265" s="2"/>
      <x:c r="P265" s="2"/>
      <x:c r="Q265" s="2" t="s">
        <x:v>121</x:v>
      </x:c>
      <x:c r="R265" s="2">
        <x:v>1.9E-2</x:v>
      </x:c>
      <x:c r="S265" s="2" t="s">
        <x:v>121</x:v>
      </x:c>
      <x:c r="T265" s="2">
        <x:v>26</x:v>
      </x:c>
      <x:c r="U265" s="2">
        <x:v>29.5</x:v>
      </x:c>
      <x:c r="V265" s="2">
        <x:v>7.8</x:v>
      </x:c>
      <x:c r="W265" s="2"/>
      <x:c r="X265" s="2" t="s">
        <x:v>232</x:v>
      </x:c>
      <x:c r="Y265" s="2" t="s">
        <x:v>113</x:v>
      </x:c>
      <x:c r="Z265" s="2" t="s">
        <x:v>114</x:v>
      </x:c>
    </x:row>
    <x:row r="266" ht="27">
      <x:c r="A266" s="2">
        <x:v>1981</x:v>
      </x:c>
      <x:c r="B266" s="2">
        <x:v>1070632</x:v>
      </x:c>
      <x:c r="C266" s="2">
        <x:v>15837</x:v>
      </x:c>
      <x:c r="D266" s="2">
        <x:v>5563</x:v>
      </x:c>
      <x:c r="E266" s="2" t="s">
        <x:v>16</x:v>
      </x:c>
      <x:c r="F266" s="2" t="s">
        <x:v>279</x:v>
      </x:c>
      <x:c r="G266" s="2" t="s">
        <x:v>203</x:v>
      </x:c>
      <x:c r="H266" s="2" t="s">
        <x:v>135</x:v>
      </x:c>
      <x:c r="I266" s="2" t="s">
        <x:v>159</x:v>
      </x:c>
      <x:c r="J266" s="2">
        <x:v>1</x:v>
      </x:c>
      <x:c r="K266" s="2" t="s">
        <x:v>117</x:v>
      </x:c>
      <x:c r="L266" s="2" t="s">
        <x:v>110</x:v>
      </x:c>
      <x:c r="M266" s="2"/>
      <x:c r="N266" s="2">
        <x:v>1370</x:v>
      </x:c>
      <x:c r="O266" s="2">
        <x:v>1050</x:v>
      </x:c>
      <x:c r="P266" s="2">
        <x:v>1760</x:v>
      </x:c>
      <x:c r="Q266" s="2" t="s">
        <x:v>111</x:v>
      </x:c>
      <x:c r="R266" s="2">
        <x:v>1370</x:v>
      </x:c>
      <x:c r="S266" s="2" t="s">
        <x:v>111</x:v>
      </x:c>
      <x:c r="T266" s="2">
        <x:v>17</x:v>
      </x:c>
      <x:c r="U266" s="2"/>
      <x:c r="V266" s="2"/>
      <x:c r="W266" s="2"/>
      <x:c r="X266" s="2" t="s">
        <x:v>200</x:v>
      </x:c>
      <x:c r="Y266" s="2" t="s">
        <x:v>113</x:v>
      </x:c>
      <x:c r="Z266" s="2" t="s">
        <x:v>114</x:v>
      </x:c>
    </x:row>
    <x:row r="267" ht="27">
      <x:c r="A267" s="2">
        <x:v>2000</x:v>
      </x:c>
      <x:c r="B267" s="2">
        <x:v>2307795</x:v>
      </x:c>
      <x:c r="C267" s="2">
        <x:v>2748541</x:v>
      </x:c>
      <x:c r="D267" s="2">
        <x:v>192310</x:v>
      </x:c>
      <x:c r="E267" s="2" t="s">
        <x:v>16</x:v>
      </x:c>
      <x:c r="F267" s="2" t="s">
        <x:v>279</x:v>
      </x:c>
      <x:c r="G267" s="2" t="s">
        <x:v>231</x:v>
      </x:c>
      <x:c r="H267" s="2" t="s">
        <x:v>135</x:v>
      </x:c>
      <x:c r="I267" s="2" t="s">
        <x:v>108</x:v>
      </x:c>
      <x:c r="J267" s="2">
        <x:v>4</x:v>
      </x:c>
      <x:c r="K267" s="2" t="s">
        <x:v>126</x:v>
      </x:c>
      <x:c r="L267" s="2" t="s">
        <x:v>120</x:v>
      </x:c>
      <x:c r="M267" s="2"/>
      <x:c r="N267" s="2">
        <x:v>3.2000000000000001E-2</x:v>
      </x:c>
      <x:c r="O267" s="2"/>
      <x:c r="P267" s="2"/>
      <x:c r="Q267" s="2" t="s">
        <x:v>121</x:v>
      </x:c>
      <x:c r="R267" s="2">
        <x:v>3.2000000000000001E-2</x:v>
      </x:c>
      <x:c r="S267" s="2" t="s">
        <x:v>121</x:v>
      </x:c>
      <x:c r="T267" s="2">
        <x:v>26</x:v>
      </x:c>
      <x:c r="U267" s="2">
        <x:v>29.5</x:v>
      </x:c>
      <x:c r="V267" s="2">
        <x:v>7.8</x:v>
      </x:c>
      <x:c r="W267" s="2"/>
      <x:c r="X267" s="2" t="s">
        <x:v>232</x:v>
      </x:c>
      <x:c r="Y267" s="2" t="s">
        <x:v>113</x:v>
      </x:c>
      <x:c r="Z267" s="2" t="s">
        <x:v>114</x:v>
      </x:c>
    </x:row>
    <x:row r="268" ht="27">
      <x:c r="A268" s="2">
        <x:v>2009</x:v>
      </x:c>
      <x:c r="B268" s="2">
        <x:v>1135991</x:v>
      </x:c>
      <x:c r="C268" s="2">
        <x:v>90611</x:v>
      </x:c>
      <x:c r="D268" s="2">
        <x:v>11097</x:v>
      </x:c>
      <x:c r="E268" s="2" t="s">
        <x:v>16</x:v>
      </x:c>
      <x:c r="F268" s="2" t="s">
        <x:v>279</x:v>
      </x:c>
      <x:c r="G268" s="2" t="s">
        <x:v>116</x:v>
      </x:c>
      <x:c r="H268" s="2" t="s">
        <x:v>107</x:v>
      </x:c>
      <x:c r="I268" s="2" t="s">
        <x:v>224</x:v>
      </x:c>
      <x:c r="J268" s="2">
        <x:v>2</x:v>
      </x:c>
      <x:c r="K268" s="2" t="s">
        <x:v>117</x:v>
      </x:c>
      <x:c r="L268" s="2" t="s">
        <x:v>110</x:v>
      </x:c>
      <x:c r="M268" s="2"/>
      <x:c r="N268" s="2">
        <x:v>906.1</x:v>
      </x:c>
      <x:c r="O268" s="2"/>
      <x:c r="P268" s="2"/>
      <x:c r="Q268" s="2" t="s">
        <x:v>111</x:v>
      </x:c>
      <x:c r="R268" s="2">
        <x:v>906.1</x:v>
      </x:c>
      <x:c r="S268" s="2" t="s">
        <x:v>111</x:v>
      </x:c>
      <x:c r="T268" s="2">
        <x:v>18</x:v>
      </x:c>
      <x:c r="U268" s="2">
        <x:v>38</x:v>
      </x:c>
      <x:c r="V268" s="2"/>
      <x:c r="W268" s="2"/>
      <x:c r="X268" s="2" t="s">
        <x:v>239</x:v>
      </x:c>
      <x:c r="Y268" s="2" t="s">
        <x:v>113</x:v>
      </x:c>
      <x:c r="Z268" s="2" t="s">
        <x:v>114</x:v>
      </x:c>
    </x:row>
    <x:row r="269" ht="27">
      <x:c r="A269" s="2">
        <x:v>2014</x:v>
      </x:c>
      <x:c r="B269" s="2">
        <x:v>1135990</x:v>
      </x:c>
      <x:c r="C269" s="2">
        <x:v>90610</x:v>
      </x:c>
      <x:c r="D269" s="2">
        <x:v>11097</x:v>
      </x:c>
      <x:c r="E269" s="2" t="s">
        <x:v>16</x:v>
      </x:c>
      <x:c r="F269" s="2" t="s">
        <x:v>279</x:v>
      </x:c>
      <x:c r="G269" s="2" t="s">
        <x:v>116</x:v>
      </x:c>
      <x:c r="H269" s="2" t="s">
        <x:v>107</x:v>
      </x:c>
      <x:c r="I269" s="2" t="s">
        <x:v>125</x:v>
      </x:c>
      <x:c r="J269" s="2">
        <x:v>2</x:v>
      </x:c>
      <x:c r="K269" s="2" t="s">
        <x:v>117</x:v>
      </x:c>
      <x:c r="L269" s="2" t="s">
        <x:v>110</x:v>
      </x:c>
      <x:c r="M269" s="2"/>
      <x:c r="N269" s="2">
        <x:v>645</x:v>
      </x:c>
      <x:c r="O269" s="2"/>
      <x:c r="P269" s="2"/>
      <x:c r="Q269" s="2" t="s">
        <x:v>111</x:v>
      </x:c>
      <x:c r="R269" s="2">
        <x:v>645</x:v>
      </x:c>
      <x:c r="S269" s="2" t="s">
        <x:v>111</x:v>
      </x:c>
      <x:c r="T269" s="2">
        <x:v>18</x:v>
      </x:c>
      <x:c r="U269" s="2">
        <x:v>38</x:v>
      </x:c>
      <x:c r="V269" s="2"/>
      <x:c r="W269" s="2"/>
      <x:c r="X269" s="2" t="s">
        <x:v>239</x:v>
      </x:c>
      <x:c r="Y269" s="2" t="s">
        <x:v>113</x:v>
      </x:c>
      <x:c r="Z269" s="2" t="s">
        <x:v>114</x:v>
      </x:c>
    </x:row>
    <x:row r="270" ht="27">
      <x:c r="A270" s="2">
        <x:v>2021</x:v>
      </x:c>
      <x:c r="B270" s="2">
        <x:v>1165807</x:v>
      </x:c>
      <x:c r="C270" s="2">
        <x:v>189248</x:v>
      </x:c>
      <x:c r="D270" s="2">
        <x:v>14601</x:v>
      </x:c>
      <x:c r="E270" s="2" t="s">
        <x:v>16</x:v>
      </x:c>
      <x:c r="F270" s="2" t="s">
        <x:v>279</x:v>
      </x:c>
      <x:c r="G270" s="2" t="s">
        <x:v>146</x:v>
      </x:c>
      <x:c r="H270" s="2" t="s">
        <x:v>135</x:v>
      </x:c>
      <x:c r="I270" s="2" t="s">
        <x:v>108</x:v>
      </x:c>
      <x:c r="J270" s="2">
        <x:v>3</x:v>
      </x:c>
      <x:c r="K270" s="2" t="s">
        <x:v>117</x:v>
      </x:c>
      <x:c r="L270" s="2" t="s">
        <x:v>110</x:v>
      </x:c>
      <x:c r="M270" s="2"/>
      <x:c r="N270" s="2">
        <x:v>1910</x:v>
      </x:c>
      <x:c r="O270" s="2">
        <x:v>1350</x:v>
      </x:c>
      <x:c r="P270" s="2">
        <x:v>2708</x:v>
      </x:c>
      <x:c r="Q270" s="2" t="s">
        <x:v>111</x:v>
      </x:c>
      <x:c r="R270" s="2">
        <x:v>1910</x:v>
      </x:c>
      <x:c r="S270" s="2" t="s">
        <x:v>111</x:v>
      </x:c>
      <x:c r="T270" s="2">
        <x:v>15</x:v>
      </x:c>
      <x:c r="U270" s="2">
        <x:v>30</x:v>
      </x:c>
      <x:c r="V270" s="2"/>
      <x:c r="W270" s="2"/>
      <x:c r="X270" s="2" t="s">
        <x:v>280</x:v>
      </x:c>
      <x:c r="Y270" s="2" t="s">
        <x:v>113</x:v>
      </x:c>
      <x:c r="Z270" s="2" t="s">
        <x:v>114</x:v>
      </x:c>
    </x:row>
    <x:row r="271" ht="27">
      <x:c r="A271" s="2">
        <x:v>2062</x:v>
      </x:c>
      <x:c r="B271" s="2">
        <x:v>1135989</x:v>
      </x:c>
      <x:c r="C271" s="2">
        <x:v>90609</x:v>
      </x:c>
      <x:c r="D271" s="2">
        <x:v>11097</x:v>
      </x:c>
      <x:c r="E271" s="2" t="s">
        <x:v>16</x:v>
      </x:c>
      <x:c r="F271" s="2" t="s">
        <x:v>279</x:v>
      </x:c>
      <x:c r="G271" s="2" t="s">
        <x:v>116</x:v>
      </x:c>
      <x:c r="H271" s="2" t="s">
        <x:v>107</x:v>
      </x:c>
      <x:c r="I271" s="2" t="s">
        <x:v>125</x:v>
      </x:c>
      <x:c r="J271" s="2">
        <x:v>2</x:v>
      </x:c>
      <x:c r="K271" s="2" t="s">
        <x:v>117</x:v>
      </x:c>
      <x:c r="L271" s="2" t="s">
        <x:v>110</x:v>
      </x:c>
      <x:c r="M271" s="2"/>
      <x:c r="N271" s="2">
        <x:v>538.4</x:v>
      </x:c>
      <x:c r="O271" s="2"/>
      <x:c r="P271" s="2"/>
      <x:c r="Q271" s="2" t="s">
        <x:v>111</x:v>
      </x:c>
      <x:c r="R271" s="2">
        <x:v>538.4</x:v>
      </x:c>
      <x:c r="S271" s="2" t="s">
        <x:v>111</x:v>
      </x:c>
      <x:c r="T271" s="2">
        <x:v>18</x:v>
      </x:c>
      <x:c r="U271" s="2">
        <x:v>38</x:v>
      </x:c>
      <x:c r="V271" s="2"/>
      <x:c r="W271" s="2"/>
      <x:c r="X271" s="2" t="s">
        <x:v>239</x:v>
      </x:c>
      <x:c r="Y271" s="2" t="s">
        <x:v>113</x:v>
      </x:c>
      <x:c r="Z271" s="2" t="s">
        <x:v>114</x:v>
      </x:c>
    </x:row>
    <x:row r="272" ht="27">
      <x:c r="A272" s="2">
        <x:v>2092</x:v>
      </x:c>
      <x:c r="B272" s="2">
        <x:v>1135992</x:v>
      </x:c>
      <x:c r="C272" s="2">
        <x:v>90612</x:v>
      </x:c>
      <x:c r="D272" s="2">
        <x:v>11097</x:v>
      </x:c>
      <x:c r="E272" s="2" t="s">
        <x:v>16</x:v>
      </x:c>
      <x:c r="F272" s="2" t="s">
        <x:v>279</x:v>
      </x:c>
      <x:c r="G272" s="2" t="s">
        <x:v>116</x:v>
      </x:c>
      <x:c r="H272" s="2" t="s">
        <x:v>107</x:v>
      </x:c>
      <x:c r="I272" s="2"/>
      <x:c r="J272" s="2">
        <x:v>2</x:v>
      </x:c>
      <x:c r="K272" s="2" t="s">
        <x:v>117</x:v>
      </x:c>
      <x:c r="L272" s="2" t="s">
        <x:v>110</x:v>
      </x:c>
      <x:c r="M272" s="2"/>
      <x:c r="N272" s="2">
        <x:v>916.6</x:v>
      </x:c>
      <x:c r="O272" s="2"/>
      <x:c r="P272" s="2"/>
      <x:c r="Q272" s="2" t="s">
        <x:v>111</x:v>
      </x:c>
      <x:c r="R272" s="2">
        <x:v>916.6</x:v>
      </x:c>
      <x:c r="S272" s="2" t="s">
        <x:v>111</x:v>
      </x:c>
      <x:c r="T272" s="2">
        <x:v>18</x:v>
      </x:c>
      <x:c r="U272" s="2">
        <x:v>38</x:v>
      </x:c>
      <x:c r="V272" s="2"/>
      <x:c r="W272" s="2"/>
      <x:c r="X272" s="2" t="s">
        <x:v>239</x:v>
      </x:c>
      <x:c r="Y272" s="2" t="s">
        <x:v>113</x:v>
      </x:c>
      <x:c r="Z272" s="2" t="s">
        <x:v>114</x:v>
      </x:c>
    </x:row>
    <x:row r="273" ht="27">
      <x:c r="A273" s="2">
        <x:v>2093</x:v>
      </x:c>
      <x:c r="B273" s="2">
        <x:v>1070634</x:v>
      </x:c>
      <x:c r="C273" s="2">
        <x:v>15839</x:v>
      </x:c>
      <x:c r="D273" s="2">
        <x:v>5563</x:v>
      </x:c>
      <x:c r="E273" s="2" t="s">
        <x:v>16</x:v>
      </x:c>
      <x:c r="F273" s="2" t="s">
        <x:v>279</x:v>
      </x:c>
      <x:c r="G273" s="2" t="s">
        <x:v>199</x:v>
      </x:c>
      <x:c r="H273" s="2" t="s">
        <x:v>107</x:v>
      </x:c>
      <x:c r="I273" s="2" t="s">
        <x:v>159</x:v>
      </x:c>
      <x:c r="J273" s="2">
        <x:v>1</x:v>
      </x:c>
      <x:c r="K273" s="2" t="s">
        <x:v>117</x:v>
      </x:c>
      <x:c r="L273" s="2" t="s">
        <x:v>110</x:v>
      </x:c>
      <x:c r="M273" s="2"/>
      <x:c r="N273" s="2">
        <x:v>660</x:v>
      </x:c>
      <x:c r="O273" s="2">
        <x:v>470</x:v>
      </x:c>
      <x:c r="P273" s="2">
        <x:v>970</x:v>
      </x:c>
      <x:c r="Q273" s="2" t="s">
        <x:v>111</x:v>
      </x:c>
      <x:c r="R273" s="2">
        <x:v>660</x:v>
      </x:c>
      <x:c r="S273" s="2" t="s">
        <x:v>111</x:v>
      </x:c>
      <x:c r="T273" s="2">
        <x:v>17</x:v>
      </x:c>
      <x:c r="U273" s="2"/>
      <x:c r="V273" s="2"/>
      <x:c r="W273" s="2"/>
      <x:c r="X273" s="2" t="s">
        <x:v>200</x:v>
      </x:c>
      <x:c r="Y273" s="2" t="s">
        <x:v>113</x:v>
      </x:c>
      <x:c r="Z273" s="2" t="s">
        <x:v>114</x:v>
      </x:c>
    </x:row>
    <x:row r="274">
      <x:c r="A274" s="2">
        <x:v>2128</x:v>
      </x:c>
      <x:c r="B274" s="2">
        <x:v>1129768</x:v>
      </x:c>
      <x:c r="C274" s="2">
        <x:v>85199</x:v>
      </x:c>
      <x:c r="D274" s="2">
        <x:v>10443</x:v>
      </x:c>
      <x:c r="E274" s="2" t="s">
        <x:v>16</x:v>
      </x:c>
      <x:c r="F274" s="2" t="s">
        <x:v>279</x:v>
      </x:c>
      <x:c r="G274" s="2" t="s">
        <x:v>150</x:v>
      </x:c>
      <x:c r="H274" s="2" t="s">
        <x:v>135</x:v>
      </x:c>
      <x:c r="I274" s="2" t="s">
        <x:v>125</x:v>
      </x:c>
      <x:c r="J274" s="2">
        <x:v>4</x:v>
      </x:c>
      <x:c r="K274" s="2" t="s">
        <x:v>117</x:v>
      </x:c>
      <x:c r="L274" s="2" t="s">
        <x:v>110</x:v>
      </x:c>
      <x:c r="M274" s="2"/>
      <x:c r="N274" s="2">
        <x:v>60</x:v>
      </x:c>
      <x:c r="O274" s="2">
        <x:v>1</x:v>
      </x:c>
      <x:c r="P274" s="2">
        <x:v>200</x:v>
      </x:c>
      <x:c r="Q274" s="2" t="s">
        <x:v>111</x:v>
      </x:c>
      <x:c r="R274" s="2">
        <x:v>60</x:v>
      </x:c>
      <x:c r="S274" s="2" t="s">
        <x:v>111</x:v>
      </x:c>
      <x:c r="T274" s="2">
        <x:v>22</x:v>
      </x:c>
      <x:c r="U274" s="2">
        <x:v>10</x:v>
      </x:c>
      <x:c r="V274" s="2"/>
      <x:c r="W274" s="2"/>
      <x:c r="X274" s="2" t="s">
        <x:v>284</x:v>
      </x:c>
      <x:c r="Y274" s="2" t="s">
        <x:v>113</x:v>
      </x:c>
      <x:c r="Z274" s="2" t="s">
        <x:v>114</x:v>
      </x:c>
    </x:row>
    <x:row r="275" ht="40.5">
      <x:c r="A275" s="2">
        <x:v>2132</x:v>
      </x:c>
      <x:c r="B275" s="2">
        <x:v>1116278</x:v>
      </x:c>
      <x:c r="C275" s="2">
        <x:v>107520</x:v>
      </x:c>
      <x:c r="D275" s="2">
        <x:v>9029</x:v>
      </x:c>
      <x:c r="E275" s="2" t="s">
        <x:v>16</x:v>
      </x:c>
      <x:c r="F275" s="2" t="s">
        <x:v>279</x:v>
      </x:c>
      <x:c r="G275" s="2" t="s">
        <x:v>134</x:v>
      </x:c>
      <x:c r="H275" s="2" t="s">
        <x:v>135</x:v>
      </x:c>
      <x:c r="I275" s="2" t="s">
        <x:v>108</x:v>
      </x:c>
      <x:c r="J275" s="2">
        <x:v>4</x:v>
      </x:c>
      <x:c r="K275" s="2" t="s">
        <x:v>117</x:v>
      </x:c>
      <x:c r="L275" s="2" t="s">
        <x:v>110</x:v>
      </x:c>
      <x:c r="M275" s="2"/>
      <x:c r="N275" s="2">
        <x:v>151</x:v>
      </x:c>
      <x:c r="O275" s="2">
        <x:v>120</x:v>
      </x:c>
      <x:c r="P275" s="2">
        <x:v>191</x:v>
      </x:c>
      <x:c r="Q275" s="2" t="s">
        <x:v>111</x:v>
      </x:c>
      <x:c r="R275" s="2">
        <x:v>151</x:v>
      </x:c>
      <x:c r="S275" s="2" t="s">
        <x:v>111</x:v>
      </x:c>
      <x:c r="T275" s="2">
        <x:v>13</x:v>
      </x:c>
      <x:c r="U275" s="2">
        <x:v>20</x:v>
      </x:c>
      <x:c r="V275" s="2"/>
      <x:c r="W275" s="2"/>
      <x:c r="X275" s="2" t="s">
        <x:v>285</x:v>
      </x:c>
      <x:c r="Y275" s="2" t="s">
        <x:v>113</x:v>
      </x:c>
      <x:c r="Z275" s="2" t="s">
        <x:v>114</x:v>
      </x:c>
    </x:row>
    <x:row r="276">
      <x:c r="A276" s="2">
        <x:v>2137</x:v>
      </x:c>
      <x:c r="B276" s="2">
        <x:v>1129769</x:v>
      </x:c>
      <x:c r="C276" s="2">
        <x:v>85200</x:v>
      </x:c>
      <x:c r="D276" s="2">
        <x:v>10443</x:v>
      </x:c>
      <x:c r="E276" s="2" t="s">
        <x:v>16</x:v>
      </x:c>
      <x:c r="F276" s="2" t="s">
        <x:v>279</x:v>
      </x:c>
      <x:c r="G276" s="2" t="s">
        <x:v>134</x:v>
      </x:c>
      <x:c r="H276" s="2" t="s">
        <x:v>135</x:v>
      </x:c>
      <x:c r="I276" s="2" t="s">
        <x:v>125</x:v>
      </x:c>
      <x:c r="J276" s="2">
        <x:v>4</x:v>
      </x:c>
      <x:c r="K276" s="2" t="s">
        <x:v>117</x:v>
      </x:c>
      <x:c r="L276" s="2" t="s">
        <x:v>110</x:v>
      </x:c>
      <x:c r="M276" s="2"/>
      <x:c r="N276" s="2">
        <x:v>380</x:v>
      </x:c>
      <x:c r="O276" s="2">
        <x:v>6</x:v>
      </x:c>
      <x:c r="P276" s="2">
        <x:v>1520</x:v>
      </x:c>
      <x:c r="Q276" s="2" t="s">
        <x:v>111</x:v>
      </x:c>
      <x:c r="R276" s="2">
        <x:v>380</x:v>
      </x:c>
      <x:c r="S276" s="2" t="s">
        <x:v>111</x:v>
      </x:c>
      <x:c r="T276" s="2">
        <x:v>22</x:v>
      </x:c>
      <x:c r="U276" s="2">
        <x:v>10</x:v>
      </x:c>
      <x:c r="V276" s="2"/>
      <x:c r="W276" s="2"/>
      <x:c r="X276" s="2" t="s">
        <x:v>284</x:v>
      </x:c>
      <x:c r="Y276" s="2" t="s">
        <x:v>113</x:v>
      </x:c>
      <x:c r="Z276" s="2" t="s">
        <x:v>114</x:v>
      </x:c>
    </x:row>
    <x:row r="277" ht="40.5">
      <x:c r="A277" s="2">
        <x:v>2144</x:v>
      </x:c>
      <x:c r="B277" s="2">
        <x:v>1159839</x:v>
      </x:c>
      <x:c r="C277" s="2">
        <x:v>142848</x:v>
      </x:c>
      <x:c r="D277" s="2">
        <x:v>14137</x:v>
      </x:c>
      <x:c r="E277" s="2" t="s">
        <x:v>16</x:v>
      </x:c>
      <x:c r="F277" s="2" t="s">
        <x:v>279</x:v>
      </x:c>
      <x:c r="G277" s="2" t="s">
        <x:v>132</x:v>
      </x:c>
      <x:c r="H277" s="2" t="s">
        <x:v>107</x:v>
      </x:c>
      <x:c r="I277" s="2" t="s">
        <x:v>108</x:v>
      </x:c>
      <x:c r="J277" s="2">
        <x:v>4</x:v>
      </x:c>
      <x:c r="K277" s="2" t="s">
        <x:v>126</x:v>
      </x:c>
      <x:c r="L277" s="2" t="s">
        <x:v>110</x:v>
      </x:c>
      <x:c r="M277" s="2"/>
      <x:c r="N277" s="2">
        <x:v>340</x:v>
      </x:c>
      <x:c r="O277" s="2"/>
      <x:c r="P277" s="2"/>
      <x:c r="Q277" s="2" t="s">
        <x:v>111</x:v>
      </x:c>
      <x:c r="R277" s="2">
        <x:v>340</x:v>
      </x:c>
      <x:c r="S277" s="2" t="s">
        <x:v>111</x:v>
      </x:c>
      <x:c r="T277" s="2"/>
      <x:c r="U277" s="2"/>
      <x:c r="V277" s="2"/>
      <x:c r="W277" s="2"/>
      <x:c r="X277" s="2" t="s">
        <x:v>133</x:v>
      </x:c>
      <x:c r="Y277" s="2" t="s">
        <x:v>113</x:v>
      </x:c>
      <x:c r="Z277" s="2" t="s">
        <x:v>114</x:v>
      </x:c>
    </x:row>
    <x:row r="278" ht="40.5">
      <x:c r="A278" s="2">
        <x:v>2154</x:v>
      </x:c>
      <x:c r="B278" s="2">
        <x:v>1159838</x:v>
      </x:c>
      <x:c r="C278" s="2">
        <x:v>142847</x:v>
      </x:c>
      <x:c r="D278" s="2">
        <x:v>14137</x:v>
      </x:c>
      <x:c r="E278" s="2" t="s">
        <x:v>16</x:v>
      </x:c>
      <x:c r="F278" s="2" t="s">
        <x:v>279</x:v>
      </x:c>
      <x:c r="G278" s="2" t="s">
        <x:v>132</x:v>
      </x:c>
      <x:c r="H278" s="2" t="s">
        <x:v>107</x:v>
      </x:c>
      <x:c r="I278" s="2" t="s">
        <x:v>125</x:v>
      </x:c>
      <x:c r="J278" s="2">
        <x:v>4</x:v>
      </x:c>
      <x:c r="K278" s="2" t="s">
        <x:v>126</x:v>
      </x:c>
      <x:c r="L278" s="2" t="s">
        <x:v>110</x:v>
      </x:c>
      <x:c r="M278" s="2"/>
      <x:c r="N278" s="2">
        <x:v>460</x:v>
      </x:c>
      <x:c r="O278" s="2"/>
      <x:c r="P278" s="2"/>
      <x:c r="Q278" s="2" t="s">
        <x:v>111</x:v>
      </x:c>
      <x:c r="R278" s="2">
        <x:v>460</x:v>
      </x:c>
      <x:c r="S278" s="2" t="s">
        <x:v>111</x:v>
      </x:c>
      <x:c r="T278" s="2"/>
      <x:c r="U278" s="2"/>
      <x:c r="V278" s="2"/>
      <x:c r="W278" s="2"/>
      <x:c r="X278" s="2" t="s">
        <x:v>133</x:v>
      </x:c>
      <x:c r="Y278" s="2" t="s">
        <x:v>113</x:v>
      </x:c>
      <x:c r="Z278" s="2" t="s">
        <x:v>114</x:v>
      </x:c>
    </x:row>
    <x:row r="279" ht="54">
      <x:c r="A279" s="2">
        <x:v>2155</x:v>
      </x:c>
      <x:c r="B279" s="2">
        <x:v>1210147</x:v>
      </x:c>
      <x:c r="C279" s="2">
        <x:v>186387</x:v>
      </x:c>
      <x:c r="D279" s="2">
        <x:v>19281</x:v>
      </x:c>
      <x:c r="E279" s="2" t="s">
        <x:v>16</x:v>
      </x:c>
      <x:c r="F279" s="2" t="s">
        <x:v>279</x:v>
      </x:c>
      <x:c r="G279" s="2" t="s">
        <x:v>226</x:v>
      </x:c>
      <x:c r="H279" s="2" t="s">
        <x:v>107</x:v>
      </x:c>
      <x:c r="I279" s="2"/>
      <x:c r="J279" s="2">
        <x:v>4</x:v>
      </x:c>
      <x:c r="K279" s="2" t="s">
        <x:v>117</x:v>
      </x:c>
      <x:c r="L279" s="2" t="s">
        <x:v>110</x:v>
      </x:c>
      <x:c r="M279" s="2"/>
      <x:c r="N279" s="2">
        <x:v>47.9</x:v>
      </x:c>
      <x:c r="O279" s="2">
        <x:v>45.8</x:v>
      </x:c>
      <x:c r="P279" s="2">
        <x:v>50</x:v>
      </x:c>
      <x:c r="Q279" s="2" t="s">
        <x:v>111</x:v>
      </x:c>
      <x:c r="R279" s="2">
        <x:v>47.9</x:v>
      </x:c>
      <x:c r="S279" s="2" t="s">
        <x:v>111</x:v>
      </x:c>
      <x:c r="T279" s="2">
        <x:v>20</x:v>
      </x:c>
      <x:c r="U279" s="2"/>
      <x:c r="V279" s="2"/>
      <x:c r="W279" s="2"/>
      <x:c r="X279" s="2" t="s">
        <x:v>286</x:v>
      </x:c>
      <x:c r="Y279" s="2" t="s">
        <x:v>113</x:v>
      </x:c>
      <x:c r="Z279" s="2" t="s">
        <x:v>114</x:v>
      </x:c>
    </x:row>
    <x:row r="280" ht="54">
      <x:c r="A280" s="2">
        <x:v>2158</x:v>
      </x:c>
      <x:c r="B280" s="2">
        <x:v>1210145</x:v>
      </x:c>
      <x:c r="C280" s="2">
        <x:v>186385</x:v>
      </x:c>
      <x:c r="D280" s="2">
        <x:v>19281</x:v>
      </x:c>
      <x:c r="E280" s="2" t="s">
        <x:v>16</x:v>
      </x:c>
      <x:c r="F280" s="2" t="s">
        <x:v>279</x:v>
      </x:c>
      <x:c r="G280" s="2" t="s">
        <x:v>226</x:v>
      </x:c>
      <x:c r="H280" s="2" t="s">
        <x:v>107</x:v>
      </x:c>
      <x:c r="I280" s="2" t="s">
        <x:v>125</x:v>
      </x:c>
      <x:c r="J280" s="2">
        <x:v>4</x:v>
      </x:c>
      <x:c r="K280" s="2" t="s">
        <x:v>117</x:v>
      </x:c>
      <x:c r="L280" s="2" t="s">
        <x:v>110</x:v>
      </x:c>
      <x:c r="M280" s="2"/>
      <x:c r="N280" s="2">
        <x:v>17.399999999999999</x:v>
      </x:c>
      <x:c r="O280" s="2">
        <x:v>15.4</x:v>
      </x:c>
      <x:c r="P280" s="2">
        <x:v>19.399999999999999</x:v>
      </x:c>
      <x:c r="Q280" s="2" t="s">
        <x:v>111</x:v>
      </x:c>
      <x:c r="R280" s="2">
        <x:v>17.399999999999999</x:v>
      </x:c>
      <x:c r="S280" s="2" t="s">
        <x:v>111</x:v>
      </x:c>
      <x:c r="T280" s="2">
        <x:v>20</x:v>
      </x:c>
      <x:c r="U280" s="2"/>
      <x:c r="V280" s="2"/>
      <x:c r="W280" s="2"/>
      <x:c r="X280" s="2" t="s">
        <x:v>286</x:v>
      </x:c>
      <x:c r="Y280" s="2" t="s">
        <x:v>113</x:v>
      </x:c>
      <x:c r="Z280" s="2" t="s">
        <x:v>114</x:v>
      </x:c>
    </x:row>
    <x:row r="281" ht="40.5">
      <x:c r="A281" s="2">
        <x:v>2160</x:v>
      </x:c>
      <x:c r="B281" s="2">
        <x:v>1116277</x:v>
      </x:c>
      <x:c r="C281" s="2">
        <x:v>107519</x:v>
      </x:c>
      <x:c r="D281" s="2">
        <x:v>9029</x:v>
      </x:c>
      <x:c r="E281" s="2" t="s">
        <x:v>16</x:v>
      </x:c>
      <x:c r="F281" s="2" t="s">
        <x:v>279</x:v>
      </x:c>
      <x:c r="G281" s="2" t="s">
        <x:v>134</x:v>
      </x:c>
      <x:c r="H281" s="2" t="s">
        <x:v>135</x:v>
      </x:c>
      <x:c r="I281" s="2" t="s">
        <x:v>108</x:v>
      </x:c>
      <x:c r="J281" s="2">
        <x:v>4</x:v>
      </x:c>
      <x:c r="K281" s="2" t="s">
        <x:v>117</x:v>
      </x:c>
      <x:c r="L281" s="2" t="s">
        <x:v>110</x:v>
      </x:c>
      <x:c r="M281" s="2"/>
      <x:c r="N281" s="2">
        <x:v>29</x:v>
      </x:c>
      <x:c r="O281" s="2">
        <x:v>23</x:v>
      </x:c>
      <x:c r="P281" s="2">
        <x:v>37</x:v>
      </x:c>
      <x:c r="Q281" s="2" t="s">
        <x:v>111</x:v>
      </x:c>
      <x:c r="R281" s="2">
        <x:v>29</x:v>
      </x:c>
      <x:c r="S281" s="2" t="s">
        <x:v>111</x:v>
      </x:c>
      <x:c r="T281" s="2">
        <x:v>21</x:v>
      </x:c>
      <x:c r="U281" s="2">
        <x:v>20</x:v>
      </x:c>
      <x:c r="V281" s="2"/>
      <x:c r="W281" s="2"/>
      <x:c r="X281" s="2" t="s">
        <x:v>285</x:v>
      </x:c>
      <x:c r="Y281" s="2" t="s">
        <x:v>113</x:v>
      </x:c>
      <x:c r="Z281" s="2" t="s">
        <x:v>114</x:v>
      </x:c>
    </x:row>
    <x:row r="282" ht="27">
      <x:c r="A282" s="2">
        <x:v>2168</x:v>
      </x:c>
      <x:c r="B282" s="2">
        <x:v>1165805</x:v>
      </x:c>
      <x:c r="C282" s="2">
        <x:v>189246</x:v>
      </x:c>
      <x:c r="D282" s="2">
        <x:v>14601</x:v>
      </x:c>
      <x:c r="E282" s="2" t="s">
        <x:v>16</x:v>
      </x:c>
      <x:c r="F282" s="2" t="s">
        <x:v>279</x:v>
      </x:c>
      <x:c r="G282" s="2" t="s">
        <x:v>141</x:v>
      </x:c>
      <x:c r="H282" s="2" t="s">
        <x:v>135</x:v>
      </x:c>
      <x:c r="I282" s="2" t="s">
        <x:v>108</x:v>
      </x:c>
      <x:c r="J282" s="2">
        <x:v>3</x:v>
      </x:c>
      <x:c r="K282" s="2" t="s">
        <x:v>117</x:v>
      </x:c>
      <x:c r="L282" s="2" t="s">
        <x:v>110</x:v>
      </x:c>
      <x:c r="M282" s="2"/>
      <x:c r="N282" s="2">
        <x:v>409</x:v>
      </x:c>
      <x:c r="O282" s="2">
        <x:v>272</x:v>
      </x:c>
      <x:c r="P282" s="2">
        <x:v>544</x:v>
      </x:c>
      <x:c r="Q282" s="2" t="s">
        <x:v>111</x:v>
      </x:c>
      <x:c r="R282" s="2">
        <x:v>409</x:v>
      </x:c>
      <x:c r="S282" s="2" t="s">
        <x:v>111</x:v>
      </x:c>
      <x:c r="T282" s="2">
        <x:v>10</x:v>
      </x:c>
      <x:c r="U282" s="2">
        <x:v>30</x:v>
      </x:c>
      <x:c r="V282" s="2"/>
      <x:c r="W282" s="2"/>
      <x:c r="X282" s="2" t="s">
        <x:v>280</x:v>
      </x:c>
      <x:c r="Y282" s="2" t="s">
        <x:v>113</x:v>
      </x:c>
      <x:c r="Z282" s="2" t="s">
        <x:v>114</x:v>
      </x:c>
    </x:row>
    <x:row r="283" ht="40.5">
      <x:c r="A283" s="2">
        <x:v>2176</x:v>
      </x:c>
      <x:c r="B283" s="2">
        <x:v>1191628</x:v>
      </x:c>
      <x:c r="C283" s="2">
        <x:v>166350</x:v>
      </x:c>
      <x:c r="D283" s="2">
        <x:v>17219</x:v>
      </x:c>
      <x:c r="E283" s="2" t="s">
        <x:v>16</x:v>
      </x:c>
      <x:c r="F283" s="2" t="s">
        <x:v>279</x:v>
      </x:c>
      <x:c r="G283" s="2" t="s">
        <x:v>150</x:v>
      </x:c>
      <x:c r="H283" s="2" t="s">
        <x:v>135</x:v>
      </x:c>
      <x:c r="I283" s="2" t="s">
        <x:v>209</x:v>
      </x:c>
      <x:c r="J283" s="2">
        <x:v>4</x:v>
      </x:c>
      <x:c r="K283" s="2" t="s">
        <x:v>117</x:v>
      </x:c>
      <x:c r="L283" s="2" t="s">
        <x:v>110</x:v>
      </x:c>
      <x:c r="M283" s="2"/>
      <x:c r="N283" s="2">
        <x:v>82.9</x:v>
      </x:c>
      <x:c r="O283" s="2">
        <x:v>51.1</x:v>
      </x:c>
      <x:c r="P283" s="2">
        <x:v>134.30000000000001</x:v>
      </x:c>
      <x:c r="Q283" s="2" t="s">
        <x:v>111</x:v>
      </x:c>
      <x:c r="R283" s="2">
        <x:v>82.9</x:v>
      </x:c>
      <x:c r="S283" s="2" t="s">
        <x:v>111</x:v>
      </x:c>
      <x:c r="T283" s="2"/>
      <x:c r="U283" s="2">
        <x:v>25</x:v>
      </x:c>
      <x:c r="V283" s="2"/>
      <x:c r="W283" s="2"/>
      <x:c r="X283" s="2" t="s">
        <x:v>287</x:v>
      </x:c>
      <x:c r="Y283" s="2" t="s">
        <x:v>113</x:v>
      </x:c>
      <x:c r="Z283" s="2" t="s">
        <x:v>114</x:v>
      </x:c>
    </x:row>
    <x:row r="284" ht="27">
      <x:c r="A284" s="2">
        <x:v>2177</x:v>
      </x:c>
      <x:c r="B284" s="2">
        <x:v>1165809</x:v>
      </x:c>
      <x:c r="C284" s="2">
        <x:v>189250</x:v>
      </x:c>
      <x:c r="D284" s="2">
        <x:v>14601</x:v>
      </x:c>
      <x:c r="E284" s="2" t="s">
        <x:v>16</x:v>
      </x:c>
      <x:c r="F284" s="2" t="s">
        <x:v>279</x:v>
      </x:c>
      <x:c r="G284" s="2" t="s">
        <x:v>150</x:v>
      </x:c>
      <x:c r="H284" s="2" t="s">
        <x:v>135</x:v>
      </x:c>
      <x:c r="I284" s="2" t="s">
        <x:v>108</x:v>
      </x:c>
      <x:c r="J284" s="2">
        <x:v>4</x:v>
      </x:c>
      <x:c r="K284" s="2" t="s">
        <x:v>117</x:v>
      </x:c>
      <x:c r="L284" s="2" t="s">
        <x:v>110</x:v>
      </x:c>
      <x:c r="M284" s="2"/>
      <x:c r="N284" s="2">
        <x:v>1077</x:v>
      </x:c>
      <x:c r="O284" s="2">
        <x:v>903</x:v>
      </x:c>
      <x:c r="P284" s="2">
        <x:v>1289</x:v>
      </x:c>
      <x:c r="Q284" s="2" t="s">
        <x:v>111</x:v>
      </x:c>
      <x:c r="R284" s="2">
        <x:v>1077</x:v>
      </x:c>
      <x:c r="S284" s="2" t="s">
        <x:v>111</x:v>
      </x:c>
      <x:c r="T284" s="2">
        <x:v>15</x:v>
      </x:c>
      <x:c r="U284" s="2">
        <x:v>30</x:v>
      </x:c>
      <x:c r="V284" s="2"/>
      <x:c r="W284" s="2"/>
      <x:c r="X284" s="2" t="s">
        <x:v>280</x:v>
      </x:c>
      <x:c r="Y284" s="2" t="s">
        <x:v>113</x:v>
      </x:c>
      <x:c r="Z284" s="2" t="s">
        <x:v>114</x:v>
      </x:c>
    </x:row>
    <x:row r="285" ht="27">
      <x:c r="A285" s="2">
        <x:v>2195</x:v>
      </x:c>
      <x:c r="B285" s="2">
        <x:v>1037866</x:v>
      </x:c>
      <x:c r="C285" s="2">
        <x:v>104471</x:v>
      </x:c>
      <x:c r="D285" s="2">
        <x:v>2332</x:v>
      </x:c>
      <x:c r="E285" s="2" t="s">
        <x:v>16</x:v>
      </x:c>
      <x:c r="F285" s="2" t="s">
        <x:v>279</x:v>
      </x:c>
      <x:c r="G285" s="2" t="s">
        <x:v>129</x:v>
      </x:c>
      <x:c r="H285" s="2" t="s">
        <x:v>107</x:v>
      </x:c>
      <x:c r="I285" s="2"/>
      <x:c r="J285" s="2">
        <x:v>4</x:v>
      </x:c>
      <x:c r="K285" s="2" t="s">
        <x:v>136</x:v>
      </x:c>
      <x:c r="L285" s="2" t="s">
        <x:v>110</x:v>
      </x:c>
      <x:c r="M285" s="2"/>
      <x:c r="N285" s="2">
        <x:v>660</x:v>
      </x:c>
      <x:c r="O285" s="2">
        <x:v>530</x:v>
      </x:c>
      <x:c r="P285" s="2">
        <x:v>820</x:v>
      </x:c>
      <x:c r="Q285" s="2" t="s">
        <x:v>111</x:v>
      </x:c>
      <x:c r="R285" s="2">
        <x:v>660</x:v>
      </x:c>
      <x:c r="S285" s="2" t="s">
        <x:v>111</x:v>
      </x:c>
      <x:c r="T285" s="2"/>
      <x:c r="U285" s="2">
        <x:v>7</x:v>
      </x:c>
      <x:c r="V285" s="2"/>
      <x:c r="W285" s="2"/>
      <x:c r="X285" s="2" t="s">
        <x:v>205</x:v>
      </x:c>
      <x:c r="Y285" s="2" t="s">
        <x:v>113</x:v>
      </x:c>
      <x:c r="Z285" s="2" t="s">
        <x:v>114</x:v>
      </x:c>
    </x:row>
    <x:row r="286" ht="27">
      <x:c r="A286" s="2">
        <x:v>2214</x:v>
      </x:c>
      <x:c r="B286" s="2">
        <x:v>1165808</x:v>
      </x:c>
      <x:c r="C286" s="2">
        <x:v>189249</x:v>
      </x:c>
      <x:c r="D286" s="2">
        <x:v>14601</x:v>
      </x:c>
      <x:c r="E286" s="2" t="s">
        <x:v>16</x:v>
      </x:c>
      <x:c r="F286" s="2" t="s">
        <x:v>279</x:v>
      </x:c>
      <x:c r="G286" s="2" t="s">
        <x:v>150</x:v>
      </x:c>
      <x:c r="H286" s="2" t="s">
        <x:v>135</x:v>
      </x:c>
      <x:c r="I286" s="2" t="s">
        <x:v>108</x:v>
      </x:c>
      <x:c r="J286" s="2">
        <x:v>4</x:v>
      </x:c>
      <x:c r="K286" s="2" t="s">
        <x:v>117</x:v>
      </x:c>
      <x:c r="L286" s="2" t="s">
        <x:v>110</x:v>
      </x:c>
      <x:c r="M286" s="2"/>
      <x:c r="N286" s="2">
        <x:v>1651</x:v>
      </x:c>
      <x:c r="O286" s="2">
        <x:v>1337</x:v>
      </x:c>
      <x:c r="P286" s="2">
        <x:v>2025</x:v>
      </x:c>
      <x:c r="Q286" s="2" t="s">
        <x:v>111</x:v>
      </x:c>
      <x:c r="R286" s="2">
        <x:v>1651</x:v>
      </x:c>
      <x:c r="S286" s="2" t="s">
        <x:v>111</x:v>
      </x:c>
      <x:c r="T286" s="2">
        <x:v>15</x:v>
      </x:c>
      <x:c r="U286" s="2">
        <x:v>30</x:v>
      </x:c>
      <x:c r="V286" s="2"/>
      <x:c r="W286" s="2"/>
      <x:c r="X286" s="2" t="s">
        <x:v>280</x:v>
      </x:c>
      <x:c r="Y286" s="2" t="s">
        <x:v>113</x:v>
      </x:c>
      <x:c r="Z286" s="2" t="s">
        <x:v>114</x:v>
      </x:c>
    </x:row>
    <x:row r="287">
      <x:c r="A287" s="2">
        <x:v>2221</x:v>
      </x:c>
      <x:c r="B287" s="2">
        <x:v>1035623</x:v>
      </x:c>
      <x:c r="C287" s="2">
        <x:v>54864</x:v>
      </x:c>
      <x:c r="D287" s="2">
        <x:v>2183</x:v>
      </x:c>
      <x:c r="E287" s="2" t="s">
        <x:v>16</x:v>
      </x:c>
      <x:c r="F287" s="2" t="s">
        <x:v>279</x:v>
      </x:c>
      <x:c r="G287" s="2" t="s">
        <x:v>129</x:v>
      </x:c>
      <x:c r="H287" s="2" t="s">
        <x:v>107</x:v>
      </x:c>
      <x:c r="I287" s="2" t="s">
        <x:v>108</x:v>
      </x:c>
      <x:c r="J287" s="2">
        <x:v>4</x:v>
      </x:c>
      <x:c r="K287" s="2" t="s">
        <x:v>117</x:v>
      </x:c>
      <x:c r="L287" s="2" t="s">
        <x:v>110</x:v>
      </x:c>
      <x:c r="M287" s="2"/>
      <x:c r="N287" s="2">
        <x:v>1800</x:v>
      </x:c>
      <x:c r="O287" s="2">
        <x:v>1200</x:v>
      </x:c>
      <x:c r="P287" s="2">
        <x:v>2800</x:v>
      </x:c>
      <x:c r="Q287" s="2" t="s">
        <x:v>111</x:v>
      </x:c>
      <x:c r="R287" s="2">
        <x:v>1800</x:v>
      </x:c>
      <x:c r="S287" s="2" t="s">
        <x:v>111</x:v>
      </x:c>
      <x:c r="T287" s="2">
        <x:v>20</x:v>
      </x:c>
      <x:c r="U287" s="2">
        <x:v>7</x:v>
      </x:c>
      <x:c r="V287" s="2">
        <x:v>8</x:v>
      </x:c>
      <x:c r="W287" s="2"/>
      <x:c r="X287" s="2" t="s">
        <x:v>130</x:v>
      </x:c>
      <x:c r="Y287" s="2" t="s">
        <x:v>113</x:v>
      </x:c>
      <x:c r="Z287" s="2" t="s">
        <x:v>114</x:v>
      </x:c>
    </x:row>
    <x:row r="288" ht="27">
      <x:c r="A288" s="2">
        <x:v>2224</x:v>
      </x:c>
      <x:c r="B288" s="2">
        <x:v>1165806</x:v>
      </x:c>
      <x:c r="C288" s="2">
        <x:v>189247</x:v>
      </x:c>
      <x:c r="D288" s="2">
        <x:v>14601</x:v>
      </x:c>
      <x:c r="E288" s="2" t="s">
        <x:v>16</x:v>
      </x:c>
      <x:c r="F288" s="2" t="s">
        <x:v>279</x:v>
      </x:c>
      <x:c r="G288" s="2" t="s">
        <x:v>141</x:v>
      </x:c>
      <x:c r="H288" s="2" t="s">
        <x:v>135</x:v>
      </x:c>
      <x:c r="I288" s="2" t="s">
        <x:v>108</x:v>
      </x:c>
      <x:c r="J288" s="2">
        <x:v>4</x:v>
      </x:c>
      <x:c r="K288" s="2" t="s">
        <x:v>117</x:v>
      </x:c>
      <x:c r="L288" s="2" t="s">
        <x:v>110</x:v>
      </x:c>
      <x:c r="M288" s="2"/>
      <x:c r="N288" s="2">
        <x:v>200</x:v>
      </x:c>
      <x:c r="O288" s="2">
        <x:v>154</x:v>
      </x:c>
      <x:c r="P288" s="2">
        <x:v>260</x:v>
      </x:c>
      <x:c r="Q288" s="2" t="s">
        <x:v>111</x:v>
      </x:c>
      <x:c r="R288" s="2">
        <x:v>200</x:v>
      </x:c>
      <x:c r="S288" s="2" t="s">
        <x:v>111</x:v>
      </x:c>
      <x:c r="T288" s="2">
        <x:v>10</x:v>
      </x:c>
      <x:c r="U288" s="2">
        <x:v>30</x:v>
      </x:c>
      <x:c r="V288" s="2"/>
      <x:c r="W288" s="2"/>
      <x:c r="X288" s="2" t="s">
        <x:v>280</x:v>
      </x:c>
      <x:c r="Y288" s="2" t="s">
        <x:v>113</x:v>
      </x:c>
      <x:c r="Z288" s="2" t="s">
        <x:v>114</x:v>
      </x:c>
    </x:row>
    <x:row r="289" ht="27">
      <x:c r="A289" s="2">
        <x:v>2226</x:v>
      </x:c>
      <x:c r="B289" s="2">
        <x:v>1037865</x:v>
      </x:c>
      <x:c r="C289" s="2">
        <x:v>104470</x:v>
      </x:c>
      <x:c r="D289" s="2">
        <x:v>2332</x:v>
      </x:c>
      <x:c r="E289" s="2" t="s">
        <x:v>16</x:v>
      </x:c>
      <x:c r="F289" s="2" t="s">
        <x:v>279</x:v>
      </x:c>
      <x:c r="G289" s="2" t="s">
        <x:v>129</x:v>
      </x:c>
      <x:c r="H289" s="2" t="s">
        <x:v>107</x:v>
      </x:c>
      <x:c r="I289" s="2"/>
      <x:c r="J289" s="2">
        <x:v>4</x:v>
      </x:c>
      <x:c r="K289" s="2" t="s">
        <x:v>136</x:v>
      </x:c>
      <x:c r="L289" s="2" t="s">
        <x:v>110</x:v>
      </x:c>
      <x:c r="M289" s="2"/>
      <x:c r="N289" s="2">
        <x:v>780</x:v>
      </x:c>
      <x:c r="O289" s="2">
        <x:v>410</x:v>
      </x:c>
      <x:c r="P289" s="2">
        <x:v>1200</x:v>
      </x:c>
      <x:c r="Q289" s="2" t="s">
        <x:v>111</x:v>
      </x:c>
      <x:c r="R289" s="2">
        <x:v>780</x:v>
      </x:c>
      <x:c r="S289" s="2" t="s">
        <x:v>111</x:v>
      </x:c>
      <x:c r="T289" s="2"/>
      <x:c r="U289" s="2">
        <x:v>15</x:v>
      </x:c>
      <x:c r="V289" s="2"/>
      <x:c r="W289" s="2"/>
      <x:c r="X289" s="2" t="s">
        <x:v>205</x:v>
      </x:c>
      <x:c r="Y289" s="2" t="s">
        <x:v>113</x:v>
      </x:c>
      <x:c r="Z289" s="2" t="s">
        <x:v>114</x:v>
      </x:c>
    </x:row>
    <x:row r="290" ht="40.5">
      <x:c r="A290" s="2">
        <x:v>2234</x:v>
      </x:c>
      <x:c r="B290" s="2">
        <x:v>1116276</x:v>
      </x:c>
      <x:c r="C290" s="2">
        <x:v>107518</x:v>
      </x:c>
      <x:c r="D290" s="2">
        <x:v>9029</x:v>
      </x:c>
      <x:c r="E290" s="2" t="s">
        <x:v>16</x:v>
      </x:c>
      <x:c r="F290" s="2" t="s">
        <x:v>279</x:v>
      </x:c>
      <x:c r="G290" s="2" t="s">
        <x:v>134</x:v>
      </x:c>
      <x:c r="H290" s="2" t="s">
        <x:v>135</x:v>
      </x:c>
      <x:c r="I290" s="2" t="s">
        <x:v>108</x:v>
      </x:c>
      <x:c r="J290" s="2">
        <x:v>4</x:v>
      </x:c>
      <x:c r="K290" s="2" t="s">
        <x:v>117</x:v>
      </x:c>
      <x:c r="L290" s="2" t="s">
        <x:v>110</x:v>
      </x:c>
      <x:c r="M290" s="2"/>
      <x:c r="N290" s="2">
        <x:v>93</x:v>
      </x:c>
      <x:c r="O290" s="2">
        <x:v>82</x:v>
      </x:c>
      <x:c r="P290" s="2">
        <x:v>106</x:v>
      </x:c>
      <x:c r="Q290" s="2" t="s">
        <x:v>111</x:v>
      </x:c>
      <x:c r="R290" s="2">
        <x:v>93</x:v>
      </x:c>
      <x:c r="S290" s="2" t="s">
        <x:v>111</x:v>
      </x:c>
      <x:c r="T290" s="2">
        <x:v>18</x:v>
      </x:c>
      <x:c r="U290" s="2">
        <x:v>15</x:v>
      </x:c>
      <x:c r="V290" s="2"/>
      <x:c r="W290" s="2"/>
      <x:c r="X290" s="2" t="s">
        <x:v>285</x:v>
      </x:c>
      <x:c r="Y290" s="2" t="s">
        <x:v>113</x:v>
      </x:c>
      <x:c r="Z290" s="2" t="s">
        <x:v>114</x:v>
      </x:c>
    </x:row>
    <x:row r="291" ht="40.5">
      <x:c r="A291" s="2">
        <x:v>2249</x:v>
      </x:c>
      <x:c r="B291" s="2">
        <x:v>1191627</x:v>
      </x:c>
      <x:c r="C291" s="2">
        <x:v>166349</x:v>
      </x:c>
      <x:c r="D291" s="2">
        <x:v>17219</x:v>
      </x:c>
      <x:c r="E291" s="2" t="s">
        <x:v>16</x:v>
      </x:c>
      <x:c r="F291" s="2" t="s">
        <x:v>279</x:v>
      </x:c>
      <x:c r="G291" s="2" t="s">
        <x:v>150</x:v>
      </x:c>
      <x:c r="H291" s="2" t="s">
        <x:v>135</x:v>
      </x:c>
      <x:c r="I291" s="2" t="s">
        <x:v>209</x:v>
      </x:c>
      <x:c r="J291" s="2">
        <x:v>4</x:v>
      </x:c>
      <x:c r="K291" s="2" t="s">
        <x:v>117</x:v>
      </x:c>
      <x:c r="L291" s="2" t="s">
        <x:v>110</x:v>
      </x:c>
      <x:c r="M291" s="2"/>
      <x:c r="N291" s="2">
        <x:v>213.2</x:v>
      </x:c>
      <x:c r="O291" s="2">
        <x:v>182</x:v>
      </x:c>
      <x:c r="P291" s="2">
        <x:v>249.7</x:v>
      </x:c>
      <x:c r="Q291" s="2" t="s">
        <x:v>111</x:v>
      </x:c>
      <x:c r="R291" s="2">
        <x:v>213.2</x:v>
      </x:c>
      <x:c r="S291" s="2" t="s">
        <x:v>111</x:v>
      </x:c>
      <x:c r="T291" s="2">
        <x:v>24</x:v>
      </x:c>
      <x:c r="U291" s="2">
        <x:v>15</x:v>
      </x:c>
      <x:c r="V291" s="2"/>
      <x:c r="W291" s="2"/>
      <x:c r="X291" s="2" t="s">
        <x:v>287</x:v>
      </x:c>
      <x:c r="Y291" s="2" t="s">
        <x:v>113</x:v>
      </x:c>
      <x:c r="Z291" s="2" t="s">
        <x:v>114</x:v>
      </x:c>
    </x:row>
    <x:row r="292" ht="54">
      <x:c r="A292" s="2">
        <x:v>2255</x:v>
      </x:c>
      <x:c r="B292" s="2">
        <x:v>1210146</x:v>
      </x:c>
      <x:c r="C292" s="2">
        <x:v>186386</x:v>
      </x:c>
      <x:c r="D292" s="2">
        <x:v>19281</x:v>
      </x:c>
      <x:c r="E292" s="2" t="s">
        <x:v>16</x:v>
      </x:c>
      <x:c r="F292" s="2" t="s">
        <x:v>279</x:v>
      </x:c>
      <x:c r="G292" s="2" t="s">
        <x:v>226</x:v>
      </x:c>
      <x:c r="H292" s="2" t="s">
        <x:v>107</x:v>
      </x:c>
      <x:c r="I292" s="2" t="s">
        <x:v>224</x:v>
      </x:c>
      <x:c r="J292" s="2">
        <x:v>4</x:v>
      </x:c>
      <x:c r="K292" s="2" t="s">
        <x:v>117</x:v>
      </x:c>
      <x:c r="L292" s="2" t="s">
        <x:v>110</x:v>
      </x:c>
      <x:c r="M292" s="2"/>
      <x:c r="N292" s="2">
        <x:v>29.7</x:v>
      </x:c>
      <x:c r="O292" s="2">
        <x:v>27.7</x:v>
      </x:c>
      <x:c r="P292" s="2">
        <x:v>31.7</x:v>
      </x:c>
      <x:c r="Q292" s="2" t="s">
        <x:v>111</x:v>
      </x:c>
      <x:c r="R292" s="2">
        <x:v>29.7</x:v>
      </x:c>
      <x:c r="S292" s="2" t="s">
        <x:v>111</x:v>
      </x:c>
      <x:c r="T292" s="2">
        <x:v>20</x:v>
      </x:c>
      <x:c r="U292" s="2"/>
      <x:c r="V292" s="2"/>
      <x:c r="W292" s="2"/>
      <x:c r="X292" s="2" t="s">
        <x:v>286</x:v>
      </x:c>
      <x:c r="Y292" s="2" t="s">
        <x:v>113</x:v>
      </x:c>
      <x:c r="Z292" s="2" t="s">
        <x:v>114</x:v>
      </x:c>
    </x:row>
    <x:row r="293" ht="54">
      <x:c r="A293" s="2">
        <x:v>2257</x:v>
      </x:c>
      <x:c r="B293" s="2">
        <x:v>1295986</x:v>
      </x:c>
      <x:c r="C293" s="2">
        <x:v>751250</x:v>
      </x:c>
      <x:c r="D293" s="2">
        <x:v>111315</x:v>
      </x:c>
      <x:c r="E293" s="2" t="s">
        <x:v>16</x:v>
      </x:c>
      <x:c r="F293" s="2" t="s">
        <x:v>279</x:v>
      </x:c>
      <x:c r="G293" s="2" t="s">
        <x:v>106</x:v>
      </x:c>
      <x:c r="H293" s="2" t="s">
        <x:v>107</x:v>
      </x:c>
      <x:c r="I293" s="2" t="s">
        <x:v>108</x:v>
      </x:c>
      <x:c r="J293" s="2">
        <x:v>4</x:v>
      </x:c>
      <x:c r="K293" s="2" t="s">
        <x:v>126</x:v>
      </x:c>
      <x:c r="L293" s="2" t="s">
        <x:v>110</x:v>
      </x:c>
      <x:c r="M293" s="2"/>
      <x:c r="N293" s="2">
        <x:v>25.2</x:v>
      </x:c>
      <x:c r="O293" s="2">
        <x:v>17.809999999999999</x:v>
      </x:c>
      <x:c r="P293" s="2">
        <x:v>35.549999999999997</x:v>
      </x:c>
      <x:c r="Q293" s="2" t="s">
        <x:v>121</x:v>
      </x:c>
      <x:c r="R293" s="2">
        <x:v>25.2</x:v>
      </x:c>
      <x:c r="S293" s="2" t="s">
        <x:v>121</x:v>
      </x:c>
      <x:c r="T293" s="2">
        <x:v>20</x:v>
      </x:c>
      <x:c r="U293" s="2">
        <x:v>32</x:v>
      </x:c>
      <x:c r="V293" s="2">
        <x:v>7.9</x:v>
      </x:c>
      <x:c r="W293" s="2"/>
      <x:c r="X293" s="2" t="s">
        <x:v>204</x:v>
      </x:c>
      <x:c r="Y293" s="2" t="s">
        <x:v>113</x:v>
      </x:c>
      <x:c r="Z293" s="2" t="s">
        <x:v>114</x:v>
      </x:c>
    </x:row>
    <x:row r="294" ht="40.5">
      <x:c r="A294" s="2">
        <x:v>2260</x:v>
      </x:c>
      <x:c r="B294" s="2">
        <x:v>1191626</x:v>
      </x:c>
      <x:c r="C294" s="2">
        <x:v>166348</x:v>
      </x:c>
      <x:c r="D294" s="2">
        <x:v>17219</x:v>
      </x:c>
      <x:c r="E294" s="2" t="s">
        <x:v>16</x:v>
      </x:c>
      <x:c r="F294" s="2" t="s">
        <x:v>279</x:v>
      </x:c>
      <x:c r="G294" s="2" t="s">
        <x:v>150</x:v>
      </x:c>
      <x:c r="H294" s="2" t="s">
        <x:v>135</x:v>
      </x:c>
      <x:c r="I294" s="2" t="s">
        <x:v>209</x:v>
      </x:c>
      <x:c r="J294" s="2">
        <x:v>4</x:v>
      </x:c>
      <x:c r="K294" s="2" t="s">
        <x:v>117</x:v>
      </x:c>
      <x:c r="L294" s="2" t="s">
        <x:v>110</x:v>
      </x:c>
      <x:c r="M294" s="2"/>
      <x:c r="N294" s="2">
        <x:v>51.6</x:v>
      </x:c>
      <x:c r="O294" s="2">
        <x:v>36.200000000000003</x:v>
      </x:c>
      <x:c r="P294" s="2">
        <x:v>73.5</x:v>
      </x:c>
      <x:c r="Q294" s="2" t="s">
        <x:v>111</x:v>
      </x:c>
      <x:c r="R294" s="2">
        <x:v>51.6</x:v>
      </x:c>
      <x:c r="S294" s="2" t="s">
        <x:v>111</x:v>
      </x:c>
      <x:c r="T294" s="2"/>
      <x:c r="U294" s="2">
        <x:v>5</x:v>
      </x:c>
      <x:c r="V294" s="2"/>
      <x:c r="W294" s="2"/>
      <x:c r="X294" s="2" t="s">
        <x:v>287</x:v>
      </x:c>
      <x:c r="Y294" s="2" t="s">
        <x:v>113</x:v>
      </x:c>
      <x:c r="Z294" s="2" t="s">
        <x:v>114</x:v>
      </x:c>
    </x:row>
    <x:row r="295" ht="27">
      <x:c r="A295" s="2">
        <x:v>2271</x:v>
      </x:c>
      <x:c r="B295" s="2">
        <x:v>2146950</x:v>
      </x:c>
      <x:c r="C295" s="2">
        <x:v>2279333</x:v>
      </x:c>
      <x:c r="D295" s="2">
        <x:v>166028</x:v>
      </x:c>
      <x:c r="E295" s="2" t="s">
        <x:v>39</x:v>
      </x:c>
      <x:c r="F295" s="2" t="s">
        <x:v>288</x:v>
      </x:c>
      <x:c r="G295" s="2" t="s">
        <x:v>182</x:v>
      </x:c>
      <x:c r="H295" s="2" t="s">
        <x:v>107</x:v>
      </x:c>
      <x:c r="I295" s="2" t="s">
        <x:v>125</x:v>
      </x:c>
      <x:c r="J295" s="2">
        <x:v>2</x:v>
      </x:c>
      <x:c r="K295" s="2" t="s">
        <x:v>117</x:v>
      </x:c>
      <x:c r="L295" s="2" t="s">
        <x:v>110</x:v>
      </x:c>
      <x:c r="M295" s="2"/>
      <x:c r="N295" s="2">
        <x:v>9.5000000000000001E-2</x:v>
      </x:c>
      <x:c r="O295" s="2"/>
      <x:c r="P295" s="2"/>
      <x:c r="Q295" s="2" t="s">
        <x:v>121</x:v>
      </x:c>
      <x:c r="R295" s="2">
        <x:v>9.5000000000000001E-2</x:v>
      </x:c>
      <x:c r="S295" s="2" t="s">
        <x:v>121</x:v>
      </x:c>
      <x:c r="T295" s="2">
        <x:v>20</x:v>
      </x:c>
      <x:c r="U295" s="2">
        <x:v>38</x:v>
      </x:c>
      <x:c r="V295" s="2">
        <x:v>8</x:v>
      </x:c>
      <x:c r="W295" s="2"/>
      <x:c r="X295" s="2" t="s">
        <x:v>236</x:v>
      </x:c>
      <x:c r="Y295" s="2" t="s">
        <x:v>113</x:v>
      </x:c>
      <x:c r="Z295" s="2" t="s">
        <x:v>114</x:v>
      </x:c>
    </x:row>
    <x:row r="296" ht="27">
      <x:c r="A296" s="2">
        <x:v>2275</x:v>
      </x:c>
      <x:c r="B296" s="2">
        <x:v>2146953</x:v>
      </x:c>
      <x:c r="C296" s="2">
        <x:v>2279336</x:v>
      </x:c>
      <x:c r="D296" s="2">
        <x:v>166028</x:v>
      </x:c>
      <x:c r="E296" s="2" t="s">
        <x:v>16</x:v>
      </x:c>
      <x:c r="F296" s="2" t="s">
        <x:v>289</x:v>
      </x:c>
      <x:c r="G296" s="2" t="s">
        <x:v>182</x:v>
      </x:c>
      <x:c r="H296" s="2" t="s">
        <x:v>107</x:v>
      </x:c>
      <x:c r="I296" s="2" t="s">
        <x:v>125</x:v>
      </x:c>
      <x:c r="J296" s="2">
        <x:v>2</x:v>
      </x:c>
      <x:c r="K296" s="2" t="s">
        <x:v>117</x:v>
      </x:c>
      <x:c r="L296" s="2" t="s">
        <x:v>110</x:v>
      </x:c>
      <x:c r="M296" s="2"/>
      <x:c r="N296" s="2">
        <x:v>2.12</x:v>
      </x:c>
      <x:c r="O296" s="2"/>
      <x:c r="P296" s="2"/>
      <x:c r="Q296" s="2" t="s">
        <x:v>121</x:v>
      </x:c>
      <x:c r="R296" s="2">
        <x:v>2.12</x:v>
      </x:c>
      <x:c r="S296" s="2" t="s">
        <x:v>121</x:v>
      </x:c>
      <x:c r="T296" s="2">
        <x:v>20</x:v>
      </x:c>
      <x:c r="U296" s="2">
        <x:v>38</x:v>
      </x:c>
      <x:c r="V296" s="2">
        <x:v>8</x:v>
      </x:c>
      <x:c r="W296" s="2"/>
      <x:c r="X296" s="2" t="s">
        <x:v>236</x:v>
      </x:c>
      <x:c r="Y296" s="2" t="s">
        <x:v>113</x:v>
      </x:c>
      <x:c r="Z296" s="2" t="s">
        <x:v>114</x:v>
      </x:c>
    </x:row>
  </x:sheetData>
  <x:pageMargins left="0.7" right="0.7" top="0.75" bottom="0.75" header="0.3" footer="0.3"/>
</x:worksheet>
</file>

<file path=xl/worksheets/sheet5.xml><?xml version="1.0" encoding="utf-8"?>
<x:worksheet xmlns:x="http://schemas.openxmlformats.org/spreadsheetml/2006/main">
  <x:sheetFormatPr defaultRowHeight="13.5"/>
  <x:cols>
    <x:col min="1" max="1" width="10" customWidth="1"/>
    <x:col min="2" max="13" width="16" customWidth="1"/>
    <x:col min="15" max="17" width="18" customWidth="1"/>
  </x:cols>
  <x:sheetData>
    <x:row r="1" ht="27.75">
      <x:c r="A1" s="5" t="s">
        <x:v>4</x:v>
      </x:c>
      <x:c r="B1" s="5" t="s">
        <x:v>294</x:v>
      </x:c>
      <x:c r="C1" s="5" t="s">
        <x:v>295</x:v>
      </x:c>
      <x:c r="D1" s="5" t="s">
        <x:v>296</x:v>
      </x:c>
      <x:c r="E1" s="5" t="s">
        <x:v>85</x:v>
      </x:c>
      <x:c r="F1" s="5" t="s">
        <x:v>297</x:v>
      </x:c>
      <x:c r="G1" s="5" t="s">
        <x:v>298</x:v>
      </x:c>
      <x:c r="H1" s="5" t="s">
        <x:v>299</x:v>
      </x:c>
      <x:c r="I1" s="5" t="s">
        <x:v>300</x:v>
      </x:c>
      <x:c r="J1" s="5" t="s">
        <x:v>301</x:v>
      </x:c>
      <x:c r="K1" s="5" t="s">
        <x:v>302</x:v>
      </x:c>
      <x:c r="L1" s="5" t="s">
        <x:v>303</x:v>
      </x:c>
      <x:c r="M1" s="5" t="s">
        <x:v>304</x:v>
      </x:c>
      <x:c r="O1" s="8" t="s">
        <x:v>305</x:v>
      </x:c>
      <x:c r="P1" s="8" t="s">
        <x:v>306</x:v>
      </x:c>
      <x:c r="Q1" s="8" t="s">
        <x:v>307</x:v>
      </x:c>
    </x:row>
    <x:row r="2">
      <x:c r="A2" t="s">
        <x:v>10</x:v>
      </x:c>
      <x:c r="B2">
        <x:v>104</x:v>
      </x:c>
      <x:c r="C2">
        <x:v>102</x:v>
      </x:c>
      <x:c r="D2">
        <x:v>34</x:v>
      </x:c>
      <x:c r="E2">
        <x:v>25</x:v>
      </x:c>
      <x:c r="F2">
        <x:v>17</x:v>
      </x:c>
      <x:c r="G2">
        <x:v>11</x:v>
      </x:c>
      <x:c r="H2">
        <x:v>11</x:v>
      </x:c>
      <x:c r="I2">
        <x:v>24</x:v>
      </x:c>
      <x:c r="J2">
        <x:v>64</x:v>
      </x:c>
      <x:c r="K2">
        <x:v>25</x:v>
      </x:c>
      <x:c r="L2" s="7">
        <x:v>0.12745098039215685</x:v>
      </x:c>
      <x:c r="M2">
        <x:v>0</x:v>
      </x:c>
      <x:c r="O2" t="s">
        <x:v>16</x:v>
      </x:c>
      <x:c r="P2" t="s">
        <x:v>10</x:v>
      </x:c>
      <x:c r="Q2">
        <x:v>18</x:v>
      </x:c>
    </x:row>
    <x:row r="3">
      <x:c r="A3" t="s">
        <x:v>16</x:v>
      </x:c>
      <x:c r="B3">
        <x:v>42</x:v>
      </x:c>
      <x:c r="C3">
        <x:v>42</x:v>
      </x:c>
      <x:c r="D3">
        <x:v>18</x:v>
      </x:c>
      <x:c r="E3">
        <x:v>17</x:v>
      </x:c>
      <x:c r="F3">
        <x:v>10</x:v>
      </x:c>
      <x:c r="G3">
        <x:v>5</x:v>
      </x:c>
      <x:c r="H3">
        <x:v>8</x:v>
      </x:c>
      <x:c r="I3">
        <x:v>10</x:v>
      </x:c>
      <x:c r="J3">
        <x:v>30</x:v>
      </x:c>
      <x:c r="K3">
        <x:v>14</x:v>
      </x:c>
      <x:c r="L3" s="7">
        <x:v>0.11904761904761904</x:v>
      </x:c>
      <x:c r="M3">
        <x:v>0</x:v>
      </x:c>
      <x:c r="O3" t="s">
        <x:v>10</x:v>
      </x:c>
      <x:c r="P3" t="s">
        <x:v>39</x:v>
      </x:c>
      <x:c r="Q3">
        <x:v>8</x:v>
      </x:c>
    </x:row>
    <x:row r="4">
      <x:c r="A4" t="s">
        <x:v>21</x:v>
      </x:c>
      <x:c r="B4">
        <x:v>40</x:v>
      </x:c>
      <x:c r="C4">
        <x:v>38</x:v>
      </x:c>
      <x:c r="D4">
        <x:v>13</x:v>
      </x:c>
      <x:c r="E4">
        <x:v>14</x:v>
      </x:c>
      <x:c r="F4">
        <x:v>8</x:v>
      </x:c>
      <x:c r="G4">
        <x:v>2</x:v>
      </x:c>
      <x:c r="H4">
        <x:v>4</x:v>
      </x:c>
      <x:c r="I4">
        <x:v>10</x:v>
      </x:c>
      <x:c r="J4">
        <x:v>21</x:v>
      </x:c>
      <x:c r="K4">
        <x:v>11</x:v>
      </x:c>
      <x:c r="L4" s="7">
        <x:v>0.31578947368421051</x:v>
      </x:c>
      <x:c r="M4">
        <x:v>0</x:v>
      </x:c>
      <x:c r="O4" t="s">
        <x:v>16</x:v>
      </x:c>
      <x:c r="P4" t="s">
        <x:v>21</x:v>
      </x:c>
      <x:c r="Q4">
        <x:v>7</x:v>
      </x:c>
    </x:row>
    <x:row r="5">
      <x:c r="A5" t="s">
        <x:v>27</x:v>
      </x:c>
      <x:c r="B5">
        <x:v>18</x:v>
      </x:c>
      <x:c r="C5">
        <x:v>18</x:v>
      </x:c>
      <x:c r="D5">
        <x:v>7</x:v>
      </x:c>
      <x:c r="E5">
        <x:v>5</x:v>
      </x:c>
      <x:c r="F5">
        <x:v>5</x:v>
      </x:c>
      <x:c r="G5">
        <x:v>1</x:v>
      </x:c>
      <x:c r="H5">
        <x:v>4</x:v>
      </x:c>
      <x:c r="I5">
        <x:v>3</x:v>
      </x:c>
      <x:c r="J5">
        <x:v>17</x:v>
      </x:c>
      <x:c r="K5">
        <x:v>6</x:v>
      </x:c>
      <x:c r="L5" s="7">
        <x:v>0.27777777777777779</x:v>
      </x:c>
      <x:c r="M5">
        <x:v>0</x:v>
      </x:c>
      <x:c r="O5" t="s">
        <x:v>10</x:v>
      </x:c>
      <x:c r="P5" t="s">
        <x:v>21</x:v>
      </x:c>
      <x:c r="Q5">
        <x:v>6</x:v>
      </x:c>
    </x:row>
    <x:row r="6">
      <x:c r="A6" t="s">
        <x:v>163</x:v>
      </x:c>
      <x:c r="B6">
        <x:v>49</x:v>
      </x:c>
      <x:c r="C6">
        <x:v>46</x:v>
      </x:c>
      <x:c r="D6">
        <x:v>10</x:v>
      </x:c>
      <x:c r="E6">
        <x:v>5</x:v>
      </x:c>
      <x:c r="F6">
        <x:v>6</x:v>
      </x:c>
      <x:c r="G6">
        <x:v>1</x:v>
      </x:c>
      <x:c r="H6">
        <x:v>4</x:v>
      </x:c>
      <x:c r="I6">
        <x:v>6</x:v>
      </x:c>
      <x:c r="J6">
        <x:v>23</x:v>
      </x:c>
      <x:c r="K6">
        <x:v>4</x:v>
      </x:c>
      <x:c r="L6" s="7">
        <x:v>0.52173913043478259</x:v>
      </x:c>
      <x:c r="M6">
        <x:v>18</x:v>
      </x:c>
      <x:c r="O6" t="s">
        <x:v>16</x:v>
      </x:c>
      <x:c r="P6" t="s">
        <x:v>39</x:v>
      </x:c>
      <x:c r="Q6">
        <x:v>5</x:v>
      </x:c>
    </x:row>
    <x:row r="7">
      <x:c r="A7" t="s">
        <x:v>39</x:v>
      </x:c>
      <x:c r="B7">
        <x:v>25</x:v>
      </x:c>
      <x:c r="C7">
        <x:v>25</x:v>
      </x:c>
      <x:c r="D7">
        <x:v>6</x:v>
      </x:c>
      <x:c r="E7">
        <x:v>9</x:v>
      </x:c>
      <x:c r="F7">
        <x:v>3</x:v>
      </x:c>
      <x:c r="G7">
        <x:v>2</x:v>
      </x:c>
      <x:c r="H7">
        <x:v>4</x:v>
      </x:c>
      <x:c r="I7">
        <x:v>2</x:v>
      </x:c>
      <x:c r="J7">
        <x:v>8</x:v>
      </x:c>
      <x:c r="K7">
        <x:v>3</x:v>
      </x:c>
      <x:c r="L7" s="7">
        <x:v>0.48</x:v>
      </x:c>
      <x:c r="M7">
        <x:v>0</x:v>
      </x:c>
      <x:c r="O7" t="s">
        <x:v>39</x:v>
      </x:c>
      <x:c r="P7" t="s">
        <x:v>21</x:v>
      </x:c>
      <x:c r="Q7">
        <x:v>5</x:v>
      </x:c>
    </x:row>
    <x:row r="8">
      <x:c r="A8" t="s">
        <x:v>45</x:v>
      </x:c>
      <x:c r="B8">
        <x:v>13</x:v>
      </x:c>
      <x:c r="C8">
        <x:v>13</x:v>
      </x:c>
      <x:c r="D8">
        <x:v>5</x:v>
      </x:c>
      <x:c r="E8">
        <x:v>7</x:v>
      </x:c>
      <x:c r="F8">
        <x:v>2</x:v>
      </x:c>
      <x:c r="G8">
        <x:v>0</x:v>
      </x:c>
      <x:c r="H8">
        <x:v>2</x:v>
      </x:c>
      <x:c r="I8">
        <x:v>3</x:v>
      </x:c>
      <x:c r="J8">
        <x:v>7</x:v>
      </x:c>
      <x:c r="K8">
        <x:v>4</x:v>
      </x:c>
      <x:c r="L8" s="7">
        <x:v>0.46153846153846156</x:v>
      </x:c>
      <x:c r="M8">
        <x:v>0</x:v>
      </x:c>
      <x:c r="O8" t="s">
        <x:v>27</x:v>
      </x:c>
      <x:c r="P8" t="s">
        <x:v>10</x:v>
      </x:c>
      <x:c r="Q8">
        <x:v>3</x:v>
      </x:c>
    </x:row>
    <x:row r="9">
      <x:c r="A9" t="s">
        <x:v>51</x:v>
      </x:c>
      <x:c r="B9">
        <x:v>4</x:v>
      </x:c>
      <x:c r="C9">
        <x:v>4</x:v>
      </x:c>
      <x:c r="D9">
        <x:v>3</x:v>
      </x:c>
      <x:c r="E9">
        <x:v>3</x:v>
      </x:c>
      <x:c r="F9">
        <x:v>2</x:v>
      </x:c>
      <x:c r="G9">
        <x:v>0</x:v>
      </x:c>
      <x:c r="H9">
        <x:v>3</x:v>
      </x:c>
      <x:c r="I9">
        <x:v>0</x:v>
      </x:c>
      <x:c r="J9">
        <x:v>4</x:v>
      </x:c>
      <x:c r="K9">
        <x:v>3</x:v>
      </x:c>
      <x:c r="L9" s="7">
        <x:v>0.5</x:v>
      </x:c>
      <x:c r="M9">
        <x:v>0</x:v>
      </x:c>
      <x:c r="O9" t="s">
        <x:v>16</x:v>
      </x:c>
      <x:c r="P9" t="s">
        <x:v>163</x:v>
      </x:c>
      <x:c r="Q9">
        <x:v>3</x:v>
      </x:c>
    </x:row>
    <x:row r="10">
      <x:c r="O10" t="s">
        <x:v>163</x:v>
      </x:c>
      <x:c r="P10" t="s">
        <x:v>10</x:v>
      </x:c>
      <x:c r="Q10">
        <x:v>3</x:v>
      </x:c>
    </x:row>
    <x:row r="11">
      <x:c r="O11" t="s">
        <x:v>39</x:v>
      </x:c>
      <x:c r="P11" t="s">
        <x:v>45</x:v>
      </x:c>
      <x:c r="Q11">
        <x:v>3</x:v>
      </x:c>
    </x:row>
    <x:row r="12">
      <x:c r="O12" t="s">
        <x:v>45</x:v>
      </x:c>
      <x:c r="P12" t="s">
        <x:v>21</x:v>
      </x:c>
      <x:c r="Q12">
        <x:v>3</x:v>
      </x:c>
    </x:row>
    <x:row r="13">
      <x:c r="O13" t="s">
        <x:v>16</x:v>
      </x:c>
      <x:c r="P13" t="s">
        <x:v>51</x:v>
      </x:c>
      <x:c r="Q13">
        <x:v>2</x:v>
      </x:c>
    </x:row>
    <x:row r="14">
      <x:c r="O14" t="s">
        <x:v>27</x:v>
      </x:c>
      <x:c r="P14" t="s">
        <x:v>51</x:v>
      </x:c>
      <x:c r="Q14">
        <x:v>1</x:v>
      </x:c>
    </x:row>
    <x:row r="15">
      <x:c r="O15" t="s">
        <x:v>16</x:v>
      </x:c>
      <x:c r="P15" t="s">
        <x:v>45</x:v>
      </x:c>
      <x:c r="Q15">
        <x:v>1</x:v>
      </x:c>
    </x:row>
    <x:row r="16">
      <x:c r="O16" t="s">
        <x:v>163</x:v>
      </x:c>
      <x:c r="P16" t="s">
        <x:v>21</x:v>
      </x:c>
      <x:c r="Q16">
        <x:v>1</x:v>
      </x:c>
    </x:row>
    <x:row r="17">
      <x:c r="O17" t="s">
        <x:v>10</x:v>
      </x:c>
      <x:c r="P17" t="s">
        <x:v>45</x:v>
      </x:c>
      <x:c r="Q17">
        <x:v>1</x:v>
      </x:c>
    </x:row>
  </x:sheetData>
  <x:pageMargins left="0.7" right="0.7" top="0.75" bottom="0.75" header="0.3" footer="0.3"/>
</x:worksheet>
</file>

<file path=xl/worksheets/sheet6.xml><?xml version="1.0" encoding="utf-8"?>
<x:worksheet xmlns:x="http://schemas.openxmlformats.org/spreadsheetml/2006/main">
  <x:sheetFormatPr defaultRowHeight="13.5"/>
  <x:cols>
    <x:col min="1" max="20" width="14" customWidth="1"/>
  </x:cols>
  <x:sheetData>
    <x:row r="1" ht="27.75">
      <x:c r="A1" s="4" t="s">
        <x:v>4</x:v>
      </x:c>
      <x:c r="B1" s="4" t="s">
        <x:v>308</x:v>
      </x:c>
      <x:c r="C1" s="4" t="s">
        <x:v>309</x:v>
      </x:c>
      <x:c r="D1" s="4" t="s">
        <x:v>310</x:v>
      </x:c>
      <x:c r="E1" s="4" t="s">
        <x:v>311</x:v>
      </x:c>
      <x:c r="F1" s="4" t="s">
        <x:v>312</x:v>
      </x:c>
      <x:c r="G1" s="4" t="s">
        <x:v>313</x:v>
      </x:c>
      <x:c r="H1" s="4" t="s">
        <x:v>314</x:v>
      </x:c>
      <x:c r="I1" s="4" t="s">
        <x:v>315</x:v>
      </x:c>
      <x:c r="J1" s="4" t="s">
        <x:v>316</x:v>
      </x:c>
      <x:c r="K1" s="4" t="s">
        <x:v>317</x:v>
      </x:c>
      <x:c r="L1" s="4" t="s">
        <x:v>318</x:v>
      </x:c>
      <x:c r="M1" s="4" t="s">
        <x:v>319</x:v>
      </x:c>
      <x:c r="N1" s="4" t="s">
        <x:v>320</x:v>
      </x:c>
      <x:c r="O1" s="4" t="s">
        <x:v>321</x:v>
      </x:c>
      <x:c r="P1" s="4" t="s">
        <x:v>322</x:v>
      </x:c>
      <x:c r="Q1" s="4" t="s">
        <x:v>323</x:v>
      </x:c>
      <x:c r="R1" s="4" t="s">
        <x:v>324</x:v>
      </x:c>
      <x:c r="S1" s="4" t="s">
        <x:v>325</x:v>
      </x:c>
      <x:c r="T1" s="4" t="s">
        <x:v>326</x:v>
      </x:c>
    </x:row>
    <x:row r="2">
      <x:c r="A2" t="s">
        <x:v>10</x:v>
      </x:c>
      <x:c r="B2">
        <x:v>55</x:v>
      </x:c>
      <x:c r="C2">
        <x:v>102</x:v>
      </x:c>
      <x:c r="D2">
        <x:v>9</x:v>
      </x:c>
      <x:c r="E2">
        <x:v>20</x:v>
      </x:c>
      <x:c r="F2">
        <x:v>25</x:v>
      </x:c>
      <x:c r="G2">
        <x:v>5</x:v>
      </x:c>
      <x:c r="H2">
        <x:v>16</x:v>
      </x:c>
      <x:c r="I2">
        <x:v>25</x:v>
      </x:c>
      <x:c r="J2">
        <x:v>9</x:v>
      </x:c>
      <x:c r="K2">
        <x:v>47</x:v>
      </x:c>
      <x:c r="L2">
        <x:v>65</x:v>
      </x:c>
      <x:c r="M2">
        <x:v>5</x:v>
      </x:c>
      <x:c r="N2">
        <x:v>33</x:v>
      </x:c>
      <x:c r="O2">
        <x:v>38</x:v>
      </x:c>
      <x:c r="P2">
        <x:v>4</x:v>
      </x:c>
      <x:c r="Q2">
        <x:v>12</x:v>
      </x:c>
      <x:c r="R2">
        <x:v>1</x:v>
      </x:c>
      <x:c r="S2">
        <x:v>48</x:v>
      </x:c>
      <x:c r="T2">
        <x:v>37</x:v>
      </x:c>
    </x:row>
    <x:row r="3">
      <x:c r="A3" t="s">
        <x:v>16</x:v>
      </x:c>
      <x:c r="B3">
        <x:v>36</x:v>
      </x:c>
      <x:c r="C3">
        <x:v>42</x:v>
      </x:c>
      <x:c r="D3">
        <x:v>10</x:v>
      </x:c>
      <x:c r="E3">
        <x:v>20</x:v>
      </x:c>
      <x:c r="F3">
        <x:v>26</x:v>
      </x:c>
      <x:c r="G3">
        <x:v>3</x:v>
      </x:c>
      <x:c r="H3">
        <x:v>13</x:v>
      </x:c>
      <x:c r="I3">
        <x:v>17</x:v>
      </x:c>
      <x:c r="J3">
        <x:v>3</x:v>
      </x:c>
      <x:c r="K3">
        <x:v>6</x:v>
      </x:c>
      <x:c r="L3">
        <x:v>33</x:v>
      </x:c>
      <x:c r="M3">
        <x:v>5</x:v>
      </x:c>
      <x:c r="N3">
        <x:v>25</x:v>
      </x:c>
      <x:c r="O3">
        <x:v>38</x:v>
      </x:c>
      <x:c r="P3">
        <x:v>3</x:v>
      </x:c>
      <x:c r="Q3">
        <x:v>11</x:v>
      </x:c>
      <x:c r="R3">
        <x:v>5</x:v>
      </x:c>
      <x:c r="S3">
        <x:v>14</x:v>
      </x:c>
      <x:c r="T3">
        <x:v>9</x:v>
      </x:c>
    </x:row>
    <x:row r="4">
      <x:c r="A4" t="s">
        <x:v>21</x:v>
      </x:c>
      <x:c r="B4">
        <x:v>35</x:v>
      </x:c>
      <x:c r="C4">
        <x:v>38</x:v>
      </x:c>
      <x:c r="D4">
        <x:v>10</x:v>
      </x:c>
      <x:c r="E4">
        <x:v>20</x:v>
      </x:c>
      <x:c r="F4">
        <x:v>25</x:v>
      </x:c>
      <x:c r="G4">
        <x:v>2</x:v>
      </x:c>
      <x:c r="H4">
        <x:v>7</x:v>
      </x:c>
      <x:c r="I4">
        <x:v>13</x:v>
      </x:c>
      <x:c r="J4">
        <x:v>13</x:v>
      </x:c>
      <x:c r="K4">
        <x:v>3</x:v>
      </x:c>
      <x:c r="L4">
        <x:v>33</x:v>
      </x:c>
      <x:c r="M4">
        <x:v>7</x:v>
      </x:c>
      <x:c r="N4">
        <x:v>30</x:v>
      </x:c>
      <x:c r="O4">
        <x:v>33.5</x:v>
      </x:c>
      <x:c r="P4">
        <x:v>4</x:v>
      </x:c>
      <x:c r="Q4">
        <x:v>1</x:v>
      </x:c>
      <x:c r="R4">
        <x:v>5</x:v>
      </x:c>
      <x:c r="S4">
        <x:v>23</x:v>
      </x:c>
      <x:c r="T4">
        <x:v>5</x:v>
      </x:c>
    </x:row>
    <x:row r="5">
      <x:c r="A5" t="s">
        <x:v>27</x:v>
      </x:c>
      <x:c r="B5">
        <x:v>18</x:v>
      </x:c>
      <x:c r="C5">
        <x:v>18</x:v>
      </x:c>
      <x:c r="D5">
        <x:v>8</x:v>
      </x:c>
      <x:c r="E5">
        <x:v>20</x:v>
      </x:c>
      <x:c r="F5">
        <x:v>22</x:v>
      </x:c>
      <x:c r="G5">
        <x:v>2</x:v>
      </x:c>
      <x:c r="H5">
        <x:v>1</x:v>
      </x:c>
      <x:c r="I5">
        <x:v>15</x:v>
      </x:c>
      <x:c r="J5">
        <x:v>0</x:v>
      </x:c>
      <x:c r="K5">
        <x:v>0</x:v>
      </x:c>
      <x:c r="L5">
        <x:v>16</x:v>
      </x:c>
      <x:c r="M5">
        <x:v>28</x:v>
      </x:c>
      <x:c r="N5">
        <x:v>30</x:v>
      </x:c>
      <x:c r="O5">
        <x:v>37</x:v>
      </x:c>
      <x:c r="P5">
        <x:v>0</x:v>
      </x:c>
      <x:c r="Q5">
        <x:v>0</x:v>
      </x:c>
      <x:c r="R5">
        <x:v>5</x:v>
      </x:c>
      <x:c r="S5">
        <x:v>11</x:v>
      </x:c>
      <x:c r="T5">
        <x:v>2</x:v>
      </x:c>
    </x:row>
    <x:row r="6">
      <x:c r="A6" t="s">
        <x:v>163</x:v>
      </x:c>
      <x:c r="B6">
        <x:v>44</x:v>
      </x:c>
      <x:c r="C6">
        <x:v>46</x:v>
      </x:c>
      <x:c r="D6">
        <x:v>14</x:v>
      </x:c>
      <x:c r="E6">
        <x:v>20</x:v>
      </x:c>
      <x:c r="F6">
        <x:v>25</x:v>
      </x:c>
      <x:c r="G6">
        <x:v>3</x:v>
      </x:c>
      <x:c r="H6">
        <x:v>5</x:v>
      </x:c>
      <x:c r="I6">
        <x:v>32</x:v>
      </x:c>
      <x:c r="J6">
        <x:v>4</x:v>
      </x:c>
      <x:c r="K6">
        <x:v>2</x:v>
      </x:c>
      <x:c r="L6">
        <x:v>33</x:v>
      </x:c>
      <x:c r="M6">
        <x:v>6.8</x:v>
      </x:c>
      <x:c r="N6">
        <x:v>13.5</x:v>
      </x:c>
      <x:c r="O6">
        <x:v>38</x:v>
      </x:c>
      <x:c r="P6">
        <x:v>16</x:v>
      </x:c>
      <x:c r="Q6">
        <x:v>11</x:v>
      </x:c>
      <x:c r="R6">
        <x:v>1</x:v>
      </x:c>
      <x:c r="S6">
        <x:v>5</x:v>
      </x:c>
      <x:c r="T6">
        <x:v>13</x:v>
      </x:c>
    </x:row>
    <x:row r="7">
      <x:c r="A7" t="s">
        <x:v>39</x:v>
      </x:c>
      <x:c r="B7">
        <x:v>21</x:v>
      </x:c>
      <x:c r="C7">
        <x:v>25</x:v>
      </x:c>
      <x:c r="D7">
        <x:v>9</x:v>
      </x:c>
      <x:c r="E7">
        <x:v>20</x:v>
      </x:c>
      <x:c r="F7">
        <x:v>21</x:v>
      </x:c>
      <x:c r="G7">
        <x:v>3</x:v>
      </x:c>
      <x:c r="H7">
        <x:v>0</x:v>
      </x:c>
      <x:c r="I7">
        <x:v>18</x:v>
      </x:c>
      <x:c r="J7">
        <x:v>0</x:v>
      </x:c>
      <x:c r="K7">
        <x:v>4</x:v>
      </x:c>
      <x:c r="L7">
        <x:v>18</x:v>
      </x:c>
      <x:c r="M7">
        <x:v>7</x:v>
      </x:c>
      <x:c r="N7">
        <x:v>10</x:v>
      </x:c>
      <x:c r="O7">
        <x:v>38</x:v>
      </x:c>
      <x:c r="P7">
        <x:v>1</x:v>
      </x:c>
      <x:c r="Q7">
        <x:v>12</x:v>
      </x:c>
      <x:c r="R7">
        <x:v>0</x:v>
      </x:c>
      <x:c r="S7">
        <x:v>5</x:v>
      </x:c>
      <x:c r="T7">
        <x:v>7</x:v>
      </x:c>
    </x:row>
    <x:row r="8">
      <x:c r="A8" t="s">
        <x:v>45</x:v>
      </x:c>
      <x:c r="B8">
        <x:v>13</x:v>
      </x:c>
      <x:c r="C8">
        <x:v>13</x:v>
      </x:c>
      <x:c r="D8">
        <x:v>10</x:v>
      </x:c>
      <x:c r="E8">
        <x:v>20</x:v>
      </x:c>
      <x:c r="F8">
        <x:v>27</x:v>
      </x:c>
      <x:c r="G8">
        <x:v>1</x:v>
      </x:c>
      <x:c r="H8">
        <x:v>4</x:v>
      </x:c>
      <x:c r="I8">
        <x:v>7</x:v>
      </x:c>
      <x:c r="J8">
        <x:v>1</x:v>
      </x:c>
      <x:c r="K8">
        <x:v>0</x:v>
      </x:c>
      <x:c r="L8">
        <x:v>12</x:v>
      </x:c>
      <x:c r="M8">
        <x:v>7</x:v>
      </x:c>
      <x:c r="N8">
        <x:v>30</x:v>
      </x:c>
      <x:c r="O8">
        <x:v>38</x:v>
      </x:c>
      <x:c r="P8">
        <x:v>1</x:v>
      </x:c>
      <x:c r="Q8">
        <x:v>0</x:v>
      </x:c>
      <x:c r="R8">
        <x:v>0</x:v>
      </x:c>
      <x:c r="S8">
        <x:v>11</x:v>
      </x:c>
      <x:c r="T8">
        <x:v>1</x:v>
      </x:c>
    </x:row>
    <x:row r="9">
      <x:c r="A9" t="s">
        <x:v>51</x:v>
      </x:c>
      <x:c r="B9">
        <x:v>4</x:v>
      </x:c>
      <x:c r="C9">
        <x:v>4</x:v>
      </x:c>
      <x:c r="D9">
        <x:v>10</x:v>
      </x:c>
      <x:c r="E9">
        <x:v>18</x:v>
      </x:c>
      <x:c r="F9">
        <x:v>26</x:v>
      </x:c>
      <x:c r="G9">
        <x:v>2</x:v>
      </x:c>
      <x:c r="H9">
        <x:v>0</x:v>
      </x:c>
      <x:c r="I9">
        <x:v>0</x:v>
      </x:c>
      <x:c r="J9">
        <x:v>2</x:v>
      </x:c>
      <x:c r="K9">
        <x:v>0</x:v>
      </x:c>
      <x:c r="L9">
        <x:v>4</x:v>
      </x:c>
      <x:c r="M9">
        <x:v>29.5</x:v>
      </x:c>
      <x:c r="N9">
        <x:v>29.75</x:v>
      </x:c>
      <x:c r="O9">
        <x:v>30</x:v>
      </x:c>
      <x:c r="P9">
        <x:v>0</x:v>
      </x:c>
      <x:c r="Q9">
        <x:v>0</x:v>
      </x:c>
      <x:c r="R9">
        <x:v>2</x:v>
      </x:c>
      <x:c r="S9">
        <x:v>2</x:v>
      </x:c>
      <x:c r="T9">
        <x:v>0</x:v>
      </x:c>
    </x:row>
  </x:sheetData>
  <x:pageMargins left="0.7" right="0.7" top="0.75" bottom="0.75" header="0.3" footer="0.3"/>
</x:worksheet>
</file>

<file path=xl/worksheets/sheet7.xml><?xml version="1.0" encoding="utf-8"?>
<x:worksheet xmlns:x="http://schemas.openxmlformats.org/spreadsheetml/2006/main">
  <x:sheetFormatPr defaultRowHeight="13.5"/>
  <x:cols>
    <x:col min="1" max="1" width="42" customWidth="1"/>
    <x:col min="2" max="2" width="16" customWidth="1"/>
    <x:col min="3" max="3" width="60" customWidth="1"/>
    <x:col min="5" max="8" width="28" customWidth="1"/>
  </x:cols>
  <x:sheetData>
    <x:row r="1" ht="13.899999618530273">
      <x:c r="A1" s="4" t="s">
        <x:v>1</x:v>
      </x:c>
      <x:c r="B1" s="4" t="s">
        <x:v>2</x:v>
      </x:c>
      <x:c r="C1" s="4" t="s">
        <x:v>3</x:v>
      </x:c>
    </x:row>
    <x:row r="2">
      <x:c r="A2" s="2" t="s">
        <x:v>327</x:v>
      </x:c>
      <x:c r="B2" s="2">
        <x:v>410</x:v>
      </x:c>
      <x:c r="C2" s="2" t="s">
        <x:v>328</x:v>
      </x:c>
    </x:row>
    <x:row r="3">
      <x:c r="A3" s="2" t="s">
        <x:v>25</x:v>
      </x:c>
      <x:c r="B3" s="2">
        <x:v>401</x:v>
      </x:c>
      <x:c r="C3" s="2" t="s">
        <x:v>329</x:v>
      </x:c>
    </x:row>
    <x:row r="4">
      <x:c r="A4" s="2" t="s">
        <x:v>330</x:v>
      </x:c>
      <x:c r="B4" s="2">
        <x:v>72</x:v>
      </x:c>
      <x:c r="C4" s="2" t="s">
        <x:v>20</x:v>
      </x:c>
    </x:row>
    <x:row r="5">
      <x:c r="A5" s="2" t="s">
        <x:v>331</x:v>
      </x:c>
      <x:c r="B5" s="2">
        <x:v>295</x:v>
      </x:c>
      <x:c r="C5" s="2" t="s">
        <x:v>332</x:v>
      </x:c>
    </x:row>
    <x:row r="6">
      <x:c r="A6" s="2" t="s">
        <x:v>333</x:v>
      </x:c>
      <x:c r="B6" s="2">
        <x:v>288</x:v>
      </x:c>
      <x:c r="C6" s="2" t="s">
        <x:v>334</x:v>
      </x:c>
    </x:row>
    <x:row r="7">
      <x:c r="A7" s="2" t="s">
        <x:v>335</x:v>
      </x:c>
      <x:c r="B7" s="2">
        <x:v>66</x:v>
      </x:c>
      <x:c r="C7" s="2" t="s">
        <x:v>336</x:v>
      </x:c>
    </x:row>
    <x:row r="8">
      <x:c r="A8" s="2" t="s">
        <x:v>337</x:v>
      </x:c>
      <x:c r="B8" s="2">
        <x:v>4</x:v>
      </x:c>
      <x:c r="C8" s="2" t="s">
        <x:v>338</x:v>
      </x:c>
    </x:row>
    <x:row r="9">
      <x:c r="A9" s="2" t="s">
        <x:v>339</x:v>
      </x:c>
      <x:c r="B9" s="2">
        <x:v>17</x:v>
      </x:c>
      <x:c r="C9" s="2" t="s">
        <x:v>340</x:v>
      </x:c>
    </x:row>
    <x:row r="10">
      <x:c r="A10" s="2" t="s">
        <x:v>341</x:v>
      </x:c>
      <x:c r="B10" s="2">
        <x:v>6</x:v>
      </x:c>
      <x:c r="C10" s="2" t="s">
        <x:v>342</x:v>
      </x:c>
    </x:row>
    <x:row r="11">
      <x:c r="A11" s="2" t="s">
        <x:v>343</x:v>
      </x:c>
      <x:c r="B11" s="2">
        <x:v>18</x:v>
      </x:c>
      <x:c r="C11" s="2" t="s">
        <x:v>344</x:v>
      </x:c>
    </x:row>
    <x:row r="12" ht="27">
      <x:c r="A12" s="2" t="s">
        <x:v>345</x:v>
      </x:c>
      <x:c r="B12" s="2"/>
      <x:c r="C12" s="2" t="s">
        <x:v>346</x:v>
      </x:c>
    </x:row>
    <x:row r="14" ht="13.899999618530273">
      <x:c r="A14" s="8" t="s">
        <x:v>81</x:v>
      </x:c>
      <x:c r="B14" s="8" t="s">
        <x:v>83</x:v>
      </x:c>
      <x:c r="C14" s="8" t="s">
        <x:v>102</x:v>
      </x:c>
      <x:c r="D14" s="8" t="s">
        <x:v>347</x:v>
      </x:c>
      <x:c r="E14" s="8" t="s">
        <x:v>348</x:v>
      </x:c>
      <x:c r="F14" s="8" t="s">
        <x:v>349</x:v>
      </x:c>
      <x:c r="G14" s="8" t="s">
        <x:v>85</x:v>
      </x:c>
      <x:c r="H14" s="8" t="s">
        <x:v>350</x:v>
      </x:c>
    </x:row>
    <x:row r="15" ht="27">
      <x:c r="A15" s="2">
        <x:v>2095611</x:v>
      </x:c>
      <x:c r="B15" s="2">
        <x:v>161986</x:v>
      </x:c>
      <x:c r="C15" s="2" t="s">
        <x:v>223</x:v>
      </x:c>
      <x:c r="D15" s="2">
        <x:v>3</x:v>
      </x:c>
      <x:c r="E15" s="2" t="s">
        <x:v>351</x:v>
      </x:c>
      <x:c r="F15" s="2" t="s">
        <x:v>21</x:v>
      </x:c>
      <x:c r="G15" s="2" t="s">
        <x:v>222</x:v>
      </x:c>
      <x:c r="H15" s="2" t="s">
        <x:v>352</x:v>
      </x:c>
    </x:row>
    <x:row r="16" ht="27">
      <x:c r="A16" s="2">
        <x:v>2135202</x:v>
      </x:c>
      <x:c r="B16" s="2">
        <x:v>119554</x:v>
      </x:c>
      <x:c r="C16" s="2" t="s">
        <x:v>252</x:v>
      </x:c>
      <x:c r="D16" s="2">
        <x:v>2</x:v>
      </x:c>
      <x:c r="E16" s="2" t="s">
        <x:v>353</x:v>
      </x:c>
      <x:c r="F16" s="2" t="s">
        <x:v>10</x:v>
      </x:c>
      <x:c r="G16" s="2" t="s">
        <x:v>132</x:v>
      </x:c>
      <x:c r="H16" s="2" t="s">
        <x:v>354</x:v>
      </x:c>
    </x:row>
    <x:row r="17" ht="27">
      <x:c r="A17" s="2">
        <x:v>2140455</x:v>
      </x:c>
      <x:c r="B17" s="2">
        <x:v>166160</x:v>
      </x:c>
      <x:c r="C17" s="2" t="s">
        <x:v>257</x:v>
      </x:c>
      <x:c r="D17" s="2">
        <x:v>2</x:v>
      </x:c>
      <x:c r="E17" s="2" t="s">
        <x:v>355</x:v>
      </x:c>
      <x:c r="F17" s="2" t="s">
        <x:v>10</x:v>
      </x:c>
      <x:c r="G17" s="2" t="s">
        <x:v>106</x:v>
      </x:c>
      <x:c r="H17" s="2" t="s">
        <x:v>356</x:v>
      </x:c>
    </x:row>
    <x:row r="18" ht="27">
      <x:c r="A18" s="2">
        <x:v>2314542</x:v>
      </x:c>
      <x:c r="B18" s="2">
        <x:v>52818</x:v>
      </x:c>
      <x:c r="C18" s="2" t="s">
        <x:v>273</x:v>
      </x:c>
      <x:c r="D18" s="2">
        <x:v>2</x:v>
      </x:c>
      <x:c r="E18" s="2" t="s">
        <x:v>357</x:v>
      </x:c>
      <x:c r="F18" s="2" t="s">
        <x:v>163</x:v>
      </x:c>
      <x:c r="G18" s="2" t="s">
        <x:v>134</x:v>
      </x:c>
      <x:c r="H18" s="2" t="s">
        <x:v>358</x:v>
      </x:c>
    </x:row>
    <x:row r="19" ht="27">
      <x:c r="A19" s="2">
        <x:v>2314543</x:v>
      </x:c>
      <x:c r="B19" s="2">
        <x:v>52818</x:v>
      </x:c>
      <x:c r="C19" s="2" t="s">
        <x:v>273</x:v>
      </x:c>
      <x:c r="D19" s="2">
        <x:v>2</x:v>
      </x:c>
      <x:c r="E19" s="2" t="s">
        <x:v>359</x:v>
      </x:c>
      <x:c r="F19" s="2" t="s">
        <x:v>163</x:v>
      </x:c>
      <x:c r="G19" s="2" t="s">
        <x:v>134</x:v>
      </x:c>
      <x:c r="H19" s="2" t="s">
        <x:v>358</x:v>
      </x:c>
    </x:row>
    <x:row r="20" ht="27">
      <x:c r="A20" s="2">
        <x:v>2314544</x:v>
      </x:c>
      <x:c r="B20" s="2">
        <x:v>52818</x:v>
      </x:c>
      <x:c r="C20" s="2" t="s">
        <x:v>273</x:v>
      </x:c>
      <x:c r="D20" s="2">
        <x:v>2</x:v>
      </x:c>
      <x:c r="E20" s="2" t="s">
        <x:v>360</x:v>
      </x:c>
      <x:c r="F20" s="2" t="s">
        <x:v>163</x:v>
      </x:c>
      <x:c r="G20" s="2" t="s">
        <x:v>134</x:v>
      </x:c>
      <x:c r="H20" s="2" t="s">
        <x:v>358</x:v>
      </x:c>
    </x:row>
  </x:sheetData>
  <x:pageMargins left="0.7" right="0.7" top="0.75" bottom="0.75" header="0.3" footer="0.3"/>
</x:worksheet>
</file>

<file path=xl/worksheets/sheet8.xml><?xml version="1.0" encoding="utf-8"?>
<x:worksheet xmlns:x="http://schemas.openxmlformats.org/spreadsheetml/2006/main">
  <x:sheetFormatPr defaultRowHeight="13.5"/>
  <x:cols>
    <x:col min="1" max="2" width="28" customWidth="1"/>
    <x:col min="3" max="7" width="42" customWidth="1"/>
  </x:cols>
  <x:sheetData>
    <x:row r="1" ht="13.899999618530273">
      <x:c r="A1" s="9" t="s">
        <x:v>361</x:v>
      </x:c>
      <x:c r="B1" s="9" t="s">
        <x:v>362</x:v>
      </x:c>
      <x:c r="C1" s="9" t="s">
        <x:v>363</x:v>
      </x:c>
      <x:c r="D1" s="9" t="s">
        <x:v>364</x:v>
      </x:c>
      <x:c r="E1" s="9" t="s">
        <x:v>365</x:v>
      </x:c>
      <x:c r="F1" s="9" t="s">
        <x:v>366</x:v>
      </x:c>
      <x:c r="G1" s="9" t="s">
        <x:v>367</x:v>
      </x:c>
    </x:row>
    <x:row r="2" ht="27">
      <x:c r="A2" s="2">
        <x:v>1</x:v>
      </x:c>
      <x:c r="B2" s="2" t="s">
        <x:v>368</x:v>
      </x:c>
      <x:c r="C2" s="2" t="s">
        <x:v>369</x:v>
      </x:c>
      <x:c r="D2" s="2" t="s">
        <x:v>370</x:v>
      </x:c>
      <x:c r="E2" s="2" t="s">
        <x:v>371</x:v>
      </x:c>
      <x:c r="F2" s="2" t="s">
        <x:v>372</x:v>
      </x:c>
      <x:c r="G2" s="2" t="s">
        <x:v>373</x:v>
      </x:c>
    </x:row>
    <x:row r="3" ht="27">
      <x:c r="A3" s="2">
        <x:v>2</x:v>
      </x:c>
      <x:c r="B3" s="2" t="s">
        <x:v>368</x:v>
      </x:c>
      <x:c r="C3" s="2" t="s">
        <x:v>374</x:v>
      </x:c>
      <x:c r="D3" s="2" t="s">
        <x:v>375</x:v>
      </x:c>
      <x:c r="E3" s="2" t="s">
        <x:v>376</x:v>
      </x:c>
      <x:c r="F3" s="2" t="s">
        <x:v>377</x:v>
      </x:c>
      <x:c r="G3" s="2" t="s">
        <x:v>378</x:v>
      </x:c>
    </x:row>
    <x:row r="4" ht="54">
      <x:c r="A4" s="2">
        <x:v>3</x:v>
      </x:c>
      <x:c r="B4" s="2" t="s">
        <x:v>368</x:v>
      </x:c>
      <x:c r="C4" s="2" t="s">
        <x:v>379</x:v>
      </x:c>
      <x:c r="D4" s="2" t="s">
        <x:v>380</x:v>
      </x:c>
      <x:c r="E4" s="2" t="s">
        <x:v>381</x:v>
      </x:c>
      <x:c r="F4" s="2" t="s">
        <x:v>382</x:v>
      </x:c>
      <x:c r="G4" s="2" t="s">
        <x:v>383</x:v>
      </x:c>
    </x:row>
    <x:row r="5" ht="27">
      <x:c r="A5" s="2">
        <x:v>4</x:v>
      </x:c>
      <x:c r="B5" s="2" t="s">
        <x:v>368</x:v>
      </x:c>
      <x:c r="C5" s="2" t="s">
        <x:v>384</x:v>
      </x:c>
      <x:c r="D5" s="2" t="s">
        <x:v>385</x:v>
      </x:c>
      <x:c r="E5" s="2" t="s">
        <x:v>386</x:v>
      </x:c>
      <x:c r="F5" s="2" t="s">
        <x:v>387</x:v>
      </x:c>
      <x:c r="G5" s="2" t="s">
        <x:v>388</x:v>
      </x:c>
    </x:row>
    <x:row r="6" ht="27">
      <x:c r="A6" s="2">
        <x:v>5</x:v>
      </x:c>
      <x:c r="B6" s="2" t="s">
        <x:v>368</x:v>
      </x:c>
      <x:c r="C6" s="2" t="s">
        <x:v>389</x:v>
      </x:c>
      <x:c r="D6" s="2" t="s">
        <x:v>390</x:v>
      </x:c>
      <x:c r="E6" s="2" t="s">
        <x:v>391</x:v>
      </x:c>
      <x:c r="F6" s="2" t="s">
        <x:v>392</x:v>
      </x:c>
      <x:c r="G6" s="2" t="s">
        <x:v>393</x:v>
      </x:c>
    </x:row>
    <x:row r="7" ht="27">
      <x:c r="A7" s="2">
        <x:v>6</x:v>
      </x:c>
      <x:c r="B7" s="2" t="s">
        <x:v>368</x:v>
      </x:c>
      <x:c r="C7" s="2" t="s">
        <x:v>394</x:v>
      </x:c>
      <x:c r="D7" s="2" t="s">
        <x:v>395</x:v>
      </x:c>
      <x:c r="E7" s="2" t="s">
        <x:v>396</x:v>
      </x:c>
      <x:c r="F7" s="2" t="s">
        <x:v>397</x:v>
      </x:c>
      <x:c r="G7" s="2" t="s">
        <x:v>398</x:v>
      </x:c>
    </x:row>
    <x:row r="8" ht="27">
      <x:c r="A8" s="2">
        <x:v>7</x:v>
      </x:c>
      <x:c r="B8" s="2" t="s">
        <x:v>368</x:v>
      </x:c>
      <x:c r="C8" s="2" t="s">
        <x:v>399</x:v>
      </x:c>
      <x:c r="D8" s="2" t="s">
        <x:v>400</x:v>
      </x:c>
      <x:c r="E8" s="2" t="s">
        <x:v>401</x:v>
      </x:c>
      <x:c r="F8" s="2" t="s">
        <x:v>402</x:v>
      </x:c>
      <x:c r="G8" s="2" t="s">
        <x:v>403</x:v>
      </x:c>
    </x:row>
    <x:row r="9" ht="40.5">
      <x:c r="A9" s="2">
        <x:v>8</x:v>
      </x:c>
      <x:c r="B9" s="2" t="s">
        <x:v>368</x:v>
      </x:c>
      <x:c r="C9" s="2" t="s">
        <x:v>404</x:v>
      </x:c>
      <x:c r="D9" s="2" t="s">
        <x:v>405</x:v>
      </x:c>
      <x:c r="E9" s="2" t="s">
        <x:v>406</x:v>
      </x:c>
      <x:c r="F9" s="2" t="s">
        <x:v>407</x:v>
      </x:c>
      <x:c r="G9" s="2" t="s">
        <x:v>408</x:v>
      </x:c>
    </x:row>
    <x:row r="10" ht="81">
      <x:c r="A10" s="2">
        <x:v>9</x:v>
      </x:c>
      <x:c r="B10" s="2" t="s">
        <x:v>368</x:v>
      </x:c>
      <x:c r="C10" s="2" t="s">
        <x:v>409</x:v>
      </x:c>
      <x:c r="D10" s="2" t="s">
        <x:v>410</x:v>
      </x:c>
      <x:c r="E10" s="2" t="s">
        <x:v>411</x:v>
      </x:c>
      <x:c r="F10" s="2" t="s">
        <x:v>412</x:v>
      </x:c>
      <x:c r="G10" s="2" t="s">
        <x:v>413</x:v>
      </x:c>
    </x:row>
  </x:sheetData>
  <x:pageMargins left="0.7" right="0.7" top="0.75" bottom="0.75" header="0.3" footer="0.3"/>
</x:worksheet>
</file>

<file path=xl/worksheets/sheet9.xml><?xml version="1.0" encoding="utf-8"?>
<x:worksheet xmlns:x="http://schemas.openxmlformats.org/spreadsheetml/2006/main">
  <x:sheetFormatPr defaultRowHeight="13.5"/>
  <x:cols>
    <x:col min="1" max="1" width="10" customWidth="1"/>
    <x:col min="2" max="4" width="12" customWidth="1"/>
    <x:col min="5" max="5" width="8" customWidth="1"/>
    <x:col min="6" max="6" width="28" customWidth="1"/>
    <x:col min="7" max="7" width="22" customWidth="1"/>
    <x:col min="8" max="9" width="16" customWidth="1"/>
    <x:col min="10" max="10" width="12" customWidth="1"/>
    <x:col min="11" max="11" width="18" customWidth="1"/>
    <x:col min="12" max="12" width="14" customWidth="1"/>
    <x:col min="13" max="13" width="10" customWidth="1"/>
    <x:col min="14" max="16" width="12" customWidth="1"/>
    <x:col min="17" max="17" width="10" customWidth="1"/>
    <x:col min="18" max="18" width="14" customWidth="1"/>
    <x:col min="19" max="21" width="12" customWidth="1"/>
    <x:col min="22" max="22" width="10" customWidth="1"/>
    <x:col min="23" max="23" width="14" customWidth="1"/>
    <x:col min="24" max="24" width="42" customWidth="1"/>
    <x:col min="25" max="25" width="20" customWidth="1"/>
    <x:col min="26" max="26" width="36" customWidth="1"/>
    <x:col min="27" max="27" width="16" customWidth="1"/>
    <x:col min="28" max="28" width="28" customWidth="1"/>
    <x:col min="29" max="31" width="18" customWidth="1"/>
    <x:col min="32" max="32" width="24" customWidth="1"/>
    <x:col min="33" max="33" width="48" customWidth="1"/>
    <x:col min="34" max="34" width="16" customWidth="1"/>
    <x:col min="35" max="35" width="18" customWidth="1"/>
  </x:cols>
  <x:sheetData>
    <x:row r="1" ht="27.75">
      <x:c r="A1" s="10" t="s">
        <x:v>80</x:v>
      </x:c>
      <x:c r="B1" s="10" t="s">
        <x:v>81</x:v>
      </x:c>
      <x:c r="C1" s="10" t="s">
        <x:v>82</x:v>
      </x:c>
      <x:c r="D1" s="10" t="s">
        <x:v>83</x:v>
      </x:c>
      <x:c r="E1" s="10" t="s">
        <x:v>4</x:v>
      </x:c>
      <x:c r="F1" s="10" t="s">
        <x:v>84</x:v>
      </x:c>
      <x:c r="G1" s="10" t="s">
        <x:v>85</x:v>
      </x:c>
      <x:c r="H1" s="10" t="s">
        <x:v>86</x:v>
      </x:c>
      <x:c r="I1" s="10" t="s">
        <x:v>87</x:v>
      </x:c>
      <x:c r="J1" s="10" t="s">
        <x:v>88</x:v>
      </x:c>
      <x:c r="K1" s="10" t="s">
        <x:v>89</x:v>
      </x:c>
      <x:c r="L1" s="10" t="s">
        <x:v>90</x:v>
      </x:c>
      <x:c r="M1" s="10" t="s">
        <x:v>91</x:v>
      </x:c>
      <x:c r="N1" s="10" t="s">
        <x:v>92</x:v>
      </x:c>
      <x:c r="O1" s="10" t="s">
        <x:v>93</x:v>
      </x:c>
      <x:c r="P1" s="10" t="s">
        <x:v>94</x:v>
      </x:c>
      <x:c r="Q1" s="10" t="s">
        <x:v>95</x:v>
      </x:c>
      <x:c r="R1" s="10" t="s">
        <x:v>96</x:v>
      </x:c>
      <x:c r="S1" s="10" t="s">
        <x:v>97</x:v>
      </x:c>
      <x:c r="T1" s="10" t="s">
        <x:v>98</x:v>
      </x:c>
      <x:c r="U1" s="10" t="s">
        <x:v>99</x:v>
      </x:c>
      <x:c r="V1" s="10" t="s">
        <x:v>100</x:v>
      </x:c>
      <x:c r="W1" s="10" t="s">
        <x:v>101</x:v>
      </x:c>
      <x:c r="X1" s="10" t="s">
        <x:v>102</x:v>
      </x:c>
      <x:c r="Y1" s="10" t="s">
        <x:v>103</x:v>
      </x:c>
      <x:c r="Z1" s="10" t="s">
        <x:v>104</x:v>
      </x:c>
      <x:c r="AA1" s="10" t="s">
        <x:v>414</x:v>
      </x:c>
      <x:c r="AB1" s="10" t="s">
        <x:v>415</x:v>
      </x:c>
      <x:c r="AC1" s="10" t="s">
        <x:v>416</x:v>
      </x:c>
      <x:c r="AD1" s="10" t="s">
        <x:v>417</x:v>
      </x:c>
      <x:c r="AE1" s="10" t="s">
        <x:v>418</x:v>
      </x:c>
      <x:c r="AF1" s="10" t="s">
        <x:v>419</x:v>
      </x:c>
      <x:c r="AG1" s="10" t="s">
        <x:v>420</x:v>
      </x:c>
      <x:c r="AH1" s="10" t="s">
        <x:v>421</x:v>
      </x:c>
      <x:c r="AI1" s="10" t="s">
        <x:v>422</x:v>
      </x:c>
    </x:row>
    <x:row r="2" ht="54">
      <x:c r="A2" s="2">
        <x:v>14</x:v>
      </x:c>
      <x:c r="B2" s="2">
        <x:v>1301484</x:v>
      </x:c>
      <x:c r="C2" s="2">
        <x:v>757363</x:v>
      </x:c>
      <x:c r="D2" s="2">
        <x:v>115854</x:v>
      </x:c>
      <x:c r="E2" s="2" t="s">
        <x:v>10</x:v>
      </x:c>
      <x:c r="F2" s="2" t="s">
        <x:v>105</x:v>
      </x:c>
      <x:c r="G2" s="2" t="s">
        <x:v>106</x:v>
      </x:c>
      <x:c r="H2" s="2" t="s">
        <x:v>107</x:v>
      </x:c>
      <x:c r="I2" s="2" t="s">
        <x:v>108</x:v>
      </x:c>
      <x:c r="J2" s="2">
        <x:v>4</x:v>
      </x:c>
      <x:c r="K2" s="2" t="s">
        <x:v>109</x:v>
      </x:c>
      <x:c r="L2" s="2" t="s">
        <x:v>110</x:v>
      </x:c>
      <x:c r="M2" s="2"/>
      <x:c r="N2" s="2">
        <x:v>743</x:v>
      </x:c>
      <x:c r="O2" s="2"/>
      <x:c r="P2" s="2"/>
      <x:c r="Q2" s="2" t="s">
        <x:v>111</x:v>
      </x:c>
      <x:c r="R2" s="2">
        <x:v>743</x:v>
      </x:c>
      <x:c r="S2" s="2" t="s">
        <x:v>111</x:v>
      </x:c>
      <x:c r="T2" s="2">
        <x:v>25</x:v>
      </x:c>
      <x:c r="U2" s="2">
        <x:v>33</x:v>
      </x:c>
      <x:c r="V2" s="2"/>
      <x:c r="W2" s="2"/>
      <x:c r="X2" s="2" t="s">
        <x:v>112</x:v>
      </x:c>
      <x:c r="Y2" s="2" t="s">
        <x:v>113</x:v>
      </x:c>
      <x:c r="Z2" s="2" t="s">
        <x:v>114</x:v>
      </x:c>
      <x:c r="AA2" s="11" t="n">
        <x:f>IFERROR(VLOOKUP(E2,Harmonization_Rules!$A$2:$B$9,2,FALSE),"")</x:f>
        <x:v>63.546</x:v>
      </x:c>
      <x:c r="AB2" s="2" t="str">
        <x:f t="shared" ref="AB2:AB65" si="0">IF(E2="Cr","PENDING_SOURCE_BASIS",IF(D2=2977,"SOURCE_VERIFIED_MICROMOLAR",IF(AND(D2=6825,L2="Formulation"),"SOURCE_VERIFIED_TARGET_ZN",IF(Y2="PRIMARY_RECOVERED","SOURCE_RECOVERED_TARGET_METAL","ECOTOX_STANDARDIZED_TARGET_METAL"))))</x:f>
        <x:v>ECOTOX_STANDARDIZED_TARGET_METAL</x:v>
      </x:c>
      <x:c r="AC2" s="12" t="n">
        <x:f t="shared" ref="AC2:AC65" si="1">IF(E2="Cr","",IF(D2=2977,R2*AA2/1000,IF(OR(S2="mg/L",S2="ppm"),R2,IF(OR(S2="ug/L",S2="ppb"),R2/1000,IF(S2="nM",R2*AA2/1000000,IF(S2="M",R2*AA2*1000,""))))))</x:f>
        <x:v>0.743</x:v>
      </x:c>
      <x:c r="AD2" s="12" t="n">
        <x:f t="shared" ref="AD2:AD65" si="2">IF(E2="Cr","",IF(D2=2977,R2,IF(S2="nM",R2/1000,IF(AC2&lt;&gt;"",AC2*1000/AA2,""))))</x:f>
        <x:v>11.692317376388758</x:v>
      </x:c>
      <x:c r="AE2" s="12" t="n">
        <x:f t="shared" ref="AE2:AE65" si="3">IF(AND(ISNUMBER(AD2),AD2&gt;0),LN(AD2),"")</x:f>
        <x:v>2.4589319916281718</x:v>
      </x:c>
      <x:c r="AF2" s="2" t="str">
        <x:f t="shared" ref="AF2:AF65" si="4">IF(E2="Cr","PENDING_CR_SOURCE_BASIS",IF(OR(S2="ug/L",S2="mg/L",S2="ppb",S2="ppm",S2="nM",AND(S2="M",D2=2977)),"HARMONIZED","NEEDS_REVIEW"))</x:f>
        <x:v>HARMONIZED</x:v>
      </x:c>
      <x:c r="AG2" s="2" t="str">
        <x:f>IF(E2="Cr","Cr(VI) chromate/dichromate rows are retained but molar conversion is held until source-specific compound-vs-ion basis is resolved.",IF(D2=2977,"OBrien 1988 reports total dissolved Cu LC50 values in 10^-6 M; the numeric Analysis_Point is therefore treated directly as umol Cu/L.",IF(AND(D2=6825,L2="Formulation"),"Nipper 1993 source check showed the reported concentrations are nominal Zn; formulation coding does not trigger compound-mass conversion.",IF(Y2="PRIMARY_RECOVERED","Source-recovered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" s="2" t="str">
        <x:f t="shared" ref="AH2:AH65" si="5">IF(OR(E2="Cu",E2="Cd",E2="Zn"),"CORE",IF(E2="Ag","SECONDARY",IF(E2="Cr","SECONDARY",IF(E2="Hg","EXPLORATORY","DESCRIPTIVE"))))</x:f>
        <x:v>CORE</x:v>
      </x:c>
      <x:c r="AI2" s="2" t="str">
        <x:f t="shared" ref="AI2:AI65" si="6">IF(AND(AH2="CORE",AF2="HARMONIZED"),"YES","NO")</x:f>
        <x:v>YES</x:v>
      </x:c>
    </x:row>
    <x:row r="3" ht="40.5">
      <x:c r="A3" s="2">
        <x:v>26</x:v>
      </x:c>
      <x:c r="B3" s="2">
        <x:v>1152733</x:v>
      </x:c>
      <x:c r="C3" s="2">
        <x:v>86472</x:v>
      </x:c>
      <x:c r="D3" s="2">
        <x:v>13179</x:v>
      </x:c>
      <x:c r="E3" s="2" t="s">
        <x:v>45</x:v>
      </x:c>
      <x:c r="F3" s="2" t="s">
        <x:v>115</x:v>
      </x:c>
      <x:c r="G3" s="2" t="s">
        <x:v>116</x:v>
      </x:c>
      <x:c r="H3" s="2" t="s">
        <x:v>107</x:v>
      </x:c>
      <x:c r="I3" s="2"/>
      <x:c r="J3" s="2">
        <x:v>2</x:v>
      </x:c>
      <x:c r="K3" s="2" t="s">
        <x:v>117</x:v>
      </x:c>
      <x:c r="L3" s="2" t="s">
        <x:v>110</x:v>
      </x:c>
      <x:c r="M3" s="2"/>
      <x:c r="N3" s="2">
        <x:v>2580</x:v>
      </x:c>
      <x:c r="O3" s="2"/>
      <x:c r="P3" s="2"/>
      <x:c r="Q3" s="2" t="s">
        <x:v>111</x:v>
      </x:c>
      <x:c r="R3" s="2">
        <x:v>2580</x:v>
      </x:c>
      <x:c r="S3" s="2" t="s">
        <x:v>111</x:v>
      </x:c>
      <x:c r="T3" s="2">
        <x:v>22</x:v>
      </x:c>
      <x:c r="U3" s="2">
        <x:v>38</x:v>
      </x:c>
      <x:c r="V3" s="2"/>
      <x:c r="W3" s="2"/>
      <x:c r="X3" s="2" t="s">
        <x:v>118</x:v>
      </x:c>
      <x:c r="Y3" s="2" t="s">
        <x:v>113</x:v>
      </x:c>
      <x:c r="Z3" s="2" t="s">
        <x:v>114</x:v>
      </x:c>
      <x:c r="AA3" s="11" t="n">
        <x:f>IFERROR(VLOOKUP(E3,Harmonization_Rules!$A$2:$B$9,2,FALSE),"")</x:f>
        <x:v>58.6934</x:v>
      </x:c>
      <x:c r="AB3" s="2" t="str">
        <x:f t="shared" si="0"/>
        <x:v>ECOTOX_STANDARDIZED_TARGET_METAL</x:v>
      </x:c>
      <x:c r="AC3" s="12">
        <x:f t="shared" si="1"/>
        <x:v>2.58</x:v>
      </x:c>
      <x:c r="AD3" s="12">
        <x:f t="shared" si="2"/>
        <x:v>43.957242211219665</x:v>
      </x:c>
      <x:c r="AE3" s="12">
        <x:f t="shared" si="3"/>
        <x:v>3.7832173935188695</x:v>
      </x:c>
      <x:c r="AF3" s="2" t="str">
        <x:f t="shared" si="4"/>
        <x:v>HARMONIZED</x:v>
      </x:c>
      <x:c r="AG3" s="2" t="str">
        <x:f>IF(E3="Cr","Cr(VI) chromate/dichromate rows are retained but molar conversion is held until source-specific compound-vs-ion basis is resolved.",IF(D3=2977,"OBrien 1988 reports total dissolved Cu LC51 values in 10^-6 M; the numeric Analysis_Point is therefore treated directly as umol Cu/L.",IF(AND(D3=6825,L3="Formulation"),"Nipper 1993 source check showed the reported concentrations are nominal Zn; formulation coding does not trigger compound-mass conversion.",IF(Y3="PRIMARY_RECOVERED","Source-recovered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" s="2" t="str">
        <x:f t="shared" si="5"/>
        <x:v>DESCRIPTIVE</x:v>
      </x:c>
      <x:c r="AI3" s="2" t="str">
        <x:f t="shared" si="6"/>
        <x:v>NO</x:v>
      </x:c>
    </x:row>
    <x:row r="4" ht="40.5">
      <x:c r="A4" s="2">
        <x:v>49</x:v>
      </x:c>
      <x:c r="B4" s="2">
        <x:v>1035621</x:v>
      </x:c>
      <x:c r="C4" s="2">
        <x:v>54724</x:v>
      </x:c>
      <x:c r="D4" s="2">
        <x:v>2183</x:v>
      </x:c>
      <x:c r="E4" s="2" t="s">
        <x:v>10</x:v>
      </x:c>
      <x:c r="F4" s="2" t="s">
        <x:v>128</x:v>
      </x:c>
      <x:c r="G4" s="2" t="s">
        <x:v>129</x:v>
      </x:c>
      <x:c r="H4" s="2" t="s">
        <x:v>107</x:v>
      </x:c>
      <x:c r="I4" s="2" t="s">
        <x:v>108</x:v>
      </x:c>
      <x:c r="J4" s="2">
        <x:v>4</x:v>
      </x:c>
      <x:c r="K4" s="2" t="s">
        <x:v>117</x:v>
      </x:c>
      <x:c r="L4" s="2" t="s">
        <x:v>110</x:v>
      </x:c>
      <x:c r="M4" s="2"/>
      <x:c r="N4" s="2">
        <x:v>1800</x:v>
      </x:c>
      <x:c r="O4" s="2">
        <x:v>1300</x:v>
      </x:c>
      <x:c r="P4" s="2">
        <x:v>2400</x:v>
      </x:c>
      <x:c r="Q4" s="2" t="s">
        <x:v>111</x:v>
      </x:c>
      <x:c r="R4" s="2">
        <x:v>1800</x:v>
      </x:c>
      <x:c r="S4" s="2" t="s">
        <x:v>111</x:v>
      </x:c>
      <x:c r="T4" s="2">
        <x:v>20</x:v>
      </x:c>
      <x:c r="U4" s="2">
        <x:v>7</x:v>
      </x:c>
      <x:c r="V4" s="2">
        <x:v>8</x:v>
      </x:c>
      <x:c r="W4" s="2"/>
      <x:c r="X4" s="2" t="s">
        <x:v>130</x:v>
      </x:c>
      <x:c r="Y4" s="2" t="s">
        <x:v>113</x:v>
      </x:c>
      <x:c r="Z4" s="2" t="s">
        <x:v>114</x:v>
      </x:c>
      <x:c r="AA4" s="11" t="n">
        <x:f>IFERROR(VLOOKUP(E4,Harmonization_Rules!$A$2:$B$9,2,FALSE),"")</x:f>
        <x:v>63.546</x:v>
      </x:c>
      <x:c r="AB4" s="2" t="str">
        <x:f t="shared" si="0"/>
        <x:v>ECOTOX_STANDARDIZED_TARGET_METAL</x:v>
      </x:c>
      <x:c r="AC4" s="12">
        <x:f t="shared" si="1"/>
        <x:v>1.8</x:v>
      </x:c>
      <x:c r="AD4" s="12">
        <x:f t="shared" si="2"/>
        <x:v>28.325937116419603</x:v>
      </x:c>
      <x:c r="AE4" s="12">
        <x:f t="shared" si="3"/>
        <x:v>3.3437778907946689</x:v>
      </x:c>
      <x:c r="AF4" s="2" t="str">
        <x:f t="shared" si="4"/>
        <x:v>HARMONIZED</x:v>
      </x:c>
      <x:c r="AG4" s="2" t="str">
        <x:f>IF(E4="Cr","Cr(VI) chromate/dichromate rows are retained but molar conversion is held until source-specific compound-vs-ion basis is resolved.",IF(D4=2977,"OBrien 1988 reports total dissolved Cu LC52 values in 10^-6 M; the numeric Analysis_Point is therefore treated directly as umol Cu/L.",IF(AND(D4=6825,L4="Formulation"),"Nipper 1993 source check showed the reported concentrations are nominal Zn; formulation coding does not trigger compound-mass conversion.",IF(Y4="PRIMARY_RECOVERED","Source-recovered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4" s="2" t="str">
        <x:f t="shared" si="5"/>
        <x:v>CORE</x:v>
      </x:c>
      <x:c r="AI4" s="2" t="str">
        <x:f t="shared" si="6"/>
        <x:v>YES</x:v>
      </x:c>
    </x:row>
    <x:row r="5" ht="40.5">
      <x:c r="A5" s="2">
        <x:v>59</x:v>
      </x:c>
      <x:c r="B5" s="2">
        <x:v>1159856</x:v>
      </x:c>
      <x:c r="C5" s="2">
        <x:v>142865</x:v>
      </x:c>
      <x:c r="D5" s="2">
        <x:v>14137</x:v>
      </x:c>
      <x:c r="E5" s="2" t="s">
        <x:v>10</x:v>
      </x:c>
      <x:c r="F5" s="2" t="s">
        <x:v>131</x:v>
      </x:c>
      <x:c r="G5" s="2" t="s">
        <x:v>132</x:v>
      </x:c>
      <x:c r="H5" s="2" t="s">
        <x:v>107</x:v>
      </x:c>
      <x:c r="I5" s="2" t="s">
        <x:v>108</x:v>
      </x:c>
      <x:c r="J5" s="2">
        <x:v>4</x:v>
      </x:c>
      <x:c r="K5" s="2" t="s">
        <x:v>126</x:v>
      </x:c>
      <x:c r="L5" s="2" t="s">
        <x:v>110</x:v>
      </x:c>
      <x:c r="M5" s="2"/>
      <x:c r="N5" s="2">
        <x:v>88</x:v>
      </x:c>
      <x:c r="O5" s="2"/>
      <x:c r="P5" s="2"/>
      <x:c r="Q5" s="2" t="s">
        <x:v>111</x:v>
      </x:c>
      <x:c r="R5" s="2">
        <x:v>88</x:v>
      </x:c>
      <x:c r="S5" s="2" t="s">
        <x:v>111</x:v>
      </x:c>
      <x:c r="T5" s="2"/>
      <x:c r="U5" s="2"/>
      <x:c r="V5" s="2"/>
      <x:c r="W5" s="2"/>
      <x:c r="X5" s="2" t="s">
        <x:v>133</x:v>
      </x:c>
      <x:c r="Y5" s="2" t="s">
        <x:v>113</x:v>
      </x:c>
      <x:c r="Z5" s="2" t="s">
        <x:v>114</x:v>
      </x:c>
      <x:c r="AA5" s="11" t="n">
        <x:f>IFERROR(VLOOKUP(E5,Harmonization_Rules!$A$2:$B$9,2,FALSE),"")</x:f>
        <x:v>63.546</x:v>
      </x:c>
      <x:c r="AB5" s="2" t="str">
        <x:f t="shared" si="0"/>
        <x:v>ECOTOX_STANDARDIZED_TARGET_METAL</x:v>
      </x:c>
      <x:c r="AC5" s="12">
        <x:f t="shared" si="1"/>
        <x:v>8.7999999999999995E-2</x:v>
      </x:c>
      <x:c r="AD5" s="12">
        <x:f t="shared" si="2"/>
        <x:v>1.3848235923582917</x:v>
      </x:c>
      <x:c r="AE5" s="12">
        <x:f t="shared" si="3"/>
        <x:v>0.32557276138861935</x:v>
      </x:c>
      <x:c r="AF5" s="2" t="str">
        <x:f t="shared" si="4"/>
        <x:v>HARMONIZED</x:v>
      </x:c>
      <x:c r="AG5" s="2" t="str">
        <x:f>IF(E5="Cr","Cr(VI) chromate/dichromate rows are retained but molar conversion is held until source-specific compound-vs-ion basis is resolved.",IF(D5=2977,"OBrien 1988 reports total dissolved Cu LC53 values in 10^-6 M; the numeric Analysis_Point is therefore treated directly as umol Cu/L.",IF(AND(D5=6825,L5="Formulation"),"Nipper 1993 source check showed the reported concentrations are nominal Zn; formulation coding does not trigger compound-mass conversion.",IF(Y5="PRIMARY_RECOVERED","Source-recovered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5" s="2" t="str">
        <x:f t="shared" si="5"/>
        <x:v>CORE</x:v>
      </x:c>
      <x:c r="AI5" s="2" t="str">
        <x:f t="shared" si="6"/>
        <x:v>YES</x:v>
      </x:c>
    </x:row>
    <x:row r="6" ht="40.5">
      <x:c r="A6" s="2">
        <x:v>61</x:v>
      </x:c>
      <x:c r="B6" s="2">
        <x:v>1159857</x:v>
      </x:c>
      <x:c r="C6" s="2">
        <x:v>142866</x:v>
      </x:c>
      <x:c r="D6" s="2">
        <x:v>14137</x:v>
      </x:c>
      <x:c r="E6" s="2" t="s">
        <x:v>10</x:v>
      </x:c>
      <x:c r="F6" s="2" t="s">
        <x:v>131</x:v>
      </x:c>
      <x:c r="G6" s="2" t="s">
        <x:v>132</x:v>
      </x:c>
      <x:c r="H6" s="2" t="s">
        <x:v>107</x:v>
      </x:c>
      <x:c r="I6" s="2" t="s">
        <x:v>125</x:v>
      </x:c>
      <x:c r="J6" s="2">
        <x:v>4</x:v>
      </x:c>
      <x:c r="K6" s="2" t="s">
        <x:v>126</x:v>
      </x:c>
      <x:c r="L6" s="2" t="s">
        <x:v>110</x:v>
      </x:c>
      <x:c r="M6" s="2"/>
      <x:c r="N6" s="2">
        <x:v>64</x:v>
      </x:c>
      <x:c r="O6" s="2"/>
      <x:c r="P6" s="2"/>
      <x:c r="Q6" s="2" t="s">
        <x:v>111</x:v>
      </x:c>
      <x:c r="R6" s="2">
        <x:v>64</x:v>
      </x:c>
      <x:c r="S6" s="2" t="s">
        <x:v>111</x:v>
      </x:c>
      <x:c r="T6" s="2"/>
      <x:c r="U6" s="2"/>
      <x:c r="V6" s="2"/>
      <x:c r="W6" s="2"/>
      <x:c r="X6" s="2" t="s">
        <x:v>133</x:v>
      </x:c>
      <x:c r="Y6" s="2" t="s">
        <x:v>113</x:v>
      </x:c>
      <x:c r="Z6" s="2" t="s">
        <x:v>114</x:v>
      </x:c>
      <x:c r="AA6" s="11" t="n">
        <x:f>IFERROR(VLOOKUP(E6,Harmonization_Rules!$A$2:$B$9,2,FALSE),"")</x:f>
        <x:v>63.546</x:v>
      </x:c>
      <x:c r="AB6" s="2" t="str">
        <x:f t="shared" si="0"/>
        <x:v>ECOTOX_STANDARDIZED_TARGET_METAL</x:v>
      </x:c>
      <x:c r="AC6" s="12">
        <x:f t="shared" si="1"/>
        <x:v>6.4000000000000001E-2</x:v>
      </x:c>
      <x:c r="AD6" s="12">
        <x:f t="shared" si="2"/>
        <x:v>1.0071444308060302</x:v>
      </x:c>
      <x:c r="AE6" s="12">
        <x:f t="shared" si="3"/>
        <x:v>7.1190302700846293E-3</x:v>
      </x:c>
      <x:c r="AF6" s="2" t="str">
        <x:f t="shared" si="4"/>
        <x:v>HARMONIZED</x:v>
      </x:c>
      <x:c r="AG6" s="2" t="str">
        <x:f>IF(E6="Cr","Cr(VI) chromate/dichromate rows are retained but molar conversion is held until source-specific compound-vs-ion basis is resolved.",IF(D6=2977,"OBrien 1988 reports total dissolved Cu LC54 values in 10^-6 M; the numeric Analysis_Point is therefore treated directly as umol Cu/L.",IF(AND(D6=6825,L6="Formulation"),"Nipper 1993 source check showed the reported concentrations are nominal Zn; formulation coding does not trigger compound-mass conversion.",IF(Y6="PRIMARY_RECOVERED","Source-recovered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6" s="2" t="str">
        <x:f t="shared" si="5"/>
        <x:v>CORE</x:v>
      </x:c>
      <x:c r="AI6" s="2" t="str">
        <x:f t="shared" si="6"/>
        <x:v>YES</x:v>
      </x:c>
    </x:row>
    <x:row r="7" ht="40.5">
      <x:c r="A7" s="2">
        <x:v>81</x:v>
      </x:c>
      <x:c r="B7" s="2">
        <x:v>1054948</x:v>
      </x:c>
      <x:c r="C7" s="2">
        <x:v>220835</x:v>
      </x:c>
      <x:c r="D7" s="2">
        <x:v>3825</x:v>
      </x:c>
      <x:c r="E7" s="2" t="s">
        <x:v>51</x:v>
      </x:c>
      <x:c r="F7" s="2" t="s">
        <x:v>140</x:v>
      </x:c>
      <x:c r="G7" s="2" t="s">
        <x:v>141</x:v>
      </x:c>
      <x:c r="H7" s="2" t="s">
        <x:v>135</x:v>
      </x:c>
      <x:c r="I7" s="2"/>
      <x:c r="J7" s="2">
        <x:v>4</x:v>
      </x:c>
      <x:c r="K7" s="2" t="s">
        <x:v>109</x:v>
      </x:c>
      <x:c r="L7" s="2" t="s">
        <x:v>110</x:v>
      </x:c>
      <x:c r="M7" s="2"/>
      <x:c r="N7" s="2">
        <x:v>668</x:v>
      </x:c>
      <x:c r="O7" s="2">
        <x:v>484</x:v>
      </x:c>
      <x:c r="P7" s="2">
        <x:v>876</x:v>
      </x:c>
      <x:c r="Q7" s="2" t="s">
        <x:v>111</x:v>
      </x:c>
      <x:c r="R7" s="2">
        <x:v>668</x:v>
      </x:c>
      <x:c r="S7" s="2" t="s">
        <x:v>111</x:v>
      </x:c>
      <x:c r="T7" s="2">
        <x:v>10</x:v>
      </x:c>
      <x:c r="U7" s="2">
        <x:v>30</x:v>
      </x:c>
      <x:c r="V7" s="2"/>
      <x:c r="W7" s="2"/>
      <x:c r="X7" s="2" t="s">
        <x:v>142</x:v>
      </x:c>
      <x:c r="Y7" s="2" t="s">
        <x:v>113</x:v>
      </x:c>
      <x:c r="Z7" s="2" t="s">
        <x:v>114</x:v>
      </x:c>
      <x:c r="AA7" s="11" t="n">
        <x:f>IFERROR(VLOOKUP(E7,Harmonization_Rules!$A$2:$B$9,2,FALSE),"")</x:f>
        <x:v>207.2</x:v>
      </x:c>
      <x:c r="AB7" s="2" t="str">
        <x:f t="shared" si="0"/>
        <x:v>ECOTOX_STANDARDIZED_TARGET_METAL</x:v>
      </x:c>
      <x:c r="AC7" s="12">
        <x:f t="shared" si="1"/>
        <x:v>0.66800000000000004</x:v>
      </x:c>
      <x:c r="AD7" s="12">
        <x:f t="shared" si="2"/>
        <x:v>3.2239382239382239</x:v>
      </x:c>
      <x:c r="AE7" s="12">
        <x:f t="shared" si="3"/>
        <x:v>1.1706036631513177</x:v>
      </x:c>
      <x:c r="AF7" s="2" t="str">
        <x:f t="shared" si="4"/>
        <x:v>HARMONIZED</x:v>
      </x:c>
      <x:c r="AG7" s="2" t="str">
        <x:f>IF(E7="Cr","Cr(VI) chromate/dichromate rows are retained but molar conversion is held until source-specific compound-vs-ion basis is resolved.",IF(D7=2977,"OBrien 1988 reports total dissolved Cu LC55 values in 10^-6 M; the numeric Analysis_Point is therefore treated directly as umol Cu/L.",IF(AND(D7=6825,L7="Formulation"),"Nipper 1993 source check showed the reported concentrations are nominal Zn; formulation coding does not trigger compound-mass conversion.",IF(Y7="PRIMARY_RECOVERED","Source-recovered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" s="2" t="str">
        <x:f t="shared" si="5"/>
        <x:v>DESCRIPTIVE</x:v>
      </x:c>
      <x:c r="AI7" s="2" t="str">
        <x:f t="shared" si="6"/>
        <x:v>NO</x:v>
      </x:c>
    </x:row>
    <x:row r="8" ht="40.5">
      <x:c r="A8" s="2">
        <x:v>83</x:v>
      </x:c>
      <x:c r="B8" s="2">
        <x:v>1053695</x:v>
      </x:c>
      <x:c r="C8" s="2">
        <x:v>194886</x:v>
      </x:c>
      <x:c r="D8" s="2">
        <x:v>3751</x:v>
      </x:c>
      <x:c r="E8" s="2" t="s">
        <x:v>51</x:v>
      </x:c>
      <x:c r="F8" s="2" t="s">
        <x:v>140</x:v>
      </x:c>
      <x:c r="G8" s="2" t="s">
        <x:v>141</x:v>
      </x:c>
      <x:c r="H8" s="2" t="s">
        <x:v>135</x:v>
      </x:c>
      <x:c r="I8" s="2" t="s">
        <x:v>108</x:v>
      </x:c>
      <x:c r="J8" s="2">
        <x:v>4</x:v>
      </x:c>
      <x:c r="K8" s="2" t="s">
        <x:v>109</x:v>
      </x:c>
      <x:c r="L8" s="2" t="s">
        <x:v>110</x:v>
      </x:c>
      <x:c r="M8" s="2"/>
      <x:c r="N8" s="2">
        <x:v>668</x:v>
      </x:c>
      <x:c r="O8" s="2">
        <x:v>484</x:v>
      </x:c>
      <x:c r="P8" s="2">
        <x:v>876</x:v>
      </x:c>
      <x:c r="Q8" s="2" t="s">
        <x:v>111</x:v>
      </x:c>
      <x:c r="R8" s="2">
        <x:v>668</x:v>
      </x:c>
      <x:c r="S8" s="2" t="s">
        <x:v>111</x:v>
      </x:c>
      <x:c r="T8" s="2">
        <x:v>10</x:v>
      </x:c>
      <x:c r="U8" s="2">
        <x:v>30</x:v>
      </x:c>
      <x:c r="V8" s="2"/>
      <x:c r="W8" s="2"/>
      <x:c r="X8" s="2" t="s">
        <x:v>143</x:v>
      </x:c>
      <x:c r="Y8" s="2" t="s">
        <x:v>113</x:v>
      </x:c>
      <x:c r="Z8" s="2" t="s">
        <x:v>114</x:v>
      </x:c>
      <x:c r="AA8" s="11" t="n">
        <x:f>IFERROR(VLOOKUP(E8,Harmonization_Rules!$A$2:$B$9,2,FALSE),"")</x:f>
        <x:v>207.2</x:v>
      </x:c>
      <x:c r="AB8" s="2" t="str">
        <x:f t="shared" si="0"/>
        <x:v>ECOTOX_STANDARDIZED_TARGET_METAL</x:v>
      </x:c>
      <x:c r="AC8" s="12">
        <x:f t="shared" si="1"/>
        <x:v>0.66800000000000004</x:v>
      </x:c>
      <x:c r="AD8" s="12">
        <x:f t="shared" si="2"/>
        <x:v>3.2239382239382239</x:v>
      </x:c>
      <x:c r="AE8" s="12">
        <x:f t="shared" si="3"/>
        <x:v>1.1706036631513177</x:v>
      </x:c>
      <x:c r="AF8" s="2" t="str">
        <x:f t="shared" si="4"/>
        <x:v>HARMONIZED</x:v>
      </x:c>
      <x:c r="AG8" s="2" t="str">
        <x:f>IF(E8="Cr","Cr(VI) chromate/dichromate rows are retained but molar conversion is held until source-specific compound-vs-ion basis is resolved.",IF(D8=2977,"OBrien 1988 reports total dissolved Cu LC56 values in 10^-6 M; the numeric Analysis_Point is therefore treated directly as umol Cu/L.",IF(AND(D8=6825,L8="Formulation"),"Nipper 1993 source check showed the reported concentrations are nominal Zn; formulation coding does not trigger compound-mass conversion.",IF(Y8="PRIMARY_RECOVERED","Source-recovered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" s="2" t="str">
        <x:f t="shared" si="5"/>
        <x:v>DESCRIPTIVE</x:v>
      </x:c>
      <x:c r="AI8" s="2" t="str">
        <x:f t="shared" si="6"/>
        <x:v>NO</x:v>
      </x:c>
    </x:row>
    <x:row r="9" ht="54">
      <x:c r="A9" s="2">
        <x:v>84</x:v>
      </x:c>
      <x:c r="B9" s="2">
        <x:v>1078773</x:v>
      </x:c>
      <x:c r="C9" s="2">
        <x:v>10206</x:v>
      </x:c>
      <x:c r="D9" s="2">
        <x:v>6079</x:v>
      </x:c>
      <x:c r="E9" s="2" t="s">
        <x:v>39</x:v>
      </x:c>
      <x:c r="F9" s="2" t="s">
        <x:v>144</x:v>
      </x:c>
      <x:c r="G9" s="2" t="s">
        <x:v>135</x:v>
      </x:c>
      <x:c r="H9" s="2" t="s">
        <x:v>135</x:v>
      </x:c>
      <x:c r="I9" s="2"/>
      <x:c r="J9" s="2">
        <x:v>2</x:v>
      </x:c>
      <x:c r="K9" s="2" t="s">
        <x:v>117</x:v>
      </x:c>
      <x:c r="L9" s="2" t="s">
        <x:v>110</x:v>
      </x:c>
      <x:c r="M9" s="2"/>
      <x:c r="N9" s="2">
        <x:v>31</x:v>
      </x:c>
      <x:c r="O9" s="2"/>
      <x:c r="P9" s="2"/>
      <x:c r="Q9" s="2" t="s">
        <x:v>111</x:v>
      </x:c>
      <x:c r="R9" s="2">
        <x:v>31</x:v>
      </x:c>
      <x:c r="S9" s="2" t="s">
        <x:v>111</x:v>
      </x:c>
      <x:c r="T9" s="2">
        <x:v>9</x:v>
      </x:c>
      <x:c r="U9" s="2"/>
      <x:c r="V9" s="2"/>
      <x:c r="W9" s="2"/>
      <x:c r="X9" s="2" t="s">
        <x:v>145</x:v>
      </x:c>
      <x:c r="Y9" s="2" t="s">
        <x:v>113</x:v>
      </x:c>
      <x:c r="Z9" s="2" t="s">
        <x:v>114</x:v>
      </x:c>
      <x:c r="AA9" s="11" t="n">
        <x:f>IFERROR(VLOOKUP(E9,Harmonization_Rules!$A$2:$B$9,2,FALSE),"")</x:f>
        <x:v>200.592</x:v>
      </x:c>
      <x:c r="AB9" s="2" t="str">
        <x:f t="shared" si="0"/>
        <x:v>ECOTOX_STANDARDIZED_TARGET_METAL</x:v>
      </x:c>
      <x:c r="AC9" s="12">
        <x:f t="shared" si="1"/>
        <x:v>3.1E-2</x:v>
      </x:c>
      <x:c r="AD9" s="12">
        <x:f t="shared" si="2"/>
        <x:v>0.15454255404004147</x:v>
      </x:c>
      <x:c r="AE9" s="12">
        <x:f t="shared" si="3"/>
        <x:v>-1.8672857898885231</x:v>
      </x:c>
      <x:c r="AF9" s="2" t="str">
        <x:f t="shared" si="4"/>
        <x:v>HARMONIZED</x:v>
      </x:c>
      <x:c r="AG9" s="2" t="str">
        <x:f>IF(E9="Cr","Cr(VI) chromate/dichromate rows are retained but molar conversion is held until source-specific compound-vs-ion basis is resolved.",IF(D9=2977,"OBrien 1988 reports total dissolved Cu LC57 values in 10^-6 M; the numeric Analysis_Point is therefore treated directly as umol Cu/L.",IF(AND(D9=6825,L9="Formulation"),"Nipper 1993 source check showed the reported concentrations are nominal Zn; formulation coding does not trigger compound-mass conversion.",IF(Y9="PRIMARY_RECOVERED","Source-recovered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" s="2" t="str">
        <x:f t="shared" si="5"/>
        <x:v>EXPLORATORY</x:v>
      </x:c>
      <x:c r="AI9" s="2" t="str">
        <x:f t="shared" si="6"/>
        <x:v>NO</x:v>
      </x:c>
    </x:row>
    <x:row r="10" ht="54">
      <x:c r="A10" s="2">
        <x:v>88</x:v>
      </x:c>
      <x:c r="B10" s="2">
        <x:v>1078775</x:v>
      </x:c>
      <x:c r="C10" s="2">
        <x:v>10208</x:v>
      </x:c>
      <x:c r="D10" s="2">
        <x:v>6079</x:v>
      </x:c>
      <x:c r="E10" s="2" t="s">
        <x:v>39</x:v>
      </x:c>
      <x:c r="F10" s="2" t="s">
        <x:v>144</x:v>
      </x:c>
      <x:c r="G10" s="2" t="s">
        <x:v>135</x:v>
      </x:c>
      <x:c r="H10" s="2" t="s">
        <x:v>135</x:v>
      </x:c>
      <x:c r="I10" s="2"/>
      <x:c r="J10" s="2">
        <x:v>2</x:v>
      </x:c>
      <x:c r="K10" s="2" t="s">
        <x:v>117</x:v>
      </x:c>
      <x:c r="L10" s="2" t="s">
        <x:v>110</x:v>
      </x:c>
      <x:c r="M10" s="2"/>
      <x:c r="N10" s="2">
        <x:v>32</x:v>
      </x:c>
      <x:c r="O10" s="2"/>
      <x:c r="P10" s="2"/>
      <x:c r="Q10" s="2" t="s">
        <x:v>111</x:v>
      </x:c>
      <x:c r="R10" s="2">
        <x:v>32</x:v>
      </x:c>
      <x:c r="S10" s="2" t="s">
        <x:v>111</x:v>
      </x:c>
      <x:c r="T10" s="2">
        <x:v>9</x:v>
      </x:c>
      <x:c r="U10" s="2"/>
      <x:c r="V10" s="2"/>
      <x:c r="W10" s="2"/>
      <x:c r="X10" s="2" t="s">
        <x:v>145</x:v>
      </x:c>
      <x:c r="Y10" s="2" t="s">
        <x:v>113</x:v>
      </x:c>
      <x:c r="Z10" s="2" t="s">
        <x:v>114</x:v>
      </x:c>
      <x:c r="AA10" s="11" t="n">
        <x:f>IFERROR(VLOOKUP(E10,Harmonization_Rules!$A$2:$B$9,2,FALSE),"")</x:f>
        <x:v>200.592</x:v>
      </x:c>
      <x:c r="AB10" s="2" t="str">
        <x:f t="shared" si="0"/>
        <x:v>ECOTOX_STANDARDIZED_TARGET_METAL</x:v>
      </x:c>
      <x:c r="AC10" s="12">
        <x:f t="shared" si="1"/>
        <x:v>3.2000000000000001E-2</x:v>
      </x:c>
      <x:c r="AD10" s="12">
        <x:f t="shared" si="2"/>
        <x:v>0.15952779771875247</x:v>
      </x:c>
      <x:c r="AE10" s="12">
        <x:f t="shared" si="3"/>
        <x:v>-1.8355370915739428</x:v>
      </x:c>
      <x:c r="AF10" s="2" t="str">
        <x:f t="shared" si="4"/>
        <x:v>HARMONIZED</x:v>
      </x:c>
      <x:c r="AG10" s="2" t="str">
        <x:f>IF(E10="Cr","Cr(VI) chromate/dichromate rows are retained but molar conversion is held until source-specific compound-vs-ion basis is resolved.",IF(D10=2977,"OBrien 1988 reports total dissolved Cu LC58 values in 10^-6 M; the numeric Analysis_Point is therefore treated directly as umol Cu/L.",IF(AND(D10=6825,L10="Formulation"),"Nipper 1993 source check showed the reported concentrations are nominal Zn; formulation coding does not trigger compound-mass conversion.",IF(Y10="PRIMARY_RECOVERED","Source-recovered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" s="2" t="str">
        <x:f t="shared" si="5"/>
        <x:v>EXPLORATORY</x:v>
      </x:c>
      <x:c r="AI10" s="2" t="str">
        <x:f t="shared" si="6"/>
        <x:v>NO</x:v>
      </x:c>
    </x:row>
    <x:row r="11" ht="54">
      <x:c r="A11" s="2">
        <x:v>103</x:v>
      </x:c>
      <x:c r="B11" s="2">
        <x:v>1078774</x:v>
      </x:c>
      <x:c r="C11" s="2">
        <x:v>10207</x:v>
      </x:c>
      <x:c r="D11" s="2">
        <x:v>6079</x:v>
      </x:c>
      <x:c r="E11" s="2" t="s">
        <x:v>39</x:v>
      </x:c>
      <x:c r="F11" s="2" t="s">
        <x:v>144</x:v>
      </x:c>
      <x:c r="G11" s="2" t="s">
        <x:v>135</x:v>
      </x:c>
      <x:c r="H11" s="2" t="s">
        <x:v>135</x:v>
      </x:c>
      <x:c r="I11" s="2" t="s">
        <x:v>108</x:v>
      </x:c>
      <x:c r="J11" s="2">
        <x:v>2</x:v>
      </x:c>
      <x:c r="K11" s="2" t="s">
        <x:v>117</x:v>
      </x:c>
      <x:c r="L11" s="2" t="s">
        <x:v>110</x:v>
      </x:c>
      <x:c r="M11" s="2"/>
      <x:c r="N11" s="2">
        <x:v>22</x:v>
      </x:c>
      <x:c r="O11" s="2"/>
      <x:c r="P11" s="2"/>
      <x:c r="Q11" s="2" t="s">
        <x:v>111</x:v>
      </x:c>
      <x:c r="R11" s="2">
        <x:v>22</x:v>
      </x:c>
      <x:c r="S11" s="2" t="s">
        <x:v>111</x:v>
      </x:c>
      <x:c r="T11" s="2">
        <x:v>21</x:v>
      </x:c>
      <x:c r="U11" s="2"/>
      <x:c r="V11" s="2"/>
      <x:c r="W11" s="2"/>
      <x:c r="X11" s="2" t="s">
        <x:v>145</x:v>
      </x:c>
      <x:c r="Y11" s="2" t="s">
        <x:v>113</x:v>
      </x:c>
      <x:c r="Z11" s="2" t="s">
        <x:v>114</x:v>
      </x:c>
      <x:c r="AA11" s="11" t="n">
        <x:f>IFERROR(VLOOKUP(E11,Harmonization_Rules!$A$2:$B$9,2,FALSE),"")</x:f>
        <x:v>200.592</x:v>
      </x:c>
      <x:c r="AB11" s="2" t="str">
        <x:f t="shared" si="0"/>
        <x:v>ECOTOX_STANDARDIZED_TARGET_METAL</x:v>
      </x:c>
      <x:c r="AC11" s="12">
        <x:f t="shared" si="1"/>
        <x:v>2.1999999999999999E-2</x:v>
      </x:c>
      <x:c r="AD11" s="12">
        <x:f t="shared" si="2"/>
        <x:v>0.10967536093164233</x:v>
      </x:c>
      <x:c r="AE11" s="12">
        <x:f t="shared" si="3"/>
        <x:v>-2.2102305410153535</x:v>
      </x:c>
      <x:c r="AF11" s="2" t="str">
        <x:f t="shared" si="4"/>
        <x:v>HARMONIZED</x:v>
      </x:c>
      <x:c r="AG11" s="2" t="str">
        <x:f>IF(E11="Cr","Cr(VI) chromate/dichromate rows are retained but molar conversion is held until source-specific compound-vs-ion basis is resolved.",IF(D11=2977,"OBrien 1988 reports total dissolved Cu LC59 values in 10^-6 M; the numeric Analysis_Point is therefore treated directly as umol Cu/L.",IF(AND(D11=6825,L11="Formulation"),"Nipper 1993 source check showed the reported concentrations are nominal Zn; formulation coding does not trigger compound-mass conversion.",IF(Y11="PRIMARY_RECOVERED","Source-recovered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" s="2" t="str">
        <x:f t="shared" si="5"/>
        <x:v>EXPLORATORY</x:v>
      </x:c>
      <x:c r="AI11" s="2" t="str">
        <x:f t="shared" si="6"/>
        <x:v>NO</x:v>
      </x:c>
    </x:row>
    <x:row r="12" ht="40.5">
      <x:c r="A12" s="2">
        <x:v>105</x:v>
      </x:c>
      <x:c r="B12" s="2">
        <x:v>1053473</x:v>
      </x:c>
      <x:c r="C12" s="2">
        <x:v>129431</x:v>
      </x:c>
      <x:c r="D12" s="2">
        <x:v>3734</x:v>
      </x:c>
      <x:c r="E12" s="2" t="s">
        <x:v>39</x:v>
      </x:c>
      <x:c r="F12" s="2" t="s">
        <x:v>144</x:v>
      </x:c>
      <x:c r="G12" s="2" t="s">
        <x:v>146</x:v>
      </x:c>
      <x:c r="H12" s="2" t="s">
        <x:v>135</x:v>
      </x:c>
      <x:c r="I12" s="2"/>
      <x:c r="J12" s="2">
        <x:v>4</x:v>
      </x:c>
      <x:c r="K12" s="2" t="s">
        <x:v>117</x:v>
      </x:c>
      <x:c r="L12" s="2" t="s">
        <x:v>110</x:v>
      </x:c>
      <x:c r="M12" s="2"/>
      <x:c r="N12" s="2">
        <x:v>79</x:v>
      </x:c>
      <x:c r="O12" s="2">
        <x:v>45</x:v>
      </x:c>
      <x:c r="P12" s="2">
        <x:v>112</x:v>
      </x:c>
      <x:c r="Q12" s="2" t="s">
        <x:v>111</x:v>
      </x:c>
      <x:c r="R12" s="2">
        <x:v>79</x:v>
      </x:c>
      <x:c r="S12" s="2" t="s">
        <x:v>111</x:v>
      </x:c>
      <x:c r="T12" s="2">
        <x:v>20</x:v>
      </x:c>
      <x:c r="U12" s="2">
        <x:v>30</x:v>
      </x:c>
      <x:c r="V12" s="2"/>
      <x:c r="W12" s="2"/>
      <x:c r="X12" s="2" t="s">
        <x:v>143</x:v>
      </x:c>
      <x:c r="Y12" s="2" t="s">
        <x:v>113</x:v>
      </x:c>
      <x:c r="Z12" s="2" t="s">
        <x:v>114</x:v>
      </x:c>
      <x:c r="AA12" s="11" t="n">
        <x:f>IFERROR(VLOOKUP(E12,Harmonization_Rules!$A$2:$B$9,2,FALSE),"")</x:f>
        <x:v>200.592</x:v>
      </x:c>
      <x:c r="AB12" s="2" t="str">
        <x:f t="shared" si="0"/>
        <x:v>ECOTOX_STANDARDIZED_TARGET_METAL</x:v>
      </x:c>
      <x:c r="AC12" s="12">
        <x:f t="shared" si="1"/>
        <x:v>7.9000000000000001E-2</x:v>
      </x:c>
      <x:c r="AD12" s="12">
        <x:f t="shared" si="2"/>
        <x:v>0.39383425061817018</x:v>
      </x:c>
      <x:c r="AE12" s="12">
        <x:f t="shared" si="3"/>
        <x:v>-0.93182514190664789</x:v>
      </x:c>
      <x:c r="AF12" s="2" t="str">
        <x:f t="shared" si="4"/>
        <x:v>HARMONIZED</x:v>
      </x:c>
      <x:c r="AG12" s="2" t="str">
        <x:f>IF(E12="Cr","Cr(VI) chromate/dichromate rows are retained but molar conversion is held until source-specific compound-vs-ion basis is resolved.",IF(D12=2977,"OBrien 1988 reports total dissolved Cu LC60 values in 10^-6 M; the numeric Analysis_Point is therefore treated directly as umol Cu/L.",IF(AND(D12=6825,L12="Formulation"),"Nipper 1993 source check showed the reported concentrations are nominal Zn; formulation coding does not trigger compound-mass conversion.",IF(Y12="PRIMARY_RECOVERED","Source-recovered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2" s="2" t="str">
        <x:f t="shared" si="5"/>
        <x:v>EXPLORATORY</x:v>
      </x:c>
      <x:c r="AI12" s="2" t="str">
        <x:f t="shared" si="6"/>
        <x:v>NO</x:v>
      </x:c>
    </x:row>
    <x:row r="13" ht="40.5">
      <x:c r="A13" s="2">
        <x:v>111</x:v>
      </x:c>
      <x:c r="B13" s="2">
        <x:v>1111935</x:v>
      </x:c>
      <x:c r="C13" s="2">
        <x:v>21216</x:v>
      </x:c>
      <x:c r="D13" s="2">
        <x:v>8445</x:v>
      </x:c>
      <x:c r="E13" s="2" t="s">
        <x:v>39</x:v>
      </x:c>
      <x:c r="F13" s="2" t="s">
        <x:v>144</x:v>
      </x:c>
      <x:c r="G13" s="2" t="s">
        <x:v>134</x:v>
      </x:c>
      <x:c r="H13" s="2" t="s">
        <x:v>135</x:v>
      </x:c>
      <x:c r="I13" s="2"/>
      <x:c r="J13" s="2">
        <x:v>2</x:v>
      </x:c>
      <x:c r="K13" s="2" t="s">
        <x:v>117</x:v>
      </x:c>
      <x:c r="L13" s="2" t="s">
        <x:v>110</x:v>
      </x:c>
      <x:c r="M13" s="2"/>
      <x:c r="N13" s="2">
        <x:v>17</x:v>
      </x:c>
      <x:c r="O13" s="2"/>
      <x:c r="P13" s="2"/>
      <x:c r="Q13" s="2" t="s">
        <x:v>111</x:v>
      </x:c>
      <x:c r="R13" s="2">
        <x:v>17</x:v>
      </x:c>
      <x:c r="S13" s="2" t="s">
        <x:v>111</x:v>
      </x:c>
      <x:c r="T13" s="2">
        <x:v>20</x:v>
      </x:c>
      <x:c r="U13" s="2">
        <x:v>10</x:v>
      </x:c>
      <x:c r="V13" s="2"/>
      <x:c r="W13" s="2"/>
      <x:c r="X13" s="2" t="s">
        <x:v>147</x:v>
      </x:c>
      <x:c r="Y13" s="2" t="s">
        <x:v>113</x:v>
      </x:c>
      <x:c r="Z13" s="2" t="s">
        <x:v>114</x:v>
      </x:c>
      <x:c r="AA13" s="11" t="n">
        <x:f>IFERROR(VLOOKUP(E13,Harmonization_Rules!$A$2:$B$9,2,FALSE),"")</x:f>
        <x:v>200.592</x:v>
      </x:c>
      <x:c r="AB13" s="2" t="str">
        <x:f t="shared" si="0"/>
        <x:v>ECOTOX_STANDARDIZED_TARGET_METAL</x:v>
      </x:c>
      <x:c r="AC13" s="12">
        <x:f t="shared" si="1"/>
        <x:v>1.7000000000000001E-2</x:v>
      </x:c>
      <x:c r="AD13" s="12">
        <x:f t="shared" si="2"/>
        <x:v>8.4749142538087255E-2</x:v>
      </x:c>
      <x:c r="AE13" s="12">
        <x:f t="shared" si="3"/>
        <x:v>-2.4680596503174534</x:v>
      </x:c>
      <x:c r="AF13" s="2" t="str">
        <x:f t="shared" si="4"/>
        <x:v>HARMONIZED</x:v>
      </x:c>
      <x:c r="AG13" s="2" t="str">
        <x:f>IF(E13="Cr","Cr(VI) chromate/dichromate rows are retained but molar conversion is held until source-specific compound-vs-ion basis is resolved.",IF(D13=2977,"OBrien 1988 reports total dissolved Cu LC61 values in 10^-6 M; the numeric Analysis_Point is therefore treated directly as umol Cu/L.",IF(AND(D13=6825,L13="Formulation"),"Nipper 1993 source check showed the reported concentrations are nominal Zn; formulation coding does not trigger compound-mass conversion.",IF(Y13="PRIMARY_RECOVERED","Source-recovered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" s="2" t="str">
        <x:f t="shared" si="5"/>
        <x:v>EXPLORATORY</x:v>
      </x:c>
      <x:c r="AI13" s="2" t="str">
        <x:f t="shared" si="6"/>
        <x:v>NO</x:v>
      </x:c>
    </x:row>
    <x:row r="14" ht="40.5">
      <x:c r="A14" s="2">
        <x:v>112</x:v>
      </x:c>
      <x:c r="B14" s="2">
        <x:v>1111929</x:v>
      </x:c>
      <x:c r="C14" s="2">
        <x:v>21210</x:v>
      </x:c>
      <x:c r="D14" s="2">
        <x:v>8445</x:v>
      </x:c>
      <x:c r="E14" s="2" t="s">
        <x:v>39</x:v>
      </x:c>
      <x:c r="F14" s="2" t="s">
        <x:v>144</x:v>
      </x:c>
      <x:c r="G14" s="2" t="s">
        <x:v>134</x:v>
      </x:c>
      <x:c r="H14" s="2" t="s">
        <x:v>135</x:v>
      </x:c>
      <x:c r="I14" s="2" t="s">
        <x:v>148</x:v>
      </x:c>
      <x:c r="J14" s="2">
        <x:v>4</x:v>
      </x:c>
      <x:c r="K14" s="2" t="s">
        <x:v>117</x:v>
      </x:c>
      <x:c r="L14" s="2" t="s">
        <x:v>110</x:v>
      </x:c>
      <x:c r="M14" s="2"/>
      <x:c r="N14" s="2">
        <x:v>15</x:v>
      </x:c>
      <x:c r="O14" s="2"/>
      <x:c r="P14" s="2"/>
      <x:c r="Q14" s="2" t="s">
        <x:v>111</x:v>
      </x:c>
      <x:c r="R14" s="2">
        <x:v>15</x:v>
      </x:c>
      <x:c r="S14" s="2" t="s">
        <x:v>111</x:v>
      </x:c>
      <x:c r="T14" s="2">
        <x:v>20</x:v>
      </x:c>
      <x:c r="U14" s="2">
        <x:v>10</x:v>
      </x:c>
      <x:c r="V14" s="2"/>
      <x:c r="W14" s="2"/>
      <x:c r="X14" s="2" t="s">
        <x:v>147</x:v>
      </x:c>
      <x:c r="Y14" s="2" t="s">
        <x:v>113</x:v>
      </x:c>
      <x:c r="Z14" s="2" t="s">
        <x:v>114</x:v>
      </x:c>
      <x:c r="AA14" s="11" t="n">
        <x:f>IFERROR(VLOOKUP(E14,Harmonization_Rules!$A$2:$B$9,2,FALSE),"")</x:f>
        <x:v>200.592</x:v>
      </x:c>
      <x:c r="AB14" s="2" t="str">
        <x:f t="shared" si="0"/>
        <x:v>ECOTOX_STANDARDIZED_TARGET_METAL</x:v>
      </x:c>
      <x:c r="AC14" s="12">
        <x:f t="shared" si="1"/>
        <x:v>1.4999999999999999E-2</x:v>
      </x:c>
      <x:c r="AD14" s="12">
        <x:f t="shared" si="2"/>
        <x:v>7.4778655180665232E-2</x:v>
      </x:c>
      <x:c r="AE14" s="12">
        <x:f t="shared" si="3"/>
        <x:v>-2.5932227932714591</x:v>
      </x:c>
      <x:c r="AF14" s="2" t="str">
        <x:f t="shared" si="4"/>
        <x:v>HARMONIZED</x:v>
      </x:c>
      <x:c r="AG14" s="2" t="str">
        <x:f>IF(E14="Cr","Cr(VI) chromate/dichromate rows are retained but molar conversion is held until source-specific compound-vs-ion basis is resolved.",IF(D14=2977,"OBrien 1988 reports total dissolved Cu LC62 values in 10^-6 M; the numeric Analysis_Point is therefore treated directly as umol Cu/L.",IF(AND(D14=6825,L14="Formulation"),"Nipper 1993 source check showed the reported concentrations are nominal Zn; formulation coding does not trigger compound-mass conversion.",IF(Y14="PRIMARY_RECOVERED","Source-recovered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" s="2" t="str">
        <x:f t="shared" si="5"/>
        <x:v>EXPLORATORY</x:v>
      </x:c>
      <x:c r="AI14" s="2" t="str">
        <x:f t="shared" si="6"/>
        <x:v>NO</x:v>
      </x:c>
    </x:row>
    <x:row r="15" ht="40.5">
      <x:c r="A15" s="2">
        <x:v>113</x:v>
      </x:c>
      <x:c r="B15" s="2">
        <x:v>1111930</x:v>
      </x:c>
      <x:c r="C15" s="2">
        <x:v>21211</x:v>
      </x:c>
      <x:c r="D15" s="2">
        <x:v>8445</x:v>
      </x:c>
      <x:c r="E15" s="2" t="s">
        <x:v>39</x:v>
      </x:c>
      <x:c r="F15" s="2" t="s">
        <x:v>144</x:v>
      </x:c>
      <x:c r="G15" s="2" t="s">
        <x:v>134</x:v>
      </x:c>
      <x:c r="H15" s="2" t="s">
        <x:v>135</x:v>
      </x:c>
      <x:c r="I15" s="2" t="s">
        <x:v>149</x:v>
      </x:c>
      <x:c r="J15" s="2">
        <x:v>1</x:v>
      </x:c>
      <x:c r="K15" s="2" t="s">
        <x:v>117</x:v>
      </x:c>
      <x:c r="L15" s="2" t="s">
        <x:v>110</x:v>
      </x:c>
      <x:c r="M15" s="2"/>
      <x:c r="N15" s="2">
        <x:v>20</x:v>
      </x:c>
      <x:c r="O15" s="2"/>
      <x:c r="P15" s="2"/>
      <x:c r="Q15" s="2" t="s">
        <x:v>111</x:v>
      </x:c>
      <x:c r="R15" s="2">
        <x:v>20</x:v>
      </x:c>
      <x:c r="S15" s="2" t="s">
        <x:v>111</x:v>
      </x:c>
      <x:c r="T15" s="2">
        <x:v>20</x:v>
      </x:c>
      <x:c r="U15" s="2">
        <x:v>10</x:v>
      </x:c>
      <x:c r="V15" s="2"/>
      <x:c r="W15" s="2"/>
      <x:c r="X15" s="2" t="s">
        <x:v>147</x:v>
      </x:c>
      <x:c r="Y15" s="2" t="s">
        <x:v>113</x:v>
      </x:c>
      <x:c r="Z15" s="2" t="s">
        <x:v>114</x:v>
      </x:c>
      <x:c r="AA15" s="11" t="n">
        <x:f>IFERROR(VLOOKUP(E15,Harmonization_Rules!$A$2:$B$9,2,FALSE),"")</x:f>
        <x:v>200.592</x:v>
      </x:c>
      <x:c r="AB15" s="2" t="str">
        <x:f t="shared" si="0"/>
        <x:v>ECOTOX_STANDARDIZED_TARGET_METAL</x:v>
      </x:c>
      <x:c r="AC15" s="12">
        <x:f t="shared" si="1"/>
        <x:v>0.02</x:v>
      </x:c>
      <x:c r="AD15" s="12">
        <x:f t="shared" si="2"/>
        <x:v>9.9704873574220296E-2</x:v>
      </x:c>
      <x:c r="AE15" s="12">
        <x:f t="shared" si="3"/>
        <x:v>-2.3055407208196783</x:v>
      </x:c>
      <x:c r="AF15" s="2" t="str">
        <x:f t="shared" si="4"/>
        <x:v>HARMONIZED</x:v>
      </x:c>
      <x:c r="AG15" s="2" t="str">
        <x:f>IF(E15="Cr","Cr(VI) chromate/dichromate rows are retained but molar conversion is held until source-specific compound-vs-ion basis is resolved.",IF(D15=2977,"OBrien 1988 reports total dissolved Cu LC63 values in 10^-6 M; the numeric Analysis_Point is therefore treated directly as umol Cu/L.",IF(AND(D15=6825,L15="Formulation"),"Nipper 1993 source check showed the reported concentrations are nominal Zn; formulation coding does not trigger compound-mass conversion.",IF(Y15="PRIMARY_RECOVERED","Source-recovered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" s="2" t="str">
        <x:f t="shared" si="5"/>
        <x:v>EXPLORATORY</x:v>
      </x:c>
      <x:c r="AI15" s="2" t="str">
        <x:f t="shared" si="6"/>
        <x:v>NO</x:v>
      </x:c>
    </x:row>
    <x:row r="16" ht="40.5">
      <x:c r="A16" s="2">
        <x:v>114</x:v>
      </x:c>
      <x:c r="B16" s="2">
        <x:v>1111932</x:v>
      </x:c>
      <x:c r="C16" s="2">
        <x:v>21213</x:v>
      </x:c>
      <x:c r="D16" s="2">
        <x:v>8445</x:v>
      </x:c>
      <x:c r="E16" s="2" t="s">
        <x:v>39</x:v>
      </x:c>
      <x:c r="F16" s="2" t="s">
        <x:v>144</x:v>
      </x:c>
      <x:c r="G16" s="2" t="s">
        <x:v>134</x:v>
      </x:c>
      <x:c r="H16" s="2" t="s">
        <x:v>135</x:v>
      </x:c>
      <x:c r="I16" s="2" t="s">
        <x:v>149</x:v>
      </x:c>
      <x:c r="J16" s="2">
        <x:v>3</x:v>
      </x:c>
      <x:c r="K16" s="2" t="s">
        <x:v>117</x:v>
      </x:c>
      <x:c r="L16" s="2" t="s">
        <x:v>110</x:v>
      </x:c>
      <x:c r="M16" s="2"/>
      <x:c r="N16" s="2">
        <x:v>17</x:v>
      </x:c>
      <x:c r="O16" s="2"/>
      <x:c r="P16" s="2"/>
      <x:c r="Q16" s="2" t="s">
        <x:v>111</x:v>
      </x:c>
      <x:c r="R16" s="2">
        <x:v>17</x:v>
      </x:c>
      <x:c r="S16" s="2" t="s">
        <x:v>111</x:v>
      </x:c>
      <x:c r="T16" s="2">
        <x:v>20</x:v>
      </x:c>
      <x:c r="U16" s="2">
        <x:v>10</x:v>
      </x:c>
      <x:c r="V16" s="2"/>
      <x:c r="W16" s="2"/>
      <x:c r="X16" s="2" t="s">
        <x:v>147</x:v>
      </x:c>
      <x:c r="Y16" s="2" t="s">
        <x:v>113</x:v>
      </x:c>
      <x:c r="Z16" s="2" t="s">
        <x:v>114</x:v>
      </x:c>
      <x:c r="AA16" s="11" t="n">
        <x:f>IFERROR(VLOOKUP(E16,Harmonization_Rules!$A$2:$B$9,2,FALSE),"")</x:f>
        <x:v>200.592</x:v>
      </x:c>
      <x:c r="AB16" s="2" t="str">
        <x:f t="shared" si="0"/>
        <x:v>ECOTOX_STANDARDIZED_TARGET_METAL</x:v>
      </x:c>
      <x:c r="AC16" s="12">
        <x:f t="shared" si="1"/>
        <x:v>1.7000000000000001E-2</x:v>
      </x:c>
      <x:c r="AD16" s="12">
        <x:f t="shared" si="2"/>
        <x:v>8.4749142538087255E-2</x:v>
      </x:c>
      <x:c r="AE16" s="12">
        <x:f t="shared" si="3"/>
        <x:v>-2.4680596503174534</x:v>
      </x:c>
      <x:c r="AF16" s="2" t="str">
        <x:f t="shared" si="4"/>
        <x:v>HARMONIZED</x:v>
      </x:c>
      <x:c r="AG16" s="2" t="str">
        <x:f>IF(E16="Cr","Cr(VI) chromate/dichromate rows are retained but molar conversion is held until source-specific compound-vs-ion basis is resolved.",IF(D16=2977,"OBrien 1988 reports total dissolved Cu LC64 values in 10^-6 M; the numeric Analysis_Point is therefore treated directly as umol Cu/L.",IF(AND(D16=6825,L16="Formulation"),"Nipper 1993 source check showed the reported concentrations are nominal Zn; formulation coding does not trigger compound-mass conversion.",IF(Y16="PRIMARY_RECOVERED","Source-recovered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" s="2" t="str">
        <x:f t="shared" si="5"/>
        <x:v>EXPLORATORY</x:v>
      </x:c>
      <x:c r="AI16" s="2" t="str">
        <x:f t="shared" si="6"/>
        <x:v>NO</x:v>
      </x:c>
    </x:row>
    <x:row r="17" ht="40.5">
      <x:c r="A17" s="2">
        <x:v>115</x:v>
      </x:c>
      <x:c r="B17" s="2">
        <x:v>1111926</x:v>
      </x:c>
      <x:c r="C17" s="2">
        <x:v>21207</x:v>
      </x:c>
      <x:c r="D17" s="2">
        <x:v>8445</x:v>
      </x:c>
      <x:c r="E17" s="2" t="s">
        <x:v>39</x:v>
      </x:c>
      <x:c r="F17" s="2" t="s">
        <x:v>144</x:v>
      </x:c>
      <x:c r="G17" s="2" t="s">
        <x:v>134</x:v>
      </x:c>
      <x:c r="H17" s="2" t="s">
        <x:v>135</x:v>
      </x:c>
      <x:c r="I17" s="2" t="s">
        <x:v>148</x:v>
      </x:c>
      <x:c r="J17" s="2">
        <x:v>1</x:v>
      </x:c>
      <x:c r="K17" s="2" t="s">
        <x:v>117</x:v>
      </x:c>
      <x:c r="L17" s="2" t="s">
        <x:v>110</x:v>
      </x:c>
      <x:c r="M17" s="2"/>
      <x:c r="N17" s="2">
        <x:v>22</x:v>
      </x:c>
      <x:c r="O17" s="2"/>
      <x:c r="P17" s="2"/>
      <x:c r="Q17" s="2" t="s">
        <x:v>111</x:v>
      </x:c>
      <x:c r="R17" s="2">
        <x:v>22</x:v>
      </x:c>
      <x:c r="S17" s="2" t="s">
        <x:v>111</x:v>
      </x:c>
      <x:c r="T17" s="2">
        <x:v>20</x:v>
      </x:c>
      <x:c r="U17" s="2">
        <x:v>10</x:v>
      </x:c>
      <x:c r="V17" s="2"/>
      <x:c r="W17" s="2"/>
      <x:c r="X17" s="2" t="s">
        <x:v>147</x:v>
      </x:c>
      <x:c r="Y17" s="2" t="s">
        <x:v>113</x:v>
      </x:c>
      <x:c r="Z17" s="2" t="s">
        <x:v>114</x:v>
      </x:c>
      <x:c r="AA17" s="11" t="n">
        <x:f>IFERROR(VLOOKUP(E17,Harmonization_Rules!$A$2:$B$9,2,FALSE),"")</x:f>
        <x:v>200.592</x:v>
      </x:c>
      <x:c r="AB17" s="2" t="str">
        <x:f t="shared" si="0"/>
        <x:v>ECOTOX_STANDARDIZED_TARGET_METAL</x:v>
      </x:c>
      <x:c r="AC17" s="12">
        <x:f t="shared" si="1"/>
        <x:v>2.1999999999999999E-2</x:v>
      </x:c>
      <x:c r="AD17" s="12">
        <x:f t="shared" si="2"/>
        <x:v>0.10967536093164233</x:v>
      </x:c>
      <x:c r="AE17" s="12">
        <x:f t="shared" si="3"/>
        <x:v>-2.2102305410153535</x:v>
      </x:c>
      <x:c r="AF17" s="2" t="str">
        <x:f t="shared" si="4"/>
        <x:v>HARMONIZED</x:v>
      </x:c>
      <x:c r="AG17" s="2" t="str">
        <x:f>IF(E17="Cr","Cr(VI) chromate/dichromate rows are retained but molar conversion is held until source-specific compound-vs-ion basis is resolved.",IF(D17=2977,"OBrien 1988 reports total dissolved Cu LC65 values in 10^-6 M; the numeric Analysis_Point is therefore treated directly as umol Cu/L.",IF(AND(D17=6825,L17="Formulation"),"Nipper 1993 source check showed the reported concentrations are nominal Zn; formulation coding does not trigger compound-mass conversion.",IF(Y17="PRIMARY_RECOVERED","Source-recovered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7" s="2" t="str">
        <x:f t="shared" si="5"/>
        <x:v>EXPLORATORY</x:v>
      </x:c>
      <x:c r="AI17" s="2" t="str">
        <x:f t="shared" si="6"/>
        <x:v>NO</x:v>
      </x:c>
    </x:row>
    <x:row r="18" ht="40.5">
      <x:c r="A18" s="2">
        <x:v>116</x:v>
      </x:c>
      <x:c r="B18" s="2">
        <x:v>1053474</x:v>
      </x:c>
      <x:c r="C18" s="2">
        <x:v>129432</x:v>
      </x:c>
      <x:c r="D18" s="2">
        <x:v>3734</x:v>
      </x:c>
      <x:c r="E18" s="2" t="s">
        <x:v>39</x:v>
      </x:c>
      <x:c r="F18" s="2" t="s">
        <x:v>144</x:v>
      </x:c>
      <x:c r="G18" s="2" t="s">
        <x:v>150</x:v>
      </x:c>
      <x:c r="H18" s="2" t="s">
        <x:v>135</x:v>
      </x:c>
      <x:c r="I18" s="2"/>
      <x:c r="J18" s="2">
        <x:v>4</x:v>
      </x:c>
      <x:c r="K18" s="2" t="s">
        <x:v>117</x:v>
      </x:c>
      <x:c r="L18" s="2" t="s">
        <x:v>110</x:v>
      </x:c>
      <x:c r="M18" s="2"/>
      <x:c r="N18" s="2">
        <x:v>158</x:v>
      </x:c>
      <x:c r="O18" s="2">
        <x:v>102</x:v>
      </x:c>
      <x:c r="P18" s="2">
        <x:v>216</x:v>
      </x:c>
      <x:c r="Q18" s="2" t="s">
        <x:v>111</x:v>
      </x:c>
      <x:c r="R18" s="2">
        <x:v>158</x:v>
      </x:c>
      <x:c r="S18" s="2" t="s">
        <x:v>111</x:v>
      </x:c>
      <x:c r="T18" s="2">
        <x:v>20</x:v>
      </x:c>
      <x:c r="U18" s="2">
        <x:v>30</x:v>
      </x:c>
      <x:c r="V18" s="2"/>
      <x:c r="W18" s="2"/>
      <x:c r="X18" s="2" t="s">
        <x:v>143</x:v>
      </x:c>
      <x:c r="Y18" s="2" t="s">
        <x:v>113</x:v>
      </x:c>
      <x:c r="Z18" s="2" t="s">
        <x:v>114</x:v>
      </x:c>
      <x:c r="AA18" s="11" t="n">
        <x:f>IFERROR(VLOOKUP(E18,Harmonization_Rules!$A$2:$B$9,2,FALSE),"")</x:f>
        <x:v>200.592</x:v>
      </x:c>
      <x:c r="AB18" s="2" t="str">
        <x:f t="shared" si="0"/>
        <x:v>ECOTOX_STANDARDIZED_TARGET_METAL</x:v>
      </x:c>
      <x:c r="AC18" s="12">
        <x:f t="shared" si="1"/>
        <x:v>0.158</x:v>
      </x:c>
      <x:c r="AD18" s="12">
        <x:f t="shared" si="2"/>
        <x:v>0.78766850123634036</x:v>
      </x:c>
      <x:c r="AE18" s="12">
        <x:f t="shared" si="3"/>
        <x:v>-0.23867796134670255</x:v>
      </x:c>
      <x:c r="AF18" s="2" t="str">
        <x:f t="shared" si="4"/>
        <x:v>HARMONIZED</x:v>
      </x:c>
      <x:c r="AG18" s="2" t="str">
        <x:f>IF(E18="Cr","Cr(VI) chromate/dichromate rows are retained but molar conversion is held until source-specific compound-vs-ion basis is resolved.",IF(D18=2977,"OBrien 1988 reports total dissolved Cu LC66 values in 10^-6 M; the numeric Analysis_Point is therefore treated directly as umol Cu/L.",IF(AND(D18=6825,L18="Formulation"),"Nipper 1993 source check showed the reported concentrations are nominal Zn; formulation coding does not trigger compound-mass conversion.",IF(Y18="PRIMARY_RECOVERED","Source-recovered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8" s="2" t="str">
        <x:f t="shared" si="5"/>
        <x:v>EXPLORATORY</x:v>
      </x:c>
      <x:c r="AI18" s="2" t="str">
        <x:f t="shared" si="6"/>
        <x:v>NO</x:v>
      </x:c>
    </x:row>
    <x:row r="19" ht="40.5">
      <x:c r="A19" s="2">
        <x:v>117</x:v>
      </x:c>
      <x:c r="B19" s="2">
        <x:v>1111934</x:v>
      </x:c>
      <x:c r="C19" s="2">
        <x:v>21215</x:v>
      </x:c>
      <x:c r="D19" s="2">
        <x:v>8445</x:v>
      </x:c>
      <x:c r="E19" s="2" t="s">
        <x:v>39</x:v>
      </x:c>
      <x:c r="F19" s="2" t="s">
        <x:v>144</x:v>
      </x:c>
      <x:c r="G19" s="2" t="s">
        <x:v>134</x:v>
      </x:c>
      <x:c r="H19" s="2" t="s">
        <x:v>135</x:v>
      </x:c>
      <x:c r="I19" s="2"/>
      <x:c r="J19" s="2">
        <x:v>1</x:v>
      </x:c>
      <x:c r="K19" s="2" t="s">
        <x:v>117</x:v>
      </x:c>
      <x:c r="L19" s="2" t="s">
        <x:v>110</x:v>
      </x:c>
      <x:c r="M19" s="2"/>
      <x:c r="N19" s="2">
        <x:v>17.5</x:v>
      </x:c>
      <x:c r="O19" s="2"/>
      <x:c r="P19" s="2"/>
      <x:c r="Q19" s="2" t="s">
        <x:v>111</x:v>
      </x:c>
      <x:c r="R19" s="2">
        <x:v>17.5</x:v>
      </x:c>
      <x:c r="S19" s="2" t="s">
        <x:v>111</x:v>
      </x:c>
      <x:c r="T19" s="2">
        <x:v>20</x:v>
      </x:c>
      <x:c r="U19" s="2">
        <x:v>10</x:v>
      </x:c>
      <x:c r="V19" s="2"/>
      <x:c r="W19" s="2"/>
      <x:c r="X19" s="2" t="s">
        <x:v>147</x:v>
      </x:c>
      <x:c r="Y19" s="2" t="s">
        <x:v>113</x:v>
      </x:c>
      <x:c r="Z19" s="2" t="s">
        <x:v>114</x:v>
      </x:c>
      <x:c r="AA19" s="11" t="n">
        <x:f>IFERROR(VLOOKUP(E19,Harmonization_Rules!$A$2:$B$9,2,FALSE),"")</x:f>
        <x:v>200.592</x:v>
      </x:c>
      <x:c r="AB19" s="2" t="str">
        <x:f t="shared" si="0"/>
        <x:v>ECOTOX_STANDARDIZED_TARGET_METAL</x:v>
      </x:c>
      <x:c r="AC19" s="12">
        <x:f t="shared" si="1"/>
        <x:v>1.7500000000000002E-2</x:v>
      </x:c>
      <x:c r="AD19" s="12">
        <x:f t="shared" si="2"/>
        <x:v>8.7241764377442757E-2</x:v>
      </x:c>
      <x:c r="AE19" s="12">
        <x:f t="shared" si="3"/>
        <x:v>-2.4390721134442011</x:v>
      </x:c>
      <x:c r="AF19" s="2" t="str">
        <x:f t="shared" si="4"/>
        <x:v>HARMONIZED</x:v>
      </x:c>
      <x:c r="AG19" s="2" t="str">
        <x:f>IF(E19="Cr","Cr(VI) chromate/dichromate rows are retained but molar conversion is held until source-specific compound-vs-ion basis is resolved.",IF(D19=2977,"OBrien 1988 reports total dissolved Cu LC67 values in 10^-6 M; the numeric Analysis_Point is therefore treated directly as umol Cu/L.",IF(AND(D19=6825,L19="Formulation"),"Nipper 1993 source check showed the reported concentrations are nominal Zn; formulation coding does not trigger compound-mass conversion.",IF(Y19="PRIMARY_RECOVERED","Source-recovered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" s="2" t="str">
        <x:f t="shared" si="5"/>
        <x:v>EXPLORATORY</x:v>
      </x:c>
      <x:c r="AI19" s="2" t="str">
        <x:f t="shared" si="6"/>
        <x:v>NO</x:v>
      </x:c>
    </x:row>
    <x:row r="20" ht="40.5">
      <x:c r="A20" s="2">
        <x:v>118</x:v>
      </x:c>
      <x:c r="B20" s="2">
        <x:v>1111928</x:v>
      </x:c>
      <x:c r="C20" s="2">
        <x:v>21209</x:v>
      </x:c>
      <x:c r="D20" s="2">
        <x:v>8445</x:v>
      </x:c>
      <x:c r="E20" s="2" t="s">
        <x:v>39</x:v>
      </x:c>
      <x:c r="F20" s="2" t="s">
        <x:v>144</x:v>
      </x:c>
      <x:c r="G20" s="2" t="s">
        <x:v>134</x:v>
      </x:c>
      <x:c r="H20" s="2" t="s">
        <x:v>135</x:v>
      </x:c>
      <x:c r="I20" s="2" t="s">
        <x:v>148</x:v>
      </x:c>
      <x:c r="J20" s="2">
        <x:v>3</x:v>
      </x:c>
      <x:c r="K20" s="2" t="s">
        <x:v>117</x:v>
      </x:c>
      <x:c r="L20" s="2" t="s">
        <x:v>110</x:v>
      </x:c>
      <x:c r="M20" s="2"/>
      <x:c r="N20" s="2">
        <x:v>16</x:v>
      </x:c>
      <x:c r="O20" s="2"/>
      <x:c r="P20" s="2"/>
      <x:c r="Q20" s="2" t="s">
        <x:v>111</x:v>
      </x:c>
      <x:c r="R20" s="2">
        <x:v>16</x:v>
      </x:c>
      <x:c r="S20" s="2" t="s">
        <x:v>111</x:v>
      </x:c>
      <x:c r="T20" s="2">
        <x:v>20</x:v>
      </x:c>
      <x:c r="U20" s="2">
        <x:v>10</x:v>
      </x:c>
      <x:c r="V20" s="2"/>
      <x:c r="W20" s="2"/>
      <x:c r="X20" s="2" t="s">
        <x:v>147</x:v>
      </x:c>
      <x:c r="Y20" s="2" t="s">
        <x:v>113</x:v>
      </x:c>
      <x:c r="Z20" s="2" t="s">
        <x:v>114</x:v>
      </x:c>
      <x:c r="AA20" s="11" t="n">
        <x:f>IFERROR(VLOOKUP(E20,Harmonization_Rules!$A$2:$B$9,2,FALSE),"")</x:f>
        <x:v>200.592</x:v>
      </x:c>
      <x:c r="AB20" s="2" t="str">
        <x:f t="shared" si="0"/>
        <x:v>ECOTOX_STANDARDIZED_TARGET_METAL</x:v>
      </x:c>
      <x:c r="AC20" s="12">
        <x:f t="shared" si="1"/>
        <x:v>1.6E-2</x:v>
      </x:c>
      <x:c r="AD20" s="12">
        <x:f t="shared" si="2"/>
        <x:v>7.9763898859376237E-2</x:v>
      </x:c>
      <x:c r="AE20" s="12">
        <x:f t="shared" si="3"/>
        <x:v>-2.528684272133888</x:v>
      </x:c>
      <x:c r="AF20" s="2" t="str">
        <x:f t="shared" si="4"/>
        <x:v>HARMONIZED</x:v>
      </x:c>
      <x:c r="AG20" s="2" t="str">
        <x:f>IF(E20="Cr","Cr(VI) chromate/dichromate rows are retained but molar conversion is held until source-specific compound-vs-ion basis is resolved.",IF(D20=2977,"OBrien 1988 reports total dissolved Cu LC68 values in 10^-6 M; the numeric Analysis_Point is therefore treated directly as umol Cu/L.",IF(AND(D20=6825,L20="Formulation"),"Nipper 1993 source check showed the reported concentrations are nominal Zn; formulation coding does not trigger compound-mass conversion.",IF(Y20="PRIMARY_RECOVERED","Source-recovered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" s="2" t="str">
        <x:f t="shared" si="5"/>
        <x:v>EXPLORATORY</x:v>
      </x:c>
      <x:c r="AI20" s="2" t="str">
        <x:f t="shared" si="6"/>
        <x:v>NO</x:v>
      </x:c>
    </x:row>
    <x:row r="21" ht="40.5">
      <x:c r="A21" s="2">
        <x:v>119</x:v>
      </x:c>
      <x:c r="B21" s="2">
        <x:v>1053471</x:v>
      </x:c>
      <x:c r="C21" s="2">
        <x:v>129429</x:v>
      </x:c>
      <x:c r="D21" s="2">
        <x:v>3734</x:v>
      </x:c>
      <x:c r="E21" s="2" t="s">
        <x:v>39</x:v>
      </x:c>
      <x:c r="F21" s="2" t="s">
        <x:v>144</x:v>
      </x:c>
      <x:c r="G21" s="2" t="s">
        <x:v>134</x:v>
      </x:c>
      <x:c r="H21" s="2" t="s">
        <x:v>135</x:v>
      </x:c>
      <x:c r="I21" s="2"/>
      <x:c r="J21" s="2">
        <x:v>4</x:v>
      </x:c>
      <x:c r="K21" s="2" t="s">
        <x:v>117</x:v>
      </x:c>
      <x:c r="L21" s="2" t="s">
        <x:v>110</x:v>
      </x:c>
      <x:c r="M21" s="2"/>
      <x:c r="N21" s="2">
        <x:v>20</x:v>
      </x:c>
      <x:c r="O21" s="2">
        <x:v>7</x:v>
      </x:c>
      <x:c r="P21" s="2">
        <x:v>38</x:v>
      </x:c>
      <x:c r="Q21" s="2" t="s">
        <x:v>111</x:v>
      </x:c>
      <x:c r="R21" s="2">
        <x:v>20</x:v>
      </x:c>
      <x:c r="S21" s="2" t="s">
        <x:v>111</x:v>
      </x:c>
      <x:c r="T21" s="2">
        <x:v>20</x:v>
      </x:c>
      <x:c r="U21" s="2">
        <x:v>30</x:v>
      </x:c>
      <x:c r="V21" s="2"/>
      <x:c r="W21" s="2"/>
      <x:c r="X21" s="2" t="s">
        <x:v>143</x:v>
      </x:c>
      <x:c r="Y21" s="2" t="s">
        <x:v>113</x:v>
      </x:c>
      <x:c r="Z21" s="2" t="s">
        <x:v>114</x:v>
      </x:c>
      <x:c r="AA21" s="11" t="n">
        <x:f>IFERROR(VLOOKUP(E21,Harmonization_Rules!$A$2:$B$9,2,FALSE),"")</x:f>
        <x:v>200.592</x:v>
      </x:c>
      <x:c r="AB21" s="2" t="str">
        <x:f t="shared" si="0"/>
        <x:v>ECOTOX_STANDARDIZED_TARGET_METAL</x:v>
      </x:c>
      <x:c r="AC21" s="12">
        <x:f t="shared" si="1"/>
        <x:v>0.02</x:v>
      </x:c>
      <x:c r="AD21" s="12">
        <x:f t="shared" si="2"/>
        <x:v>9.9704873574220296E-2</x:v>
      </x:c>
      <x:c r="AE21" s="12">
        <x:f t="shared" si="3"/>
        <x:v>-2.3055407208196783</x:v>
      </x:c>
      <x:c r="AF21" s="2" t="str">
        <x:f t="shared" si="4"/>
        <x:v>HARMONIZED</x:v>
      </x:c>
      <x:c r="AG21" s="2" t="str">
        <x:f>IF(E21="Cr","Cr(VI) chromate/dichromate rows are retained but molar conversion is held until source-specific compound-vs-ion basis is resolved.",IF(D21=2977,"OBrien 1988 reports total dissolved Cu LC69 values in 10^-6 M; the numeric Analysis_Point is therefore treated directly as umol Cu/L.",IF(AND(D21=6825,L21="Formulation"),"Nipper 1993 source check showed the reported concentrations are nominal Zn; formulation coding does not trigger compound-mass conversion.",IF(Y21="PRIMARY_RECOVERED","Source-recovered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1" s="2" t="str">
        <x:f t="shared" si="5"/>
        <x:v>EXPLORATORY</x:v>
      </x:c>
      <x:c r="AI21" s="2" t="str">
        <x:f t="shared" si="6"/>
        <x:v>NO</x:v>
      </x:c>
    </x:row>
    <x:row r="22" ht="40.5">
      <x:c r="A22" s="2">
        <x:v>120</x:v>
      </x:c>
      <x:c r="B22" s="2">
        <x:v>1053472</x:v>
      </x:c>
      <x:c r="C22" s="2">
        <x:v>129430</x:v>
      </x:c>
      <x:c r="D22" s="2">
        <x:v>3734</x:v>
      </x:c>
      <x:c r="E22" s="2" t="s">
        <x:v>39</x:v>
      </x:c>
      <x:c r="F22" s="2" t="s">
        <x:v>144</x:v>
      </x:c>
      <x:c r="G22" s="2" t="s">
        <x:v>141</x:v>
      </x:c>
      <x:c r="H22" s="2" t="s">
        <x:v>135</x:v>
      </x:c>
      <x:c r="I22" s="2"/>
      <x:c r="J22" s="2">
        <x:v>4</x:v>
      </x:c>
      <x:c r="K22" s="2" t="s">
        <x:v>117</x:v>
      </x:c>
      <x:c r="L22" s="2" t="s">
        <x:v>110</x:v>
      </x:c>
      <x:c r="M22" s="2"/>
      <x:c r="N22" s="2">
        <x:v>10</x:v>
      </x:c>
      <x:c r="O22" s="2">
        <x:v>8</x:v>
      </x:c>
      <x:c r="P22" s="2">
        <x:v>12</x:v>
      </x:c>
      <x:c r="Q22" s="2" t="s">
        <x:v>111</x:v>
      </x:c>
      <x:c r="R22" s="2">
        <x:v>10</x:v>
      </x:c>
      <x:c r="S22" s="2" t="s">
        <x:v>111</x:v>
      </x:c>
      <x:c r="T22" s="2">
        <x:v>10</x:v>
      </x:c>
      <x:c r="U22" s="2">
        <x:v>30</x:v>
      </x:c>
      <x:c r="V22" s="2"/>
      <x:c r="W22" s="2"/>
      <x:c r="X22" s="2" t="s">
        <x:v>143</x:v>
      </x:c>
      <x:c r="Y22" s="2" t="s">
        <x:v>113</x:v>
      </x:c>
      <x:c r="Z22" s="2" t="s">
        <x:v>114</x:v>
      </x:c>
      <x:c r="AA22" s="11" t="n">
        <x:f>IFERROR(VLOOKUP(E22,Harmonization_Rules!$A$2:$B$9,2,FALSE),"")</x:f>
        <x:v>200.592</x:v>
      </x:c>
      <x:c r="AB22" s="2" t="str">
        <x:f t="shared" si="0"/>
        <x:v>ECOTOX_STANDARDIZED_TARGET_METAL</x:v>
      </x:c>
      <x:c r="AC22" s="12">
        <x:f t="shared" si="1"/>
        <x:v>0.01</x:v>
      </x:c>
      <x:c r="AD22" s="12">
        <x:f t="shared" si="2"/>
        <x:v>4.9852436787110148E-2</x:v>
      </x:c>
      <x:c r="AE22" s="12">
        <x:f t="shared" si="3"/>
        <x:v>-2.9986879013796237</x:v>
      </x:c>
      <x:c r="AF22" s="2" t="str">
        <x:f t="shared" si="4"/>
        <x:v>HARMONIZED</x:v>
      </x:c>
      <x:c r="AG22" s="2" t="str">
        <x:f>IF(E22="Cr","Cr(VI) chromate/dichromate rows are retained but molar conversion is held until source-specific compound-vs-ion basis is resolved.",IF(D22=2977,"OBrien 1988 reports total dissolved Cu LC70 values in 10^-6 M; the numeric Analysis_Point is therefore treated directly as umol Cu/L.",IF(AND(D22=6825,L22="Formulation"),"Nipper 1993 source check showed the reported concentrations are nominal Zn; formulation coding does not trigger compound-mass conversion.",IF(Y22="PRIMARY_RECOVERED","Source-recovered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2" s="2" t="str">
        <x:f t="shared" si="5"/>
        <x:v>EXPLORATORY</x:v>
      </x:c>
      <x:c r="AI22" s="2" t="str">
        <x:f t="shared" si="6"/>
        <x:v>NO</x:v>
      </x:c>
    </x:row>
    <x:row r="23" ht="40.5">
      <x:c r="A23" s="2">
        <x:v>121</x:v>
      </x:c>
      <x:c r="B23" s="2">
        <x:v>1111937</x:v>
      </x:c>
      <x:c r="C23" s="2">
        <x:v>21218</x:v>
      </x:c>
      <x:c r="D23" s="2">
        <x:v>8445</x:v>
      </x:c>
      <x:c r="E23" s="2" t="s">
        <x:v>39</x:v>
      </x:c>
      <x:c r="F23" s="2" t="s">
        <x:v>144</x:v>
      </x:c>
      <x:c r="G23" s="2" t="s">
        <x:v>134</x:v>
      </x:c>
      <x:c r="H23" s="2" t="s">
        <x:v>135</x:v>
      </x:c>
      <x:c r="I23" s="2"/>
      <x:c r="J23" s="2">
        <x:v>4</x:v>
      </x:c>
      <x:c r="K23" s="2" t="s">
        <x:v>117</x:v>
      </x:c>
      <x:c r="L23" s="2" t="s">
        <x:v>110</x:v>
      </x:c>
      <x:c r="M23" s="2"/>
      <x:c r="N23" s="2">
        <x:v>10</x:v>
      </x:c>
      <x:c r="O23" s="2"/>
      <x:c r="P23" s="2"/>
      <x:c r="Q23" s="2" t="s">
        <x:v>111</x:v>
      </x:c>
      <x:c r="R23" s="2">
        <x:v>10</x:v>
      </x:c>
      <x:c r="S23" s="2" t="s">
        <x:v>111</x:v>
      </x:c>
      <x:c r="T23" s="2">
        <x:v>20</x:v>
      </x:c>
      <x:c r="U23" s="2">
        <x:v>10</x:v>
      </x:c>
      <x:c r="V23" s="2"/>
      <x:c r="W23" s="2"/>
      <x:c r="X23" s="2" t="s">
        <x:v>147</x:v>
      </x:c>
      <x:c r="Y23" s="2" t="s">
        <x:v>113</x:v>
      </x:c>
      <x:c r="Z23" s="2" t="s">
        <x:v>114</x:v>
      </x:c>
      <x:c r="AA23" s="11" t="n">
        <x:f>IFERROR(VLOOKUP(E23,Harmonization_Rules!$A$2:$B$9,2,FALSE),"")</x:f>
        <x:v>200.592</x:v>
      </x:c>
      <x:c r="AB23" s="2" t="str">
        <x:f t="shared" si="0"/>
        <x:v>ECOTOX_STANDARDIZED_TARGET_METAL</x:v>
      </x:c>
      <x:c r="AC23" s="12">
        <x:f t="shared" si="1"/>
        <x:v>0.01</x:v>
      </x:c>
      <x:c r="AD23" s="12">
        <x:f t="shared" si="2"/>
        <x:v>4.9852436787110148E-2</x:v>
      </x:c>
      <x:c r="AE23" s="12">
        <x:f t="shared" si="3"/>
        <x:v>-2.9986879013796237</x:v>
      </x:c>
      <x:c r="AF23" s="2" t="str">
        <x:f t="shared" si="4"/>
        <x:v>HARMONIZED</x:v>
      </x:c>
      <x:c r="AG23" s="2" t="str">
        <x:f>IF(E23="Cr","Cr(VI) chromate/dichromate rows are retained but molar conversion is held until source-specific compound-vs-ion basis is resolved.",IF(D23=2977,"OBrien 1988 reports total dissolved Cu LC71 values in 10^-6 M; the numeric Analysis_Point is therefore treated directly as umol Cu/L.",IF(AND(D23=6825,L23="Formulation"),"Nipper 1993 source check showed the reported concentrations are nominal Zn; formulation coding does not trigger compound-mass conversion.",IF(Y23="PRIMARY_RECOVERED","Source-recovered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3" s="2" t="str">
        <x:f t="shared" si="5"/>
        <x:v>EXPLORATORY</x:v>
      </x:c>
      <x:c r="AI23" s="2" t="str">
        <x:f t="shared" si="6"/>
        <x:v>NO</x:v>
      </x:c>
    </x:row>
    <x:row r="24" ht="40.5">
      <x:c r="A24" s="2">
        <x:v>122</x:v>
      </x:c>
      <x:c r="B24" s="2">
        <x:v>1111936</x:v>
      </x:c>
      <x:c r="C24" s="2">
        <x:v>21217</x:v>
      </x:c>
      <x:c r="D24" s="2">
        <x:v>8445</x:v>
      </x:c>
      <x:c r="E24" s="2" t="s">
        <x:v>39</x:v>
      </x:c>
      <x:c r="F24" s="2" t="s">
        <x:v>144</x:v>
      </x:c>
      <x:c r="G24" s="2" t="s">
        <x:v>134</x:v>
      </x:c>
      <x:c r="H24" s="2" t="s">
        <x:v>135</x:v>
      </x:c>
      <x:c r="I24" s="2"/>
      <x:c r="J24" s="2">
        <x:v>3</x:v>
      </x:c>
      <x:c r="K24" s="2" t="s">
        <x:v>117</x:v>
      </x:c>
      <x:c r="L24" s="2" t="s">
        <x:v>110</x:v>
      </x:c>
      <x:c r="M24" s="2"/>
      <x:c r="N24" s="2">
        <x:v>13</x:v>
      </x:c>
      <x:c r="O24" s="2"/>
      <x:c r="P24" s="2"/>
      <x:c r="Q24" s="2" t="s">
        <x:v>111</x:v>
      </x:c>
      <x:c r="R24" s="2">
        <x:v>13</x:v>
      </x:c>
      <x:c r="S24" s="2" t="s">
        <x:v>111</x:v>
      </x:c>
      <x:c r="T24" s="2">
        <x:v>20</x:v>
      </x:c>
      <x:c r="U24" s="2">
        <x:v>10</x:v>
      </x:c>
      <x:c r="V24" s="2"/>
      <x:c r="W24" s="2"/>
      <x:c r="X24" s="2" t="s">
        <x:v>147</x:v>
      </x:c>
      <x:c r="Y24" s="2" t="s">
        <x:v>113</x:v>
      </x:c>
      <x:c r="Z24" s="2" t="s">
        <x:v>114</x:v>
      </x:c>
      <x:c r="AA24" s="11" t="n">
        <x:f>IFERROR(VLOOKUP(E24,Harmonization_Rules!$A$2:$B$9,2,FALSE),"")</x:f>
        <x:v>200.592</x:v>
      </x:c>
      <x:c r="AB24" s="2" t="str">
        <x:f t="shared" si="0"/>
        <x:v>ECOTOX_STANDARDIZED_TARGET_METAL</x:v>
      </x:c>
      <x:c r="AC24" s="12">
        <x:f t="shared" si="1"/>
        <x:v>1.2999999999999999E-2</x:v>
      </x:c>
      <x:c r="AD24" s="12">
        <x:f t="shared" si="2"/>
        <x:v>6.4808167823243196E-2</x:v>
      </x:c>
      <x:c r="AE24" s="12">
        <x:f t="shared" si="3"/>
        <x:v>-2.7363236369121324</x:v>
      </x:c>
      <x:c r="AF24" s="2" t="str">
        <x:f t="shared" si="4"/>
        <x:v>HARMONIZED</x:v>
      </x:c>
      <x:c r="AG24" s="2" t="str">
        <x:f>IF(E24="Cr","Cr(VI) chromate/dichromate rows are retained but molar conversion is held until source-specific compound-vs-ion basis is resolved.",IF(D24=2977,"OBrien 1988 reports total dissolved Cu LC72 values in 10^-6 M; the numeric Analysis_Point is therefore treated directly as umol Cu/L.",IF(AND(D24=6825,L24="Formulation"),"Nipper 1993 source check showed the reported concentrations are nominal Zn; formulation coding does not trigger compound-mass conversion.",IF(Y24="PRIMARY_RECOVERED","Source-recovered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4" s="2" t="str">
        <x:f t="shared" si="5"/>
        <x:v>EXPLORATORY</x:v>
      </x:c>
      <x:c r="AI24" s="2" t="str">
        <x:f t="shared" si="6"/>
        <x:v>NO</x:v>
      </x:c>
    </x:row>
    <x:row r="25" ht="40.5">
      <x:c r="A25" s="2">
        <x:v>123</x:v>
      </x:c>
      <x:c r="B25" s="2">
        <x:v>1111931</x:v>
      </x:c>
      <x:c r="C25" s="2">
        <x:v>21212</x:v>
      </x:c>
      <x:c r="D25" s="2">
        <x:v>8445</x:v>
      </x:c>
      <x:c r="E25" s="2" t="s">
        <x:v>39</x:v>
      </x:c>
      <x:c r="F25" s="2" t="s">
        <x:v>144</x:v>
      </x:c>
      <x:c r="G25" s="2" t="s">
        <x:v>134</x:v>
      </x:c>
      <x:c r="H25" s="2" t="s">
        <x:v>135</x:v>
      </x:c>
      <x:c r="I25" s="2" t="s">
        <x:v>149</x:v>
      </x:c>
      <x:c r="J25" s="2">
        <x:v>2</x:v>
      </x:c>
      <x:c r="K25" s="2" t="s">
        <x:v>117</x:v>
      </x:c>
      <x:c r="L25" s="2" t="s">
        <x:v>110</x:v>
      </x:c>
      <x:c r="M25" s="2"/>
      <x:c r="N25" s="2">
        <x:v>19</x:v>
      </x:c>
      <x:c r="O25" s="2"/>
      <x:c r="P25" s="2"/>
      <x:c r="Q25" s="2" t="s">
        <x:v>111</x:v>
      </x:c>
      <x:c r="R25" s="2">
        <x:v>19</x:v>
      </x:c>
      <x:c r="S25" s="2" t="s">
        <x:v>111</x:v>
      </x:c>
      <x:c r="T25" s="2">
        <x:v>20</x:v>
      </x:c>
      <x:c r="U25" s="2">
        <x:v>10</x:v>
      </x:c>
      <x:c r="V25" s="2"/>
      <x:c r="W25" s="2"/>
      <x:c r="X25" s="2" t="s">
        <x:v>147</x:v>
      </x:c>
      <x:c r="Y25" s="2" t="s">
        <x:v>113</x:v>
      </x:c>
      <x:c r="Z25" s="2" t="s">
        <x:v>114</x:v>
      </x:c>
      <x:c r="AA25" s="11" t="n">
        <x:f>IFERROR(VLOOKUP(E25,Harmonization_Rules!$A$2:$B$9,2,FALSE),"")</x:f>
        <x:v>200.592</x:v>
      </x:c>
      <x:c r="AB25" s="2" t="str">
        <x:f t="shared" si="0"/>
        <x:v>ECOTOX_STANDARDIZED_TARGET_METAL</x:v>
      </x:c>
      <x:c r="AC25" s="12">
        <x:f t="shared" si="1"/>
        <x:v>1.9E-2</x:v>
      </x:c>
      <x:c r="AD25" s="12">
        <x:f t="shared" si="2"/>
        <x:v>9.4719629895509291E-2</x:v>
      </x:c>
      <x:c r="AE25" s="12">
        <x:f t="shared" si="3"/>
        <x:v>-2.3568340152072289</x:v>
      </x:c>
      <x:c r="AF25" s="2" t="str">
        <x:f t="shared" si="4"/>
        <x:v>HARMONIZED</x:v>
      </x:c>
      <x:c r="AG25" s="2" t="str">
        <x:f>IF(E25="Cr","Cr(VI) chromate/dichromate rows are retained but molar conversion is held until source-specific compound-vs-ion basis is resolved.",IF(D25=2977,"OBrien 1988 reports total dissolved Cu LC73 values in 10^-6 M; the numeric Analysis_Point is therefore treated directly as umol Cu/L.",IF(AND(D25=6825,L25="Formulation"),"Nipper 1993 source check showed the reported concentrations are nominal Zn; formulation coding does not trigger compound-mass conversion.",IF(Y25="PRIMARY_RECOVERED","Source-recovered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5" s="2" t="str">
        <x:f t="shared" si="5"/>
        <x:v>EXPLORATORY</x:v>
      </x:c>
      <x:c r="AI25" s="2" t="str">
        <x:f t="shared" si="6"/>
        <x:v>NO</x:v>
      </x:c>
    </x:row>
    <x:row r="26" ht="40.5">
      <x:c r="A26" s="2">
        <x:v>124</x:v>
      </x:c>
      <x:c r="B26" s="2">
        <x:v>1111933</x:v>
      </x:c>
      <x:c r="C26" s="2">
        <x:v>21214</x:v>
      </x:c>
      <x:c r="D26" s="2">
        <x:v>8445</x:v>
      </x:c>
      <x:c r="E26" s="2" t="s">
        <x:v>39</x:v>
      </x:c>
      <x:c r="F26" s="2" t="s">
        <x:v>144</x:v>
      </x:c>
      <x:c r="G26" s="2" t="s">
        <x:v>134</x:v>
      </x:c>
      <x:c r="H26" s="2" t="s">
        <x:v>135</x:v>
      </x:c>
      <x:c r="I26" s="2" t="s">
        <x:v>149</x:v>
      </x:c>
      <x:c r="J26" s="2">
        <x:v>4</x:v>
      </x:c>
      <x:c r="K26" s="2" t="s">
        <x:v>117</x:v>
      </x:c>
      <x:c r="L26" s="2" t="s">
        <x:v>110</x:v>
      </x:c>
      <x:c r="M26" s="2"/>
      <x:c r="N26" s="2">
        <x:v>14</x:v>
      </x:c>
      <x:c r="O26" s="2"/>
      <x:c r="P26" s="2"/>
      <x:c r="Q26" s="2" t="s">
        <x:v>111</x:v>
      </x:c>
      <x:c r="R26" s="2">
        <x:v>14</x:v>
      </x:c>
      <x:c r="S26" s="2" t="s">
        <x:v>111</x:v>
      </x:c>
      <x:c r="T26" s="2">
        <x:v>20</x:v>
      </x:c>
      <x:c r="U26" s="2">
        <x:v>10</x:v>
      </x:c>
      <x:c r="V26" s="2"/>
      <x:c r="W26" s="2"/>
      <x:c r="X26" s="2" t="s">
        <x:v>147</x:v>
      </x:c>
      <x:c r="Y26" s="2" t="s">
        <x:v>113</x:v>
      </x:c>
      <x:c r="Z26" s="2" t="s">
        <x:v>114</x:v>
      </x:c>
      <x:c r="AA26" s="11" t="n">
        <x:f>IFERROR(VLOOKUP(E26,Harmonization_Rules!$A$2:$B$9,2,FALSE),"")</x:f>
        <x:v>200.592</x:v>
      </x:c>
      <x:c r="AB26" s="2" t="str">
        <x:f t="shared" si="0"/>
        <x:v>ECOTOX_STANDARDIZED_TARGET_METAL</x:v>
      </x:c>
      <x:c r="AC26" s="12">
        <x:f t="shared" si="1"/>
        <x:v>1.4E-2</x:v>
      </x:c>
      <x:c r="AD26" s="12">
        <x:f t="shared" si="2"/>
        <x:v>6.9793411501954214E-2</x:v>
      </x:c>
      <x:c r="AE26" s="12">
        <x:f t="shared" si="3"/>
        <x:v>-2.6622156647584108</x:v>
      </x:c>
      <x:c r="AF26" s="2" t="str">
        <x:f t="shared" si="4"/>
        <x:v>HARMONIZED</x:v>
      </x:c>
      <x:c r="AG26" s="2" t="str">
        <x:f>IF(E26="Cr","Cr(VI) chromate/dichromate rows are retained but molar conversion is held until source-specific compound-vs-ion basis is resolved.",IF(D26=2977,"OBrien 1988 reports total dissolved Cu LC74 values in 10^-6 M; the numeric Analysis_Point is therefore treated directly as umol Cu/L.",IF(AND(D26=6825,L26="Formulation"),"Nipper 1993 source check showed the reported concentrations are nominal Zn; formulation coding does not trigger compound-mass conversion.",IF(Y26="PRIMARY_RECOVERED","Source-recovered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" s="2" t="str">
        <x:f t="shared" si="5"/>
        <x:v>EXPLORATORY</x:v>
      </x:c>
      <x:c r="AI26" s="2" t="str">
        <x:f t="shared" si="6"/>
        <x:v>NO</x:v>
      </x:c>
    </x:row>
    <x:row r="27" ht="40.5">
      <x:c r="A27" s="2">
        <x:v>125</x:v>
      </x:c>
      <x:c r="B27" s="2">
        <x:v>1111927</x:v>
      </x:c>
      <x:c r="C27" s="2">
        <x:v>21208</x:v>
      </x:c>
      <x:c r="D27" s="2">
        <x:v>8445</x:v>
      </x:c>
      <x:c r="E27" s="2" t="s">
        <x:v>39</x:v>
      </x:c>
      <x:c r="F27" s="2" t="s">
        <x:v>144</x:v>
      </x:c>
      <x:c r="G27" s="2" t="s">
        <x:v>134</x:v>
      </x:c>
      <x:c r="H27" s="2" t="s">
        <x:v>135</x:v>
      </x:c>
      <x:c r="I27" s="2" t="s">
        <x:v>148</x:v>
      </x:c>
      <x:c r="J27" s="2">
        <x:v>2</x:v>
      </x:c>
      <x:c r="K27" s="2" t="s">
        <x:v>117</x:v>
      </x:c>
      <x:c r="L27" s="2" t="s">
        <x:v>110</x:v>
      </x:c>
      <x:c r="M27" s="2"/>
      <x:c r="N27" s="2">
        <x:v>19</x:v>
      </x:c>
      <x:c r="O27" s="2"/>
      <x:c r="P27" s="2"/>
      <x:c r="Q27" s="2" t="s">
        <x:v>111</x:v>
      </x:c>
      <x:c r="R27" s="2">
        <x:v>19</x:v>
      </x:c>
      <x:c r="S27" s="2" t="s">
        <x:v>111</x:v>
      </x:c>
      <x:c r="T27" s="2">
        <x:v>20</x:v>
      </x:c>
      <x:c r="U27" s="2">
        <x:v>10</x:v>
      </x:c>
      <x:c r="V27" s="2"/>
      <x:c r="W27" s="2"/>
      <x:c r="X27" s="2" t="s">
        <x:v>147</x:v>
      </x:c>
      <x:c r="Y27" s="2" t="s">
        <x:v>113</x:v>
      </x:c>
      <x:c r="Z27" s="2" t="s">
        <x:v>114</x:v>
      </x:c>
      <x:c r="AA27" s="11" t="n">
        <x:f>IFERROR(VLOOKUP(E27,Harmonization_Rules!$A$2:$B$9,2,FALSE),"")</x:f>
        <x:v>200.592</x:v>
      </x:c>
      <x:c r="AB27" s="2" t="str">
        <x:f t="shared" si="0"/>
        <x:v>ECOTOX_STANDARDIZED_TARGET_METAL</x:v>
      </x:c>
      <x:c r="AC27" s="12">
        <x:f t="shared" si="1"/>
        <x:v>1.9E-2</x:v>
      </x:c>
      <x:c r="AD27" s="12">
        <x:f t="shared" si="2"/>
        <x:v>9.4719629895509291E-2</x:v>
      </x:c>
      <x:c r="AE27" s="12">
        <x:f t="shared" si="3"/>
        <x:v>-2.3568340152072289</x:v>
      </x:c>
      <x:c r="AF27" s="2" t="str">
        <x:f t="shared" si="4"/>
        <x:v>HARMONIZED</x:v>
      </x:c>
      <x:c r="AG27" s="2" t="str">
        <x:f>IF(E27="Cr","Cr(VI) chromate/dichromate rows are retained but molar conversion is held until source-specific compound-vs-ion basis is resolved.",IF(D27=2977,"OBrien 1988 reports total dissolved Cu LC75 values in 10^-6 M; the numeric Analysis_Point is therefore treated directly as umol Cu/L.",IF(AND(D27=6825,L27="Formulation"),"Nipper 1993 source check showed the reported concentrations are nominal Zn; formulation coding does not trigger compound-mass conversion.",IF(Y27="PRIMARY_RECOVERED","Source-recovered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" s="2" t="str">
        <x:f t="shared" si="5"/>
        <x:v>EXPLORATORY</x:v>
      </x:c>
      <x:c r="AI27" s="2" t="str">
        <x:f t="shared" si="6"/>
        <x:v>NO</x:v>
      </x:c>
    </x:row>
    <x:row r="28" ht="40.5">
      <x:c r="A28" s="2">
        <x:v>129</x:v>
      </x:c>
      <x:c r="B28" s="2">
        <x:v>1053477</x:v>
      </x:c>
      <x:c r="C28" s="2">
        <x:v>129435</x:v>
      </x:c>
      <x:c r="D28" s="2">
        <x:v>3734</x:v>
      </x:c>
      <x:c r="E28" s="2" t="s">
        <x:v>45</x:v>
      </x:c>
      <x:c r="F28" s="2" t="s">
        <x:v>151</x:v>
      </x:c>
      <x:c r="G28" s="2" t="s">
        <x:v>146</x:v>
      </x:c>
      <x:c r="H28" s="2" t="s">
        <x:v>135</x:v>
      </x:c>
      <x:c r="I28" s="2"/>
      <x:c r="J28" s="2">
        <x:v>3</x:v>
      </x:c>
      <x:c r="K28" s="2" t="s">
        <x:v>117</x:v>
      </x:c>
      <x:c r="L28" s="2" t="s">
        <x:v>110</x:v>
      </x:c>
      <x:c r="M28" s="2"/>
      <x:c r="N28" s="2">
        <x:v>9100</x:v>
      </x:c>
      <x:c r="O28" s="2">
        <x:v>6170</x:v>
      </x:c>
      <x:c r="P28" s="2">
        <x:v>12400</x:v>
      </x:c>
      <x:c r="Q28" s="2" t="s">
        <x:v>111</x:v>
      </x:c>
      <x:c r="R28" s="2">
        <x:v>9100</x:v>
      </x:c>
      <x:c r="S28" s="2" t="s">
        <x:v>111</x:v>
      </x:c>
      <x:c r="T28" s="2">
        <x:v>20</x:v>
      </x:c>
      <x:c r="U28" s="2">
        <x:v>30</x:v>
      </x:c>
      <x:c r="V28" s="2"/>
      <x:c r="W28" s="2"/>
      <x:c r="X28" s="2" t="s">
        <x:v>143</x:v>
      </x:c>
      <x:c r="Y28" s="2" t="s">
        <x:v>113</x:v>
      </x:c>
      <x:c r="Z28" s="2" t="s">
        <x:v>114</x:v>
      </x:c>
      <x:c r="AA28" s="11" t="n">
        <x:f>IFERROR(VLOOKUP(E28,Harmonization_Rules!$A$2:$B$9,2,FALSE),"")</x:f>
        <x:v>58.6934</x:v>
      </x:c>
      <x:c r="AB28" s="2" t="str">
        <x:f t="shared" si="0"/>
        <x:v>ECOTOX_STANDARDIZED_TARGET_METAL</x:v>
      </x:c>
      <x:c r="AC28" s="12">
        <x:f t="shared" si="1"/>
        <x:v>9.1</x:v>
      </x:c>
      <x:c r="AD28" s="12">
        <x:f t="shared" si="2"/>
        <x:v>155.04298609383679</x:v>
      </x:c>
      <x:c r="AE28" s="12">
        <x:f t="shared" si="3"/>
        <x:v>5.0437024081081478</x:v>
      </x:c>
      <x:c r="AF28" s="2" t="str">
        <x:f t="shared" si="4"/>
        <x:v>HARMONIZED</x:v>
      </x:c>
      <x:c r="AG28" s="2" t="str">
        <x:f>IF(E28="Cr","Cr(VI) chromate/dichromate rows are retained but molar conversion is held until source-specific compound-vs-ion basis is resolved.",IF(D28=2977,"OBrien 1988 reports total dissolved Cu LC76 values in 10^-6 M; the numeric Analysis_Point is therefore treated directly as umol Cu/L.",IF(AND(D28=6825,L28="Formulation"),"Nipper 1993 source check showed the reported concentrations are nominal Zn; formulation coding does not trigger compound-mass conversion.",IF(Y28="PRIMARY_RECOVERED","Source-recovered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" s="2" t="str">
        <x:f t="shared" si="5"/>
        <x:v>DESCRIPTIVE</x:v>
      </x:c>
      <x:c r="AI28" s="2" t="str">
        <x:f t="shared" si="6"/>
        <x:v>NO</x:v>
      </x:c>
    </x:row>
    <x:row r="29" ht="40.5">
      <x:c r="A29" s="2">
        <x:v>134</x:v>
      </x:c>
      <x:c r="B29" s="2">
        <x:v>1053476</x:v>
      </x:c>
      <x:c r="C29" s="2">
        <x:v>129434</x:v>
      </x:c>
      <x:c r="D29" s="2">
        <x:v>3734</x:v>
      </x:c>
      <x:c r="E29" s="2" t="s">
        <x:v>45</x:v>
      </x:c>
      <x:c r="F29" s="2" t="s">
        <x:v>151</x:v>
      </x:c>
      <x:c r="G29" s="2" t="s">
        <x:v>141</x:v>
      </x:c>
      <x:c r="H29" s="2" t="s">
        <x:v>135</x:v>
      </x:c>
      <x:c r="I29" s="2"/>
      <x:c r="J29" s="2">
        <x:v>4</x:v>
      </x:c>
      <x:c r="K29" s="2" t="s">
        <x:v>117</x:v>
      </x:c>
      <x:c r="L29" s="2" t="s">
        <x:v>110</x:v>
      </x:c>
      <x:c r="M29" s="2"/>
      <x:c r="N29" s="2">
        <x:v>2076</x:v>
      </x:c>
      <x:c r="O29" s="2">
        <x:v>1525</x:v>
      </x:c>
      <x:c r="P29" s="2">
        <x:v>2900</x:v>
      </x:c>
      <x:c r="Q29" s="2" t="s">
        <x:v>111</x:v>
      </x:c>
      <x:c r="R29" s="2">
        <x:v>2076</x:v>
      </x:c>
      <x:c r="S29" s="2" t="s">
        <x:v>111</x:v>
      </x:c>
      <x:c r="T29" s="2">
        <x:v>10</x:v>
      </x:c>
      <x:c r="U29" s="2">
        <x:v>30</x:v>
      </x:c>
      <x:c r="V29" s="2"/>
      <x:c r="W29" s="2"/>
      <x:c r="X29" s="2" t="s">
        <x:v>143</x:v>
      </x:c>
      <x:c r="Y29" s="2" t="s">
        <x:v>113</x:v>
      </x:c>
      <x:c r="Z29" s="2" t="s">
        <x:v>114</x:v>
      </x:c>
      <x:c r="AA29" s="11" t="n">
        <x:f>IFERROR(VLOOKUP(E29,Harmonization_Rules!$A$2:$B$9,2,FALSE),"")</x:f>
        <x:v>58.6934</x:v>
      </x:c>
      <x:c r="AB29" s="2" t="str">
        <x:f t="shared" si="0"/>
        <x:v>ECOTOX_STANDARDIZED_TARGET_METAL</x:v>
      </x:c>
      <x:c r="AC29" s="12">
        <x:f t="shared" si="1"/>
        <x:v>2.0760000000000001</x:v>
      </x:c>
      <x:c r="AD29" s="12">
        <x:f t="shared" si="2"/>
        <x:v>35.370246058330238</x:v>
      </x:c>
      <x:c r="AE29" s="12">
        <x:f t="shared" si="3"/>
        <x:v>3.5658709598889855</x:v>
      </x:c>
      <x:c r="AF29" s="2" t="str">
        <x:f t="shared" si="4"/>
        <x:v>HARMONIZED</x:v>
      </x:c>
      <x:c r="AG29" s="2" t="str">
        <x:f>IF(E29="Cr","Cr(VI) chromate/dichromate rows are retained but molar conversion is held until source-specific compound-vs-ion basis is resolved.",IF(D29=2977,"OBrien 1988 reports total dissolved Cu LC77 values in 10^-6 M; the numeric Analysis_Point is therefore treated directly as umol Cu/L.",IF(AND(D29=6825,L29="Formulation"),"Nipper 1993 source check showed the reported concentrations are nominal Zn; formulation coding does not trigger compound-mass conversion.",IF(Y29="PRIMARY_RECOVERED","Source-recovered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9" s="2" t="str">
        <x:f t="shared" si="5"/>
        <x:v>DESCRIPTIVE</x:v>
      </x:c>
      <x:c r="AI29" s="2" t="str">
        <x:f t="shared" si="6"/>
        <x:v>NO</x:v>
      </x:c>
    </x:row>
    <x:row r="30" ht="40.5">
      <x:c r="A30" s="2">
        <x:v>135</x:v>
      </x:c>
      <x:c r="B30" s="2">
        <x:v>1053478</x:v>
      </x:c>
      <x:c r="C30" s="2">
        <x:v>129436</x:v>
      </x:c>
      <x:c r="D30" s="2">
        <x:v>3734</x:v>
      </x:c>
      <x:c r="E30" s="2" t="s">
        <x:v>45</x:v>
      </x:c>
      <x:c r="F30" s="2" t="s">
        <x:v>151</x:v>
      </x:c>
      <x:c r="G30" s="2" t="s">
        <x:v>150</x:v>
      </x:c>
      <x:c r="H30" s="2" t="s">
        <x:v>135</x:v>
      </x:c>
      <x:c r="I30" s="2"/>
      <x:c r="J30" s="2">
        <x:v>4</x:v>
      </x:c>
      <x:c r="K30" s="2" t="s">
        <x:v>117</x:v>
      </x:c>
      <x:c r="L30" s="2" t="s">
        <x:v>110</x:v>
      </x:c>
      <x:c r="M30" s="2"/>
      <x:c r="N30" s="2">
        <x:v>9670</x:v>
      </x:c>
      <x:c r="O30" s="2">
        <x:v>7350</x:v>
      </x:c>
      <x:c r="P30" s="2">
        <x:v>12120</x:v>
      </x:c>
      <x:c r="Q30" s="2" t="s">
        <x:v>111</x:v>
      </x:c>
      <x:c r="R30" s="2">
        <x:v>9670</x:v>
      </x:c>
      <x:c r="S30" s="2" t="s">
        <x:v>111</x:v>
      </x:c>
      <x:c r="T30" s="2">
        <x:v>20</x:v>
      </x:c>
      <x:c r="U30" s="2">
        <x:v>30</x:v>
      </x:c>
      <x:c r="V30" s="2"/>
      <x:c r="W30" s="2"/>
      <x:c r="X30" s="2" t="s">
        <x:v>143</x:v>
      </x:c>
      <x:c r="Y30" s="2" t="s">
        <x:v>113</x:v>
      </x:c>
      <x:c r="Z30" s="2" t="s">
        <x:v>114</x:v>
      </x:c>
      <x:c r="AA30" s="11" t="n">
        <x:f>IFERROR(VLOOKUP(E30,Harmonization_Rules!$A$2:$B$9,2,FALSE),"")</x:f>
        <x:v>58.6934</x:v>
      </x:c>
      <x:c r="AB30" s="2" t="str">
        <x:f t="shared" si="0"/>
        <x:v>ECOTOX_STANDARDIZED_TARGET_METAL</x:v>
      </x:c>
      <x:c r="AC30" s="12">
        <x:f t="shared" si="1"/>
        <x:v>9.67</x:v>
      </x:c>
      <x:c r="AD30" s="12">
        <x:f t="shared" si="2"/>
        <x:v>164.75446983817602</x:v>
      </x:c>
      <x:c r="AE30" s="12">
        <x:f t="shared" si="3"/>
        <x:v>5.1044563040505464</x:v>
      </x:c>
      <x:c r="AF30" s="2" t="str">
        <x:f t="shared" si="4"/>
        <x:v>HARMONIZED</x:v>
      </x:c>
      <x:c r="AG30" s="2" t="str">
        <x:f>IF(E30="Cr","Cr(VI) chromate/dichromate rows are retained but molar conversion is held until source-specific compound-vs-ion basis is resolved.",IF(D30=2977,"OBrien 1988 reports total dissolved Cu LC78 values in 10^-6 M; the numeric Analysis_Point is therefore treated directly as umol Cu/L.",IF(AND(D30=6825,L30="Formulation"),"Nipper 1993 source check showed the reported concentrations are nominal Zn; formulation coding does not trigger compound-mass conversion.",IF(Y30="PRIMARY_RECOVERED","Source-recovered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0" s="2" t="str">
        <x:f t="shared" si="5"/>
        <x:v>DESCRIPTIVE</x:v>
      </x:c>
      <x:c r="AI30" s="2" t="str">
        <x:f t="shared" si="6"/>
        <x:v>NO</x:v>
      </x:c>
    </x:row>
    <x:row r="31" ht="40.5">
      <x:c r="A31" s="2">
        <x:v>136</x:v>
      </x:c>
      <x:c r="B31" s="2">
        <x:v>1053475</x:v>
      </x:c>
      <x:c r="C31" s="2">
        <x:v>129433</x:v>
      </x:c>
      <x:c r="D31" s="2">
        <x:v>3734</x:v>
      </x:c>
      <x:c r="E31" s="2" t="s">
        <x:v>45</x:v>
      </x:c>
      <x:c r="F31" s="2" t="s">
        <x:v>151</x:v>
      </x:c>
      <x:c r="G31" s="2" t="s">
        <x:v>134</x:v>
      </x:c>
      <x:c r="H31" s="2" t="s">
        <x:v>135</x:v>
      </x:c>
      <x:c r="I31" s="2"/>
      <x:c r="J31" s="2">
        <x:v>3</x:v>
      </x:c>
      <x:c r="K31" s="2" t="s">
        <x:v>117</x:v>
      </x:c>
      <x:c r="L31" s="2" t="s">
        <x:v>110</x:v>
      </x:c>
      <x:c r="M31" s="2"/>
      <x:c r="N31" s="2">
        <x:v>460</x:v>
      </x:c>
      <x:c r="O31" s="2">
        <x:v>260</x:v>
      </x:c>
      <x:c r="P31" s="2">
        <x:v>710</x:v>
      </x:c>
      <x:c r="Q31" s="2" t="s">
        <x:v>111</x:v>
      </x:c>
      <x:c r="R31" s="2">
        <x:v>460</x:v>
      </x:c>
      <x:c r="S31" s="2" t="s">
        <x:v>111</x:v>
      </x:c>
      <x:c r="T31" s="2">
        <x:v>20</x:v>
      </x:c>
      <x:c r="U31" s="2">
        <x:v>30</x:v>
      </x:c>
      <x:c r="V31" s="2"/>
      <x:c r="W31" s="2"/>
      <x:c r="X31" s="2" t="s">
        <x:v>143</x:v>
      </x:c>
      <x:c r="Y31" s="2" t="s">
        <x:v>113</x:v>
      </x:c>
      <x:c r="Z31" s="2" t="s">
        <x:v>114</x:v>
      </x:c>
      <x:c r="AA31" s="11" t="n">
        <x:f>IFERROR(VLOOKUP(E31,Harmonization_Rules!$A$2:$B$9,2,FALSE),"")</x:f>
        <x:v>58.6934</x:v>
      </x:c>
      <x:c r="AB31" s="2" t="str">
        <x:f t="shared" si="0"/>
        <x:v>ECOTOX_STANDARDIZED_TARGET_METAL</x:v>
      </x:c>
      <x:c r="AC31" s="12">
        <x:f t="shared" si="1"/>
        <x:v>0.46</x:v>
      </x:c>
      <x:c r="AD31" s="12">
        <x:f t="shared" si="2"/>
        <x:v>7.8373377585895518</x:v>
      </x:c>
      <x:c r="AE31" s="12">
        <x:f t="shared" si="3"/>
        <x:v>2.0588992050863473</x:v>
      </x:c>
      <x:c r="AF31" s="2" t="str">
        <x:f t="shared" si="4"/>
        <x:v>HARMONIZED</x:v>
      </x:c>
      <x:c r="AG31" s="2" t="str">
        <x:f>IF(E31="Cr","Cr(VI) chromate/dichromate rows are retained but molar conversion is held until source-specific compound-vs-ion basis is resolved.",IF(D31=2977,"OBrien 1988 reports total dissolved Cu LC79 values in 10^-6 M; the numeric Analysis_Point is therefore treated directly as umol Cu/L.",IF(AND(D31=6825,L31="Formulation"),"Nipper 1993 source check showed the reported concentrations are nominal Zn; formulation coding does not trigger compound-mass conversion.",IF(Y31="PRIMARY_RECOVERED","Source-recovered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1" s="2" t="str">
        <x:f t="shared" si="5"/>
        <x:v>DESCRIPTIVE</x:v>
      </x:c>
      <x:c r="AI31" s="2" t="str">
        <x:f t="shared" si="6"/>
        <x:v>NO</x:v>
      </x:c>
    </x:row>
    <x:row r="32" ht="40.5">
      <x:c r="A32" s="2">
        <x:v>138</x:v>
      </x:c>
      <x:c r="B32" s="2">
        <x:v>1284914</x:v>
      </x:c>
      <x:c r="C32" s="2">
        <x:v>738947</x:v>
      </x:c>
      <x:c r="D32" s="2">
        <x:v>59900</x:v>
      </x:c>
      <x:c r="E32" s="2" t="s">
        <x:v>27</x:v>
      </x:c>
      <x:c r="F32" s="2" t="s">
        <x:v>152</x:v>
      </x:c>
      <x:c r="G32" s="2" t="s">
        <x:v>153</x:v>
      </x:c>
      <x:c r="H32" s="2" t="s">
        <x:v>135</x:v>
      </x:c>
      <x:c r="I32" s="2"/>
      <x:c r="J32" s="2">
        <x:v>2</x:v>
      </x:c>
      <x:c r="K32" s="2" t="s">
        <x:v>117</x:v>
      </x:c>
      <x:c r="L32" s="2" t="s">
        <x:v>110</x:v>
      </x:c>
      <x:c r="M32" s="2"/>
      <x:c r="N32" s="2">
        <x:v>400</x:v>
      </x:c>
      <x:c r="O32" s="2"/>
      <x:c r="P32" s="2"/>
      <x:c r="Q32" s="2" t="s">
        <x:v>154</x:v>
      </x:c>
      <x:c r="R32" s="2">
        <x:v>400</x:v>
      </x:c>
      <x:c r="S32" s="2" t="s">
        <x:v>154</x:v>
      </x:c>
      <x:c r="T32" s="2">
        <x:v>15</x:v>
      </x:c>
      <x:c r="U32" s="2"/>
      <x:c r="V32" s="2">
        <x:v>8</x:v>
      </x:c>
      <x:c r="W32" s="2">
        <x:v>1</x:v>
      </x:c>
      <x:c r="X32" s="2" t="s">
        <x:v>155</x:v>
      </x:c>
      <x:c r="Y32" s="2" t="s">
        <x:v>113</x:v>
      </x:c>
      <x:c r="Z32" s="2" t="s">
        <x:v>114</x:v>
      </x:c>
      <x:c r="AA32" s="11" t="n">
        <x:f>IFERROR(VLOOKUP(E32,Harmonization_Rules!$A$2:$B$9,2,FALSE),"")</x:f>
        <x:v>107.8682</x:v>
      </x:c>
      <x:c r="AB32" s="2" t="str">
        <x:f t="shared" si="0"/>
        <x:v>ECOTOX_STANDARDIZED_TARGET_METAL</x:v>
      </x:c>
      <x:c r="AC32" s="12">
        <x:f t="shared" si="1"/>
        <x:v>4.3147279999999996E-2</x:v>
      </x:c>
      <x:c r="AD32" s="12">
        <x:f t="shared" si="2"/>
        <x:v>0.4</x:v>
      </x:c>
      <x:c r="AE32" s="12">
        <x:f t="shared" si="3"/>
        <x:v>-0.916290731874155</x:v>
      </x:c>
      <x:c r="AF32" s="2" t="str">
        <x:f t="shared" si="4"/>
        <x:v>HARMONIZED</x:v>
      </x:c>
      <x:c r="AG32" s="2" t="str">
        <x:f>IF(E32="Cr","Cr(VI) chromate/dichromate rows are retained but molar conversion is held until source-specific compound-vs-ion basis is resolved.",IF(D32=2977,"OBrien 1988 reports total dissolved Cu LC80 values in 10^-6 M; the numeric Analysis_Point is therefore treated directly as umol Cu/L.",IF(AND(D32=6825,L32="Formulation"),"Nipper 1993 source check showed the reported concentrations are nominal Zn; formulation coding does not trigger compound-mass conversion.",IF(Y32="PRIMARY_RECOVERED","Source-recovered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2" s="2" t="str">
        <x:f t="shared" si="5"/>
        <x:v>SECONDARY</x:v>
      </x:c>
      <x:c r="AI32" s="2" t="str">
        <x:f t="shared" si="6"/>
        <x:v>NO</x:v>
      </x:c>
    </x:row>
    <x:row r="33" ht="40.5">
      <x:c r="A33" s="2">
        <x:v>139</x:v>
      </x:c>
      <x:c r="B33" s="2">
        <x:v>1053694</x:v>
      </x:c>
      <x:c r="C33" s="2">
        <x:v>194885</x:v>
      </x:c>
      <x:c r="D33" s="2">
        <x:v>3751</x:v>
      </x:c>
      <x:c r="E33" s="2" t="s">
        <x:v>27</x:v>
      </x:c>
      <x:c r="F33" s="2" t="s">
        <x:v>152</x:v>
      </x:c>
      <x:c r="G33" s="2" t="s">
        <x:v>134</x:v>
      </x:c>
      <x:c r="H33" s="2" t="s">
        <x:v>135</x:v>
      </x:c>
      <x:c r="I33" s="2" t="s">
        <x:v>108</x:v>
      </x:c>
      <x:c r="J33" s="2">
        <x:v>4</x:v>
      </x:c>
      <x:c r="K33" s="2" t="s">
        <x:v>109</x:v>
      </x:c>
      <x:c r="L33" s="2" t="s">
        <x:v>110</x:v>
      </x:c>
      <x:c r="M33" s="2"/>
      <x:c r="N33" s="2">
        <x:v>43</x:v>
      </x:c>
      <x:c r="O33" s="2">
        <x:v>30</x:v>
      </x:c>
      <x:c r="P33" s="2">
        <x:v>60</x:v>
      </x:c>
      <x:c r="Q33" s="2" t="s">
        <x:v>111</x:v>
      </x:c>
      <x:c r="R33" s="2">
        <x:v>43</x:v>
      </x:c>
      <x:c r="S33" s="2" t="s">
        <x:v>111</x:v>
      </x:c>
      <x:c r="T33" s="2">
        <x:v>20</x:v>
      </x:c>
      <x:c r="U33" s="2">
        <x:v>30</x:v>
      </x:c>
      <x:c r="V33" s="2"/>
      <x:c r="W33" s="2"/>
      <x:c r="X33" s="2" t="s">
        <x:v>143</x:v>
      </x:c>
      <x:c r="Y33" s="2" t="s">
        <x:v>113</x:v>
      </x:c>
      <x:c r="Z33" s="2" t="s">
        <x:v>114</x:v>
      </x:c>
      <x:c r="AA33" s="11" t="n">
        <x:f>IFERROR(VLOOKUP(E33,Harmonization_Rules!$A$2:$B$9,2,FALSE),"")</x:f>
        <x:v>107.8682</x:v>
      </x:c>
      <x:c r="AB33" s="2" t="str">
        <x:f t="shared" si="0"/>
        <x:v>ECOTOX_STANDARDIZED_TARGET_METAL</x:v>
      </x:c>
      <x:c r="AC33" s="12">
        <x:f t="shared" si="1"/>
        <x:v>4.2999999999999997E-2</x:v>
      </x:c>
      <x:c r="AD33" s="12">
        <x:f t="shared" si="2"/>
        <x:v>0.39863463003925159</x:v>
      </x:c>
      <x:c r="AE33" s="12">
        <x:f t="shared" si="3"/>
        <x:v>-0.91970999580197732</x:v>
      </x:c>
      <x:c r="AF33" s="2" t="str">
        <x:f t="shared" si="4"/>
        <x:v>HARMONIZED</x:v>
      </x:c>
      <x:c r="AG33" s="2" t="str">
        <x:f>IF(E33="Cr","Cr(VI) chromate/dichromate rows are retained but molar conversion is held until source-specific compound-vs-ion basis is resolved.",IF(D33=2977,"OBrien 1988 reports total dissolved Cu LC81 values in 10^-6 M; the numeric Analysis_Point is therefore treated directly as umol Cu/L.",IF(AND(D33=6825,L33="Formulation"),"Nipper 1993 source check showed the reported concentrations are nominal Zn; formulation coding does not trigger compound-mass conversion.",IF(Y33="PRIMARY_RECOVERED","Source-recovered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3" s="2" t="str">
        <x:f t="shared" si="5"/>
        <x:v>SECONDARY</x:v>
      </x:c>
      <x:c r="AI33" s="2" t="str">
        <x:f t="shared" si="6"/>
        <x:v>NO</x:v>
      </x:c>
    </x:row>
    <x:row r="34" ht="40.5">
      <x:c r="A34" s="2">
        <x:v>140</x:v>
      </x:c>
      <x:c r="B34" s="2">
        <x:v>1053693</x:v>
      </x:c>
      <x:c r="C34" s="2">
        <x:v>194884</x:v>
      </x:c>
      <x:c r="D34" s="2">
        <x:v>3751</x:v>
      </x:c>
      <x:c r="E34" s="2" t="s">
        <x:v>27</x:v>
      </x:c>
      <x:c r="F34" s="2" t="s">
        <x:v>152</x:v>
      </x:c>
      <x:c r="G34" s="2" t="s">
        <x:v>141</x:v>
      </x:c>
      <x:c r="H34" s="2" t="s">
        <x:v>135</x:v>
      </x:c>
      <x:c r="I34" s="2" t="s">
        <x:v>108</x:v>
      </x:c>
      <x:c r="J34" s="2">
        <x:v>4</x:v>
      </x:c>
      <x:c r="K34" s="2" t="s">
        <x:v>109</x:v>
      </x:c>
      <x:c r="L34" s="2" t="s">
        <x:v>110</x:v>
      </x:c>
      <x:c r="M34" s="2"/>
      <x:c r="N34" s="2">
        <x:v>15</x:v>
      </x:c>
      <x:c r="O34" s="2">
        <x:v>10</x:v>
      </x:c>
      <x:c r="P34" s="2">
        <x:v>19</x:v>
      </x:c>
      <x:c r="Q34" s="2" t="s">
        <x:v>111</x:v>
      </x:c>
      <x:c r="R34" s="2">
        <x:v>15</x:v>
      </x:c>
      <x:c r="S34" s="2" t="s">
        <x:v>111</x:v>
      </x:c>
      <x:c r="T34" s="2">
        <x:v>10</x:v>
      </x:c>
      <x:c r="U34" s="2">
        <x:v>30</x:v>
      </x:c>
      <x:c r="V34" s="2"/>
      <x:c r="W34" s="2"/>
      <x:c r="X34" s="2" t="s">
        <x:v>143</x:v>
      </x:c>
      <x:c r="Y34" s="2" t="s">
        <x:v>113</x:v>
      </x:c>
      <x:c r="Z34" s="2" t="s">
        <x:v>114</x:v>
      </x:c>
      <x:c r="AA34" s="11" t="n">
        <x:f>IFERROR(VLOOKUP(E34,Harmonization_Rules!$A$2:$B$9,2,FALSE),"")</x:f>
        <x:v>107.8682</x:v>
      </x:c>
      <x:c r="AB34" s="2" t="str">
        <x:f t="shared" si="0"/>
        <x:v>ECOTOX_STANDARDIZED_TARGET_METAL</x:v>
      </x:c>
      <x:c r="AC34" s="12">
        <x:f t="shared" si="1"/>
        <x:v>1.4999999999999999E-2</x:v>
      </x:c>
      <x:c r="AD34" s="12">
        <x:f t="shared" si="2"/>
        <x:v>0.13905859187415753</x:v>
      </x:c>
      <x:c r="AE34" s="12">
        <x:f t="shared" si="3"/>
        <x:v>-1.9728599103933298</x:v>
      </x:c>
      <x:c r="AF34" s="2" t="str">
        <x:f t="shared" si="4"/>
        <x:v>HARMONIZED</x:v>
      </x:c>
      <x:c r="AG34" s="2" t="str">
        <x:f>IF(E34="Cr","Cr(VI) chromate/dichromate rows are retained but molar conversion is held until source-specific compound-vs-ion basis is resolved.",IF(D34=2977,"OBrien 1988 reports total dissolved Cu LC82 values in 10^-6 M; the numeric Analysis_Point is therefore treated directly as umol Cu/L.",IF(AND(D34=6825,L34="Formulation"),"Nipper 1993 source check showed the reported concentrations are nominal Zn; formulation coding does not trigger compound-mass conversion.",IF(Y34="PRIMARY_RECOVERED","Source-recovered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4" s="2" t="str">
        <x:f t="shared" si="5"/>
        <x:v>SECONDARY</x:v>
      </x:c>
      <x:c r="AI34" s="2" t="str">
        <x:f t="shared" si="6"/>
        <x:v>NO</x:v>
      </x:c>
    </x:row>
    <x:row r="35" ht="40.5">
      <x:c r="A35" s="2">
        <x:v>184</x:v>
      </x:c>
      <x:c r="B35" s="2">
        <x:v>1111942</x:v>
      </x:c>
      <x:c r="C35" s="2">
        <x:v>23768</x:v>
      </x:c>
      <x:c r="D35" s="2">
        <x:v>8445</x:v>
      </x:c>
      <x:c r="E35" s="2" t="s">
        <x:v>16</x:v>
      </x:c>
      <x:c r="F35" s="2" t="s">
        <x:v>156</x:v>
      </x:c>
      <x:c r="G35" s="2" t="s">
        <x:v>134</x:v>
      </x:c>
      <x:c r="H35" s="2" t="s">
        <x:v>135</x:v>
      </x:c>
      <x:c r="I35" s="2" t="s">
        <x:v>149</x:v>
      </x:c>
      <x:c r="J35" s="2">
        <x:v>4</x:v>
      </x:c>
      <x:c r="K35" s="2" t="s">
        <x:v>117</x:v>
      </x:c>
      <x:c r="L35" s="2" t="s">
        <x:v>110</x:v>
      </x:c>
      <x:c r="M35" s="2"/>
      <x:c r="N35" s="2">
        <x:v>190</x:v>
      </x:c>
      <x:c r="O35" s="2"/>
      <x:c r="P35" s="2"/>
      <x:c r="Q35" s="2" t="s">
        <x:v>111</x:v>
      </x:c>
      <x:c r="R35" s="2">
        <x:v>190</x:v>
      </x:c>
      <x:c r="S35" s="2" t="s">
        <x:v>111</x:v>
      </x:c>
      <x:c r="T35" s="2">
        <x:v>20</x:v>
      </x:c>
      <x:c r="U35" s="2">
        <x:v>10</x:v>
      </x:c>
      <x:c r="V35" s="2"/>
      <x:c r="W35" s="2"/>
      <x:c r="X35" s="2" t="s">
        <x:v>147</x:v>
      </x:c>
      <x:c r="Y35" s="2" t="s">
        <x:v>113</x:v>
      </x:c>
      <x:c r="Z35" s="2" t="s">
        <x:v>114</x:v>
      </x:c>
      <x:c r="AA35" s="11" t="n">
        <x:f>IFERROR(VLOOKUP(E35,Harmonization_Rules!$A$2:$B$9,2,FALSE),"")</x:f>
        <x:v>112.414</x:v>
      </x:c>
      <x:c r="AB35" s="2" t="str">
        <x:f t="shared" si="0"/>
        <x:v>ECOTOX_STANDARDIZED_TARGET_METAL</x:v>
      </x:c>
      <x:c r="AC35" s="12">
        <x:f t="shared" si="1"/>
        <x:v>0.19</x:v>
      </x:c>
      <x:c r="AD35" s="12">
        <x:f t="shared" si="2"/>
        <x:v>1.6901809383172914</x:v>
      </x:c>
      <x:c r="AE35" s="12">
        <x:f t="shared" si="3"/>
        <x:v>0.524835587297103</x:v>
      </x:c>
      <x:c r="AF35" s="2" t="str">
        <x:f t="shared" si="4"/>
        <x:v>HARMONIZED</x:v>
      </x:c>
      <x:c r="AG35" s="2" t="str">
        <x:f>IF(E35="Cr","Cr(VI) chromate/dichromate rows are retained but molar conversion is held until source-specific compound-vs-ion basis is resolved.",IF(D35=2977,"OBrien 1988 reports total dissolved Cu LC83 values in 10^-6 M; the numeric Analysis_Point is therefore treated directly as umol Cu/L.",IF(AND(D35=6825,L35="Formulation"),"Nipper 1993 source check showed the reported concentrations are nominal Zn; formulation coding does not trigger compound-mass conversion.",IF(Y35="PRIMARY_RECOVERED","Source-recovered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5" s="2" t="str">
        <x:f t="shared" si="5"/>
        <x:v>CORE</x:v>
      </x:c>
      <x:c r="AI35" s="2" t="str">
        <x:f t="shared" si="6"/>
        <x:v>YES</x:v>
      </x:c>
    </x:row>
    <x:row r="36" ht="40.5">
      <x:c r="A36" s="2">
        <x:v>193</x:v>
      </x:c>
      <x:c r="B36" s="2">
        <x:v>1111941</x:v>
      </x:c>
      <x:c r="C36" s="2">
        <x:v>23767</x:v>
      </x:c>
      <x:c r="D36" s="2">
        <x:v>8445</x:v>
      </x:c>
      <x:c r="E36" s="2" t="s">
        <x:v>16</x:v>
      </x:c>
      <x:c r="F36" s="2" t="s">
        <x:v>156</x:v>
      </x:c>
      <x:c r="G36" s="2" t="s">
        <x:v>134</x:v>
      </x:c>
      <x:c r="H36" s="2" t="s">
        <x:v>135</x:v>
      </x:c>
      <x:c r="I36" s="2" t="s">
        <x:v>108</x:v>
      </x:c>
      <x:c r="J36" s="2">
        <x:v>4</x:v>
      </x:c>
      <x:c r="K36" s="2" t="s">
        <x:v>117</x:v>
      </x:c>
      <x:c r="L36" s="2" t="s">
        <x:v>110</x:v>
      </x:c>
      <x:c r="M36" s="2"/>
      <x:c r="N36" s="2">
        <x:v>122</x:v>
      </x:c>
      <x:c r="O36" s="2">
        <x:v>60</x:v>
      </x:c>
      <x:c r="P36" s="2">
        <x:v>341</x:v>
      </x:c>
      <x:c r="Q36" s="2" t="s">
        <x:v>111</x:v>
      </x:c>
      <x:c r="R36" s="2">
        <x:v>122</x:v>
      </x:c>
      <x:c r="S36" s="2" t="s">
        <x:v>111</x:v>
      </x:c>
      <x:c r="T36" s="2">
        <x:v>20</x:v>
      </x:c>
      <x:c r="U36" s="2">
        <x:v>30</x:v>
      </x:c>
      <x:c r="V36" s="2"/>
      <x:c r="W36" s="2"/>
      <x:c r="X36" s="2" t="s">
        <x:v>147</x:v>
      </x:c>
      <x:c r="Y36" s="2" t="s">
        <x:v>113</x:v>
      </x:c>
      <x:c r="Z36" s="2" t="s">
        <x:v>114</x:v>
      </x:c>
      <x:c r="AA36" s="11" t="n">
        <x:f>IFERROR(VLOOKUP(E36,Harmonization_Rules!$A$2:$B$9,2,FALSE),"")</x:f>
        <x:v>112.414</x:v>
      </x:c>
      <x:c r="AB36" s="2" t="str">
        <x:f t="shared" si="0"/>
        <x:v>ECOTOX_STANDARDIZED_TARGET_METAL</x:v>
      </x:c>
      <x:c r="AC36" s="12">
        <x:f t="shared" si="1"/>
        <x:v>0.122</x:v>
      </x:c>
      <x:c r="AD36" s="12">
        <x:f t="shared" si="2"/>
        <x:v>1.0852740761826818</x:v>
      </x:c>
      <x:c r="AE36" s="12">
        <x:f t="shared" si="3"/>
        <x:v>8.1832559869873339E-2</x:v>
      </x:c>
      <x:c r="AF36" s="2" t="str">
        <x:f t="shared" si="4"/>
        <x:v>HARMONIZED</x:v>
      </x:c>
      <x:c r="AG36" s="2" t="str">
        <x:f>IF(E36="Cr","Cr(VI) chromate/dichromate rows are retained but molar conversion is held until source-specific compound-vs-ion basis is resolved.",IF(D36=2977,"OBrien 1988 reports total dissolved Cu LC84 values in 10^-6 M; the numeric Analysis_Point is therefore treated directly as umol Cu/L.",IF(AND(D36=6825,L36="Formulation"),"Nipper 1993 source check showed the reported concentrations are nominal Zn; formulation coding does not trigger compound-mass conversion.",IF(Y36="PRIMARY_RECOVERED","Source-recovered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6" s="2" t="str">
        <x:f t="shared" si="5"/>
        <x:v>CORE</x:v>
      </x:c>
      <x:c r="AI36" s="2" t="str">
        <x:f t="shared" si="6"/>
        <x:v>YES</x:v>
      </x:c>
    </x:row>
    <x:row r="37" ht="40.5">
      <x:c r="A37" s="2">
        <x:v>203</x:v>
      </x:c>
      <x:c r="B37" s="2">
        <x:v>1120299</x:v>
      </x:c>
      <x:c r="C37" s="2">
        <x:v>126283</x:v>
      </x:c>
      <x:c r="D37" s="2">
        <x:v>9365</x:v>
      </x:c>
      <x:c r="E37" s="2" t="s">
        <x:v>16</x:v>
      </x:c>
      <x:c r="F37" s="2" t="s">
        <x:v>156</x:v>
      </x:c>
      <x:c r="G37" s="2" t="s">
        <x:v>157</x:v>
      </x:c>
      <x:c r="H37" s="2" t="s">
        <x:v>107</x:v>
      </x:c>
      <x:c r="I37" s="2" t="s">
        <x:v>108</x:v>
      </x:c>
      <x:c r="J37" s="2">
        <x:v>4</x:v>
      </x:c>
      <x:c r="K37" s="2" t="s">
        <x:v>117</x:v>
      </x:c>
      <x:c r="L37" s="2" t="s">
        <x:v>110</x:v>
      </x:c>
      <x:c r="M37" s="2"/>
      <x:c r="N37" s="2">
        <x:v>224</x:v>
      </x:c>
      <x:c r="O37" s="2">
        <x:v>213</x:v>
      </x:c>
      <x:c r="P37" s="2">
        <x:v>234</x:v>
      </x:c>
      <x:c r="Q37" s="2" t="s">
        <x:v>111</x:v>
      </x:c>
      <x:c r="R37" s="2">
        <x:v>224</x:v>
      </x:c>
      <x:c r="S37" s="2" t="s">
        <x:v>111</x:v>
      </x:c>
      <x:c r="T37" s="2">
        <x:v>20.8</x:v>
      </x:c>
      <x:c r="U37" s="2">
        <x:v>30.7</x:v>
      </x:c>
      <x:c r="V37" s="2">
        <x:v>7.8</x:v>
      </x:c>
      <x:c r="W37" s="2"/>
      <x:c r="X37" s="2" t="s">
        <x:v>158</x:v>
      </x:c>
      <x:c r="Y37" s="2" t="s">
        <x:v>113</x:v>
      </x:c>
      <x:c r="Z37" s="2" t="s">
        <x:v>114</x:v>
      </x:c>
      <x:c r="AA37" s="11" t="n">
        <x:f>IFERROR(VLOOKUP(E37,Harmonization_Rules!$A$2:$B$9,2,FALSE),"")</x:f>
        <x:v>112.414</x:v>
      </x:c>
      <x:c r="AB37" s="2" t="str">
        <x:f t="shared" si="0"/>
        <x:v>ECOTOX_STANDARDIZED_TARGET_METAL</x:v>
      </x:c>
      <x:c r="AC37" s="12">
        <x:f t="shared" si="1"/>
        <x:v>0.224</x:v>
      </x:c>
      <x:c r="AD37" s="12">
        <x:f t="shared" si="2"/>
        <x:v>1.9926343693845963</x:v>
      </x:c>
      <x:c r="AE37" s="12">
        <x:f t="shared" si="3"/>
        <x:v>0.68945756699165672</x:v>
      </x:c>
      <x:c r="AF37" s="2" t="str">
        <x:f t="shared" si="4"/>
        <x:v>HARMONIZED</x:v>
      </x:c>
      <x:c r="AG37" s="2" t="str">
        <x:f>IF(E37="Cr","Cr(VI) chromate/dichromate rows are retained but molar conversion is held until source-specific compound-vs-ion basis is resolved.",IF(D37=2977,"OBrien 1988 reports total dissolved Cu LC85 values in 10^-6 M; the numeric Analysis_Point is therefore treated directly as umol Cu/L.",IF(AND(D37=6825,L37="Formulation"),"Nipper 1993 source check showed the reported concentrations are nominal Zn; formulation coding does not trigger compound-mass conversion.",IF(Y37="PRIMARY_RECOVERED","Source-recovered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7" s="2" t="str">
        <x:f t="shared" si="5"/>
        <x:v>CORE</x:v>
      </x:c>
      <x:c r="AI37" s="2" t="str">
        <x:f t="shared" si="6"/>
        <x:v>YES</x:v>
      </x:c>
    </x:row>
    <x:row r="38" ht="40.5">
      <x:c r="A38" s="2">
        <x:v>206</x:v>
      </x:c>
      <x:c r="B38" s="2">
        <x:v>1111940</x:v>
      </x:c>
      <x:c r="C38" s="2">
        <x:v>23766</x:v>
      </x:c>
      <x:c r="D38" s="2">
        <x:v>8445</x:v>
      </x:c>
      <x:c r="E38" s="2" t="s">
        <x:v>16</x:v>
      </x:c>
      <x:c r="F38" s="2" t="s">
        <x:v>156</x:v>
      </x:c>
      <x:c r="G38" s="2" t="s">
        <x:v>134</x:v>
      </x:c>
      <x:c r="H38" s="2" t="s">
        <x:v>135</x:v>
      </x:c>
      <x:c r="I38" s="2" t="s">
        <x:v>148</x:v>
      </x:c>
      <x:c r="J38" s="2">
        <x:v>4</x:v>
      </x:c>
      <x:c r="K38" s="2" t="s">
        <x:v>117</x:v>
      </x:c>
      <x:c r="L38" s="2" t="s">
        <x:v>110</x:v>
      </x:c>
      <x:c r="M38" s="2"/>
      <x:c r="N38" s="2">
        <x:v>220</x:v>
      </x:c>
      <x:c r="O38" s="2">
        <x:v>138</x:v>
      </x:c>
      <x:c r="P38" s="2">
        <x:v>313</x:v>
      </x:c>
      <x:c r="Q38" s="2" t="s">
        <x:v>111</x:v>
      </x:c>
      <x:c r="R38" s="2">
        <x:v>220</x:v>
      </x:c>
      <x:c r="S38" s="2" t="s">
        <x:v>111</x:v>
      </x:c>
      <x:c r="T38" s="2">
        <x:v>20</x:v>
      </x:c>
      <x:c r="U38" s="2">
        <x:v>10</x:v>
      </x:c>
      <x:c r="V38" s="2"/>
      <x:c r="W38" s="2"/>
      <x:c r="X38" s="2" t="s">
        <x:v>147</x:v>
      </x:c>
      <x:c r="Y38" s="2" t="s">
        <x:v>113</x:v>
      </x:c>
      <x:c r="Z38" s="2" t="s">
        <x:v>114</x:v>
      </x:c>
      <x:c r="AA38" s="11" t="n">
        <x:f>IFERROR(VLOOKUP(E38,Harmonization_Rules!$A$2:$B$9,2,FALSE),"")</x:f>
        <x:v>112.414</x:v>
      </x:c>
      <x:c r="AB38" s="2" t="str">
        <x:f t="shared" si="0"/>
        <x:v>ECOTOX_STANDARDIZED_TARGET_METAL</x:v>
      </x:c>
      <x:c r="AC38" s="12">
        <x:f t="shared" si="1"/>
        <x:v>0.22</x:v>
      </x:c>
      <x:c r="AD38" s="12">
        <x:f t="shared" si="2"/>
        <x:v>1.9570516127884428</x:v>
      </x:c>
      <x:c r="AE38" s="12">
        <x:f t="shared" si="3"/>
        <x:v>0.67143906148897836</x:v>
      </x:c>
      <x:c r="AF38" s="2" t="str">
        <x:f t="shared" si="4"/>
        <x:v>HARMONIZED</x:v>
      </x:c>
      <x:c r="AG38" s="2" t="str">
        <x:f>IF(E38="Cr","Cr(VI) chromate/dichromate rows are retained but molar conversion is held until source-specific compound-vs-ion basis is resolved.",IF(D38=2977,"OBrien 1988 reports total dissolved Cu LC86 values in 10^-6 M; the numeric Analysis_Point is therefore treated directly as umol Cu/L.",IF(AND(D38=6825,L38="Formulation"),"Nipper 1993 source check showed the reported concentrations are nominal Zn; formulation coding does not trigger compound-mass conversion.",IF(Y38="PRIMARY_RECOVERED","Source-recovered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8" s="2" t="str">
        <x:f t="shared" si="5"/>
        <x:v>CORE</x:v>
      </x:c>
      <x:c r="AI38" s="2" t="str">
        <x:f t="shared" si="6"/>
        <x:v>YES</x:v>
      </x:c>
    </x:row>
    <x:row r="39" ht="40.5">
      <x:c r="A39" s="2">
        <x:v>214</x:v>
      </x:c>
      <x:c r="B39" s="2">
        <x:v>1134122</x:v>
      </x:c>
      <x:c r="C39" s="2">
        <x:v>107489</x:v>
      </x:c>
      <x:c r="D39" s="2">
        <x:v>10900</x:v>
      </x:c>
      <x:c r="E39" s="2" t="s">
        <x:v>16</x:v>
      </x:c>
      <x:c r="F39" s="2" t="s">
        <x:v>156</x:v>
      </x:c>
      <x:c r="G39" s="2" t="s">
        <x:v>150</x:v>
      </x:c>
      <x:c r="H39" s="2" t="s">
        <x:v>135</x:v>
      </x:c>
      <x:c r="I39" s="2" t="s">
        <x:v>159</x:v>
      </x:c>
      <x:c r="J39" s="2">
        <x:v>4</x:v>
      </x:c>
      <x:c r="K39" s="2" t="s">
        <x:v>117</x:v>
      </x:c>
      <x:c r="L39" s="2" t="s">
        <x:v>110</x:v>
      </x:c>
      <x:c r="M39" s="2"/>
      <x:c r="N39" s="2">
        <x:v>147.69999999999999</x:v>
      </x:c>
      <x:c r="O39" s="2">
        <x:v>133.1</x:v>
      </x:c>
      <x:c r="P39" s="2">
        <x:v>166.1</x:v>
      </x:c>
      <x:c r="Q39" s="2" t="s">
        <x:v>111</x:v>
      </x:c>
      <x:c r="R39" s="2">
        <x:v>147.69999999999999</x:v>
      </x:c>
      <x:c r="S39" s="2" t="s">
        <x:v>111</x:v>
      </x:c>
      <x:c r="T39" s="2">
        <x:v>15</x:v>
      </x:c>
      <x:c r="U39" s="2">
        <x:v>10</x:v>
      </x:c>
      <x:c r="V39" s="2"/>
      <x:c r="W39" s="2"/>
      <x:c r="X39" s="2" t="s">
        <x:v>160</x:v>
      </x:c>
      <x:c r="Y39" s="2" t="s">
        <x:v>113</x:v>
      </x:c>
      <x:c r="Z39" s="2" t="s">
        <x:v>114</x:v>
      </x:c>
      <x:c r="AA39" s="11" t="n">
        <x:f>IFERROR(VLOOKUP(E39,Harmonization_Rules!$A$2:$B$9,2,FALSE),"")</x:f>
        <x:v>112.414</x:v>
      </x:c>
      <x:c r="AB39" s="2" t="str">
        <x:f t="shared" si="0"/>
        <x:v>ECOTOX_STANDARDIZED_TARGET_METAL</x:v>
      </x:c>
      <x:c r="AC39" s="12">
        <x:f t="shared" si="1"/>
        <x:v>0.1477</x:v>
      </x:c>
      <x:c r="AD39" s="12">
        <x:f t="shared" si="2"/>
        <x:v>1.3138932873129681</x:v>
      </x:c>
      <x:c r="AE39" s="12">
        <x:f t="shared" si="3"/>
        <x:v>0.27299470467395093</x:v>
      </x:c>
      <x:c r="AF39" s="2" t="str">
        <x:f t="shared" si="4"/>
        <x:v>HARMONIZED</x:v>
      </x:c>
      <x:c r="AG39" s="2" t="str">
        <x:f>IF(E39="Cr","Cr(VI) chromate/dichromate rows are retained but molar conversion is held until source-specific compound-vs-ion basis is resolved.",IF(D39=2977,"OBrien 1988 reports total dissolved Cu LC87 values in 10^-6 M; the numeric Analysis_Point is therefore treated directly as umol Cu/L.",IF(AND(D39=6825,L39="Formulation"),"Nipper 1993 source check showed the reported concentrations are nominal Zn; formulation coding does not trigger compound-mass conversion.",IF(Y39="PRIMARY_RECOVERED","Source-recovered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39" s="2" t="str">
        <x:f t="shared" si="5"/>
        <x:v>CORE</x:v>
      </x:c>
      <x:c r="AI39" s="2" t="str">
        <x:f t="shared" si="6"/>
        <x:v>YES</x:v>
      </x:c>
    </x:row>
    <x:row r="40" ht="40.5">
      <x:c r="A40" s="2">
        <x:v>215</x:v>
      </x:c>
      <x:c r="B40" s="2">
        <x:v>1111939</x:v>
      </x:c>
      <x:c r="C40" s="2">
        <x:v>23765</x:v>
      </x:c>
      <x:c r="D40" s="2">
        <x:v>8445</x:v>
      </x:c>
      <x:c r="E40" s="2" t="s">
        <x:v>16</x:v>
      </x:c>
      <x:c r="F40" s="2" t="s">
        <x:v>156</x:v>
      </x:c>
      <x:c r="G40" s="2" t="s">
        <x:v>134</x:v>
      </x:c>
      <x:c r="H40" s="2" t="s">
        <x:v>135</x:v>
      </x:c>
      <x:c r="I40" s="2"/>
      <x:c r="J40" s="2">
        <x:v>4</x:v>
      </x:c>
      <x:c r="K40" s="2" t="s">
        <x:v>117</x:v>
      </x:c>
      <x:c r="L40" s="2" t="s">
        <x:v>110</x:v>
      </x:c>
      <x:c r="M40" s="2"/>
      <x:c r="N40" s="2">
        <x:v>90</x:v>
      </x:c>
      <x:c r="O40" s="2">
        <x:v>58</x:v>
      </x:c>
      <x:c r="P40" s="2">
        <x:v>135</x:v>
      </x:c>
      <x:c r="Q40" s="2" t="s">
        <x:v>111</x:v>
      </x:c>
      <x:c r="R40" s="2">
        <x:v>90</x:v>
      </x:c>
      <x:c r="S40" s="2" t="s">
        <x:v>111</x:v>
      </x:c>
      <x:c r="T40" s="2">
        <x:v>20</x:v>
      </x:c>
      <x:c r="U40" s="2">
        <x:v>10</x:v>
      </x:c>
      <x:c r="V40" s="2"/>
      <x:c r="W40" s="2"/>
      <x:c r="X40" s="2" t="s">
        <x:v>147</x:v>
      </x:c>
      <x:c r="Y40" s="2" t="s">
        <x:v>113</x:v>
      </x:c>
      <x:c r="Z40" s="2" t="s">
        <x:v>114</x:v>
      </x:c>
      <x:c r="AA40" s="11" t="n">
        <x:f>IFERROR(VLOOKUP(E40,Harmonization_Rules!$A$2:$B$9,2,FALSE),"")</x:f>
        <x:v>112.414</x:v>
      </x:c>
      <x:c r="AB40" s="2" t="str">
        <x:f t="shared" si="0"/>
        <x:v>ECOTOX_STANDARDIZED_TARGET_METAL</x:v>
      </x:c>
      <x:c r="AC40" s="12">
        <x:f t="shared" si="1"/>
        <x:v>0.09</x:v>
      </x:c>
      <x:c r="AD40" s="12">
        <x:f t="shared" si="2"/>
        <x:v>0.80061202341345383</x:v>
      </x:c>
      <x:c r="AE40" s="12">
        <x:f t="shared" si="3"/>
        <x:v>-0.22237881453311809</x:v>
      </x:c>
      <x:c r="AF40" s="2" t="str">
        <x:f t="shared" si="4"/>
        <x:v>HARMONIZED</x:v>
      </x:c>
      <x:c r="AG40" s="2" t="str">
        <x:f>IF(E40="Cr","Cr(VI) chromate/dichromate rows are retained but molar conversion is held until source-specific compound-vs-ion basis is resolved.",IF(D40=2977,"OBrien 1988 reports total dissolved Cu LC88 values in 10^-6 M; the numeric Analysis_Point is therefore treated directly as umol Cu/L.",IF(AND(D40=6825,L40="Formulation"),"Nipper 1993 source check showed the reported concentrations are nominal Zn; formulation coding does not trigger compound-mass conversion.",IF(Y40="PRIMARY_RECOVERED","Source-recovered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40" s="2" t="str">
        <x:f t="shared" si="5"/>
        <x:v>CORE</x:v>
      </x:c>
      <x:c r="AI40" s="2" t="str">
        <x:f t="shared" si="6"/>
        <x:v>YES</x:v>
      </x:c>
    </x:row>
    <x:row r="41" ht="40.5">
      <x:c r="A41" s="2">
        <x:v>228</x:v>
      </x:c>
      <x:c r="B41" s="2">
        <x:v>1111938</x:v>
      </x:c>
      <x:c r="C41" s="2">
        <x:v>23764</x:v>
      </x:c>
      <x:c r="D41" s="2">
        <x:v>8445</x:v>
      </x:c>
      <x:c r="E41" s="2" t="s">
        <x:v>16</x:v>
      </x:c>
      <x:c r="F41" s="2" t="s">
        <x:v>156</x:v>
      </x:c>
      <x:c r="G41" s="2" t="s">
        <x:v>134</x:v>
      </x:c>
      <x:c r="H41" s="2" t="s">
        <x:v>135</x:v>
      </x:c>
      <x:c r="I41" s="2"/>
      <x:c r="J41" s="2">
        <x:v>4</x:v>
      </x:c>
      <x:c r="K41" s="2" t="s">
        <x:v>117</x:v>
      </x:c>
      <x:c r="L41" s="2" t="s">
        <x:v>110</x:v>
      </x:c>
      <x:c r="M41" s="2"/>
      <x:c r="N41" s="2">
        <x:v>337</x:v>
      </x:c>
      <x:c r="O41" s="2">
        <x:v>184</x:v>
      </x:c>
      <x:c r="P41" s="2">
        <x:v>530</x:v>
      </x:c>
      <x:c r="Q41" s="2" t="s">
        <x:v>111</x:v>
      </x:c>
      <x:c r="R41" s="2">
        <x:v>337</x:v>
      </x:c>
      <x:c r="S41" s="2" t="s">
        <x:v>111</x:v>
      </x:c>
      <x:c r="T41" s="2">
        <x:v>20</x:v>
      </x:c>
      <x:c r="U41" s="2">
        <x:v>10</x:v>
      </x:c>
      <x:c r="V41" s="2"/>
      <x:c r="W41" s="2"/>
      <x:c r="X41" s="2" t="s">
        <x:v>147</x:v>
      </x:c>
      <x:c r="Y41" s="2" t="s">
        <x:v>113</x:v>
      </x:c>
      <x:c r="Z41" s="2" t="s">
        <x:v>114</x:v>
      </x:c>
      <x:c r="AA41" s="11" t="n">
        <x:f>IFERROR(VLOOKUP(E41,Harmonization_Rules!$A$2:$B$9,2,FALSE),"")</x:f>
        <x:v>112.414</x:v>
      </x:c>
      <x:c r="AB41" s="2" t="str">
        <x:f t="shared" si="0"/>
        <x:v>ECOTOX_STANDARDIZED_TARGET_METAL</x:v>
      </x:c>
      <x:c r="AC41" s="12">
        <x:f t="shared" si="1"/>
        <x:v>0.33700000000000002</x:v>
      </x:c>
      <x:c r="AD41" s="12">
        <x:f t="shared" si="2"/>
        <x:v>2.9978472432259329</x:v>
      </x:c>
      <x:c r="AE41" s="12">
        <x:f t="shared" si="3"/>
        <x:v>1.0978944454889787</x:v>
      </x:c>
      <x:c r="AF41" s="2" t="str">
        <x:f t="shared" si="4"/>
        <x:v>HARMONIZED</x:v>
      </x:c>
      <x:c r="AG41" s="2" t="str">
        <x:f>IF(E41="Cr","Cr(VI) chromate/dichromate rows are retained but molar conversion is held until source-specific compound-vs-ion basis is resolved.",IF(D41=2977,"OBrien 1988 reports total dissolved Cu LC89 values in 10^-6 M; the numeric Analysis_Point is therefore treated directly as umol Cu/L.",IF(AND(D41=6825,L41="Formulation"),"Nipper 1993 source check showed the reported concentrations are nominal Zn; formulation coding does not trigger compound-mass conversion.",IF(Y41="PRIMARY_RECOVERED","Source-recovered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41" s="2" t="str">
        <x:f t="shared" si="5"/>
        <x:v>CORE</x:v>
      </x:c>
      <x:c r="AI41" s="2" t="str">
        <x:f t="shared" si="6"/>
        <x:v>YES</x:v>
      </x:c>
    </x:row>
    <x:row r="42" ht="54">
      <x:c r="A42" s="2">
        <x:v>268</x:v>
      </x:c>
      <x:c r="B42" s="2">
        <x:v>1078810</x:v>
      </x:c>
      <x:c r="C42" s="2">
        <x:v>12517</x:v>
      </x:c>
      <x:c r="D42" s="2">
        <x:v>6079</x:v>
      </x:c>
      <x:c r="E42" s="2" t="s">
        <x:v>10</x:v>
      </x:c>
      <x:c r="F42" s="2" t="s">
        <x:v>166</x:v>
      </x:c>
      <x:c r="G42" s="2" t="s">
        <x:v>135</x:v>
      </x:c>
      <x:c r="H42" s="2" t="s">
        <x:v>135</x:v>
      </x:c>
      <x:c r="I42" s="2" t="s">
        <x:v>108</x:v>
      </x:c>
      <x:c r="J42" s="2">
        <x:v>4</x:v>
      </x:c>
      <x:c r="K42" s="2" t="s">
        <x:v>117</x:v>
      </x:c>
      <x:c r="L42" s="2" t="s">
        <x:v>110</x:v>
      </x:c>
      <x:c r="M42" s="2"/>
      <x:c r="N42" s="2">
        <x:v>60</x:v>
      </x:c>
      <x:c r="O42" s="2"/>
      <x:c r="P42" s="2"/>
      <x:c r="Q42" s="2" t="s">
        <x:v>111</x:v>
      </x:c>
      <x:c r="R42" s="2">
        <x:v>60</x:v>
      </x:c>
      <x:c r="S42" s="2" t="s">
        <x:v>111</x:v>
      </x:c>
      <x:c r="T42" s="2">
        <x:v>21</x:v>
      </x:c>
      <x:c r="U42" s="2"/>
      <x:c r="V42" s="2"/>
      <x:c r="W42" s="2"/>
      <x:c r="X42" s="2" t="s">
        <x:v>145</x:v>
      </x:c>
      <x:c r="Y42" s="2" t="s">
        <x:v>113</x:v>
      </x:c>
      <x:c r="Z42" s="2" t="s">
        <x:v>114</x:v>
      </x:c>
      <x:c r="AA42" s="11" t="n">
        <x:f>IFERROR(VLOOKUP(E42,Harmonization_Rules!$A$2:$B$9,2,FALSE),"")</x:f>
        <x:v>63.546</x:v>
      </x:c>
      <x:c r="AB42" s="2" t="str">
        <x:f t="shared" si="0"/>
        <x:v>ECOTOX_STANDARDIZED_TARGET_METAL</x:v>
      </x:c>
      <x:c r="AC42" s="12">
        <x:f t="shared" si="1"/>
        <x:v>0.06</x:v>
      </x:c>
      <x:c r="AD42" s="12">
        <x:f t="shared" si="2"/>
        <x:v>0.94419790388065339</x:v>
      </x:c>
      <x:c r="AE42" s="12">
        <x:f t="shared" si="3"/>
        <x:v>-5.7419490867486482E-2</x:v>
      </x:c>
      <x:c r="AF42" s="2" t="str">
        <x:f t="shared" si="4"/>
        <x:v>HARMONIZED</x:v>
      </x:c>
      <x:c r="AG42" s="2" t="str">
        <x:f>IF(E42="Cr","Cr(VI) chromate/dichromate rows are retained but molar conversion is held until source-specific compound-vs-ion basis is resolved.",IF(D42=2977,"OBrien 1988 reports total dissolved Cu LC90 values in 10^-6 M; the numeric Analysis_Point is therefore treated directly as umol Cu/L.",IF(AND(D42=6825,L42="Formulation"),"Nipper 1993 source check showed the reported concentrations are nominal Zn; formulation coding does not trigger compound-mass conversion.",IF(Y42="PRIMARY_RECOVERED","Source-recovered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42" s="2" t="str">
        <x:f t="shared" si="5"/>
        <x:v>CORE</x:v>
      </x:c>
      <x:c r="AI42" s="2" t="str">
        <x:f t="shared" si="6"/>
        <x:v>YES</x:v>
      </x:c>
    </x:row>
    <x:row r="43" ht="54">
      <x:c r="A43" s="2">
        <x:v>285</x:v>
      </x:c>
      <x:c r="B43" s="2">
        <x:v>1078809</x:v>
      </x:c>
      <x:c r="C43" s="2">
        <x:v>12516</x:v>
      </x:c>
      <x:c r="D43" s="2">
        <x:v>6079</x:v>
      </x:c>
      <x:c r="E43" s="2" t="s">
        <x:v>10</x:v>
      </x:c>
      <x:c r="F43" s="2" t="s">
        <x:v>166</x:v>
      </x:c>
      <x:c r="G43" s="2" t="s">
        <x:v>135</x:v>
      </x:c>
      <x:c r="H43" s="2" t="s">
        <x:v>135</x:v>
      </x:c>
      <x:c r="I43" s="2"/>
      <x:c r="J43" s="2">
        <x:v>4</x:v>
      </x:c>
      <x:c r="K43" s="2" t="s">
        <x:v>117</x:v>
      </x:c>
      <x:c r="L43" s="2" t="s">
        <x:v>110</x:v>
      </x:c>
      <x:c r="M43" s="2"/>
      <x:c r="N43" s="2">
        <x:v>45</x:v>
      </x:c>
      <x:c r="O43" s="2"/>
      <x:c r="P43" s="2"/>
      <x:c r="Q43" s="2" t="s">
        <x:v>111</x:v>
      </x:c>
      <x:c r="R43" s="2">
        <x:v>45</x:v>
      </x:c>
      <x:c r="S43" s="2" t="s">
        <x:v>111</x:v>
      </x:c>
      <x:c r="T43" s="2">
        <x:v>9</x:v>
      </x:c>
      <x:c r="U43" s="2"/>
      <x:c r="V43" s="2"/>
      <x:c r="W43" s="2"/>
      <x:c r="X43" s="2" t="s">
        <x:v>145</x:v>
      </x:c>
      <x:c r="Y43" s="2" t="s">
        <x:v>113</x:v>
      </x:c>
      <x:c r="Z43" s="2" t="s">
        <x:v>114</x:v>
      </x:c>
      <x:c r="AA43" s="11" t="n">
        <x:f>IFERROR(VLOOKUP(E43,Harmonization_Rules!$A$2:$B$9,2,FALSE),"")</x:f>
        <x:v>63.546</x:v>
      </x:c>
      <x:c r="AB43" s="2" t="str">
        <x:f t="shared" si="0"/>
        <x:v>ECOTOX_STANDARDIZED_TARGET_METAL</x:v>
      </x:c>
      <x:c r="AC43" s="12">
        <x:f t="shared" si="1"/>
        <x:v>4.4999999999999998E-2</x:v>
      </x:c>
      <x:c r="AD43" s="12">
        <x:f t="shared" si="2"/>
        <x:v>0.70814842791049004</x:v>
      </x:c>
      <x:c r="AE43" s="12">
        <x:f t="shared" si="3"/>
        <x:v>-0.34510156331926739</x:v>
      </x:c>
      <x:c r="AF43" s="2" t="str">
        <x:f t="shared" si="4"/>
        <x:v>HARMONIZED</x:v>
      </x:c>
      <x:c r="AG43" s="2" t="str">
        <x:f>IF(E43="Cr","Cr(VI) chromate/dichromate rows are retained but molar conversion is held until source-specific compound-vs-ion basis is resolved.",IF(D43=2977,"OBrien 1988 reports total dissolved Cu LC91 values in 10^-6 M; the numeric Analysis_Point is therefore treated directly as umol Cu/L.",IF(AND(D43=6825,L43="Formulation"),"Nipper 1993 source check showed the reported concentrations are nominal Zn; formulation coding does not trigger compound-mass conversion.",IF(Y43="PRIMARY_RECOVERED","Source-recovered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43" s="2" t="str">
        <x:f t="shared" si="5"/>
        <x:v>CORE</x:v>
      </x:c>
      <x:c r="AI43" s="2" t="str">
        <x:f t="shared" si="6"/>
        <x:v>YES</x:v>
      </x:c>
    </x:row>
    <x:row r="44" ht="54">
      <x:c r="A44" s="2">
        <x:v>322</x:v>
      </x:c>
      <x:c r="B44" s="2">
        <x:v>1078811</x:v>
      </x:c>
      <x:c r="C44" s="2">
        <x:v>12518</x:v>
      </x:c>
      <x:c r="D44" s="2">
        <x:v>6079</x:v>
      </x:c>
      <x:c r="E44" s="2" t="s">
        <x:v>10</x:v>
      </x:c>
      <x:c r="F44" s="2" t="s">
        <x:v>166</x:v>
      </x:c>
      <x:c r="G44" s="2" t="s">
        <x:v>135</x:v>
      </x:c>
      <x:c r="H44" s="2" t="s">
        <x:v>135</x:v>
      </x:c>
      <x:c r="I44" s="2"/>
      <x:c r="J44" s="2">
        <x:v>2</x:v>
      </x:c>
      <x:c r="K44" s="2" t="s">
        <x:v>117</x:v>
      </x:c>
      <x:c r="L44" s="2" t="s">
        <x:v>110</x:v>
      </x:c>
      <x:c r="M44" s="2"/>
      <x:c r="N44" s="2">
        <x:v>105</x:v>
      </x:c>
      <x:c r="O44" s="2"/>
      <x:c r="P44" s="2"/>
      <x:c r="Q44" s="2" t="s">
        <x:v>111</x:v>
      </x:c>
      <x:c r="R44" s="2">
        <x:v>105</x:v>
      </x:c>
      <x:c r="S44" s="2" t="s">
        <x:v>111</x:v>
      </x:c>
      <x:c r="T44" s="2">
        <x:v>9</x:v>
      </x:c>
      <x:c r="U44" s="2"/>
      <x:c r="V44" s="2"/>
      <x:c r="W44" s="2"/>
      <x:c r="X44" s="2" t="s">
        <x:v>145</x:v>
      </x:c>
      <x:c r="Y44" s="2" t="s">
        <x:v>113</x:v>
      </x:c>
      <x:c r="Z44" s="2" t="s">
        <x:v>114</x:v>
      </x:c>
      <x:c r="AA44" s="11" t="n">
        <x:f>IFERROR(VLOOKUP(E44,Harmonization_Rules!$A$2:$B$9,2,FALSE),"")</x:f>
        <x:v>63.546</x:v>
      </x:c>
      <x:c r="AB44" s="2" t="str">
        <x:f t="shared" si="0"/>
        <x:v>ECOTOX_STANDARDIZED_TARGET_METAL</x:v>
      </x:c>
      <x:c r="AC44" s="12">
        <x:f t="shared" si="1"/>
        <x:v>0.105</x:v>
      </x:c>
      <x:c r="AD44" s="12">
        <x:f t="shared" si="2"/>
        <x:v>1.6523463317911435</x:v>
      </x:c>
      <x:c r="AE44" s="12">
        <x:f t="shared" si="3"/>
        <x:v>0.50219629706793623</x:v>
      </x:c>
      <x:c r="AF44" s="2" t="str">
        <x:f t="shared" si="4"/>
        <x:v>HARMONIZED</x:v>
      </x:c>
      <x:c r="AG44" s="2" t="str">
        <x:f>IF(E44="Cr","Cr(VI) chromate/dichromate rows are retained but molar conversion is held until source-specific compound-vs-ion basis is resolved.",IF(D44=2977,"OBrien 1988 reports total dissolved Cu LC92 values in 10^-6 M; the numeric Analysis_Point is therefore treated directly as umol Cu/L.",IF(AND(D44=6825,L44="Formulation"),"Nipper 1993 source check showed the reported concentrations are nominal Zn; formulation coding does not trigger compound-mass conversion.",IF(Y44="PRIMARY_RECOVERED","Source-recovered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44" s="2" t="str">
        <x:f t="shared" si="5"/>
        <x:v>CORE</x:v>
      </x:c>
      <x:c r="AI44" s="2" t="str">
        <x:f t="shared" si="6"/>
        <x:v>YES</x:v>
      </x:c>
    </x:row>
    <x:row r="45" ht="54">
      <x:c r="A45" s="2">
        <x:v>324</x:v>
      </x:c>
      <x:c r="B45" s="2">
        <x:v>1078808</x:v>
      </x:c>
      <x:c r="C45" s="2">
        <x:v>12515</x:v>
      </x:c>
      <x:c r="D45" s="2">
        <x:v>6079</x:v>
      </x:c>
      <x:c r="E45" s="2" t="s">
        <x:v>10</x:v>
      </x:c>
      <x:c r="F45" s="2" t="s">
        <x:v>166</x:v>
      </x:c>
      <x:c r="G45" s="2" t="s">
        <x:v>135</x:v>
      </x:c>
      <x:c r="H45" s="2" t="s">
        <x:v>135</x:v>
      </x:c>
      <x:c r="I45" s="2" t="s">
        <x:v>167</x:v>
      </x:c>
      <x:c r="J45" s="2">
        <x:v>4</x:v>
      </x:c>
      <x:c r="K45" s="2" t="s">
        <x:v>117</x:v>
      </x:c>
      <x:c r="L45" s="2" t="s">
        <x:v>110</x:v>
      </x:c>
      <x:c r="M45" s="2"/>
      <x:c r="N45" s="2">
        <x:v>52</x:v>
      </x:c>
      <x:c r="O45" s="2"/>
      <x:c r="P45" s="2"/>
      <x:c r="Q45" s="2" t="s">
        <x:v>111</x:v>
      </x:c>
      <x:c r="R45" s="2">
        <x:v>52</x:v>
      </x:c>
      <x:c r="S45" s="2" t="s">
        <x:v>111</x:v>
      </x:c>
      <x:c r="T45" s="2">
        <x:v>9</x:v>
      </x:c>
      <x:c r="U45" s="2"/>
      <x:c r="V45" s="2"/>
      <x:c r="W45" s="2"/>
      <x:c r="X45" s="2" t="s">
        <x:v>145</x:v>
      </x:c>
      <x:c r="Y45" s="2" t="s">
        <x:v>113</x:v>
      </x:c>
      <x:c r="Z45" s="2" t="s">
        <x:v>114</x:v>
      </x:c>
      <x:c r="AA45" s="11" t="n">
        <x:f>IFERROR(VLOOKUP(E45,Harmonization_Rules!$A$2:$B$9,2,FALSE),"")</x:f>
        <x:v>63.546</x:v>
      </x:c>
      <x:c r="AB45" s="2" t="str">
        <x:f t="shared" si="0"/>
        <x:v>ECOTOX_STANDARDIZED_TARGET_METAL</x:v>
      </x:c>
      <x:c r="AC45" s="12">
        <x:f t="shared" si="1"/>
        <x:v>5.1999999999999998E-2</x:v>
      </x:c>
      <x:c r="AD45" s="12">
        <x:f t="shared" si="2"/>
        <x:v>0.81830485002989961</x:v>
      </x:c>
      <x:c r="AE45" s="12">
        <x:f t="shared" si="3"/>
        <x:v>-0.20052033450815981</x:v>
      </x:c>
      <x:c r="AF45" s="2" t="str">
        <x:f t="shared" si="4"/>
        <x:v>HARMONIZED</x:v>
      </x:c>
      <x:c r="AG45" s="2" t="str">
        <x:f>IF(E45="Cr","Cr(VI) chromate/dichromate rows are retained but molar conversion is held until source-specific compound-vs-ion basis is resolved.",IF(D45=2977,"OBrien 1988 reports total dissolved Cu LC93 values in 10^-6 M; the numeric Analysis_Point is therefore treated directly as umol Cu/L.",IF(AND(D45=6825,L45="Formulation"),"Nipper 1993 source check showed the reported concentrations are nominal Zn; formulation coding does not trigger compound-mass conversion.",IF(Y45="PRIMARY_RECOVERED","Source-recovered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45" s="2" t="str">
        <x:f t="shared" si="5"/>
        <x:v>CORE</x:v>
      </x:c>
      <x:c r="AI45" s="2" t="str">
        <x:f t="shared" si="6"/>
        <x:v>YES</x:v>
      </x:c>
    </x:row>
    <x:row r="46" ht="40.5">
      <x:c r="A46" s="2">
        <x:v>348</x:v>
      </x:c>
      <x:c r="B46" s="2">
        <x:v>1111945</x:v>
      </x:c>
      <x:c r="C46" s="2">
        <x:v>23785</x:v>
      </x:c>
      <x:c r="D46" s="2">
        <x:v>8445</x:v>
      </x:c>
      <x:c r="E46" s="2" t="s">
        <x:v>10</x:v>
      </x:c>
      <x:c r="F46" s="2" t="s">
        <x:v>166</x:v>
      </x:c>
      <x:c r="G46" s="2" t="s">
        <x:v>134</x:v>
      </x:c>
      <x:c r="H46" s="2" t="s">
        <x:v>135</x:v>
      </x:c>
      <x:c r="I46" s="2" t="s">
        <x:v>108</x:v>
      </x:c>
      <x:c r="J46" s="2">
        <x:v>4</x:v>
      </x:c>
      <x:c r="K46" s="2" t="s">
        <x:v>117</x:v>
      </x:c>
      <x:c r="L46" s="2" t="s">
        <x:v>110</x:v>
      </x:c>
      <x:c r="M46" s="2"/>
      <x:c r="N46" s="2">
        <x:v>17</x:v>
      </x:c>
      <x:c r="O46" s="2">
        <x:v>9</x:v>
      </x:c>
      <x:c r="P46" s="2">
        <x:v>29</x:v>
      </x:c>
      <x:c r="Q46" s="2" t="s">
        <x:v>111</x:v>
      </x:c>
      <x:c r="R46" s="2">
        <x:v>17</x:v>
      </x:c>
      <x:c r="S46" s="2" t="s">
        <x:v>111</x:v>
      </x:c>
      <x:c r="T46" s="2">
        <x:v>20</x:v>
      </x:c>
      <x:c r="U46" s="2">
        <x:v>30</x:v>
      </x:c>
      <x:c r="V46" s="2"/>
      <x:c r="W46" s="2"/>
      <x:c r="X46" s="2" t="s">
        <x:v>147</x:v>
      </x:c>
      <x:c r="Y46" s="2" t="s">
        <x:v>113</x:v>
      </x:c>
      <x:c r="Z46" s="2" t="s">
        <x:v>114</x:v>
      </x:c>
      <x:c r="AA46" s="11" t="n">
        <x:f>IFERROR(VLOOKUP(E46,Harmonization_Rules!$A$2:$B$9,2,FALSE),"")</x:f>
        <x:v>63.546</x:v>
      </x:c>
      <x:c r="AB46" s="2" t="str">
        <x:f t="shared" si="0"/>
        <x:v>ECOTOX_STANDARDIZED_TARGET_METAL</x:v>
      </x:c>
      <x:c r="AC46" s="12">
        <x:f t="shared" si="1"/>
        <x:v>1.7000000000000001E-2</x:v>
      </x:c>
      <x:c r="AD46" s="12">
        <x:f t="shared" si="2"/>
        <x:v>0.26752273943285182</x:v>
      </x:c>
      <x:c r="AE46" s="12">
        <x:f t="shared" si="3"/>
        <x:v>-1.318550709033371</x:v>
      </x:c>
      <x:c r="AF46" s="2" t="str">
        <x:f t="shared" si="4"/>
        <x:v>HARMONIZED</x:v>
      </x:c>
      <x:c r="AG46" s="2" t="str">
        <x:f>IF(E46="Cr","Cr(VI) chromate/dichromate rows are retained but molar conversion is held until source-specific compound-vs-ion basis is resolved.",IF(D46=2977,"OBrien 1988 reports total dissolved Cu LC94 values in 10^-6 M; the numeric Analysis_Point is therefore treated directly as umol Cu/L.",IF(AND(D46=6825,L46="Formulation"),"Nipper 1993 source check showed the reported concentrations are nominal Zn; formulation coding does not trigger compound-mass conversion.",IF(Y46="PRIMARY_RECOVERED","Source-recovered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46" s="2" t="str">
        <x:f t="shared" si="5"/>
        <x:v>CORE</x:v>
      </x:c>
      <x:c r="AI46" s="2" t="str">
        <x:f t="shared" si="6"/>
        <x:v>YES</x:v>
      </x:c>
    </x:row>
    <x:row r="47" ht="40.5">
      <x:c r="A47" s="2">
        <x:v>349</x:v>
      </x:c>
      <x:c r="B47" s="2">
        <x:v>1047099</x:v>
      </x:c>
      <x:c r="C47" s="2">
        <x:v>115192</x:v>
      </x:c>
      <x:c r="D47" s="2">
        <x:v>2977</x:v>
      </x:c>
      <x:c r="E47" s="2" t="s">
        <x:v>10</x:v>
      </x:c>
      <x:c r="F47" s="2" t="s">
        <x:v>166</x:v>
      </x:c>
      <x:c r="G47" s="2" t="s">
        <x:v>168</x:v>
      </x:c>
      <x:c r="H47" s="2" t="s">
        <x:v>107</x:v>
      </x:c>
      <x:c r="I47" s="2" t="s">
        <x:v>125</x:v>
      </x:c>
      <x:c r="J47" s="2">
        <x:v>4</x:v>
      </x:c>
      <x:c r="K47" s="2" t="s">
        <x:v>126</x:v>
      </x:c>
      <x:c r="L47" s="2" t="s">
        <x:v>110</x:v>
      </x:c>
      <x:c r="M47" s="2"/>
      <x:c r="N47" s="2">
        <x:v>2.5</x:v>
      </x:c>
      <x:c r="O47" s="2">
        <x:v>0.9</x:v>
      </x:c>
      <x:c r="P47" s="2">
        <x:v>3.9</x:v>
      </x:c>
      <x:c r="Q47" s="2" t="s">
        <x:v>169</x:v>
      </x:c>
      <x:c r="R47" s="2">
        <x:v>2.5</x:v>
      </x:c>
      <x:c r="S47" s="2" t="s">
        <x:v>169</x:v>
      </x:c>
      <x:c r="T47" s="2"/>
      <x:c r="U47" s="2">
        <x:v>35</x:v>
      </x:c>
      <x:c r="V47" s="2"/>
      <x:c r="W47" s="2"/>
      <x:c r="X47" s="2" t="s">
        <x:v>170</x:v>
      </x:c>
      <x:c r="Y47" s="2" t="s">
        <x:v>113</x:v>
      </x:c>
      <x:c r="Z47" s="2" t="s">
        <x:v>114</x:v>
      </x:c>
      <x:c r="AA47" s="11" t="n">
        <x:f>IFERROR(VLOOKUP(E47,Harmonization_Rules!$A$2:$B$9,2,FALSE),"")</x:f>
        <x:v>63.546</x:v>
      </x:c>
      <x:c r="AB47" s="2" t="str">
        <x:f t="shared" si="0"/>
        <x:v>SOURCE_VERIFIED_MICROMOLAR</x:v>
      </x:c>
      <x:c r="AC47" s="12">
        <x:f t="shared" si="1"/>
        <x:v>0.15886500000000001</x:v>
      </x:c>
      <x:c r="AD47" s="12">
        <x:f t="shared" si="2"/>
        <x:v>2.5</x:v>
      </x:c>
      <x:c r="AE47" s="12">
        <x:f t="shared" si="3"/>
        <x:v>0.91629073187415511</x:v>
      </x:c>
      <x:c r="AF47" s="2" t="str">
        <x:f t="shared" si="4"/>
        <x:v>HARMONIZED</x:v>
      </x:c>
      <x:c r="AG47" s="2" t="str">
        <x:v>O'Brien et al. (1988), Table 1, p. 61: total dissolved Cu LC50 in 10^-6 M. Analysis_Point is used directly as umol Cu/L; LC95 and cupric-ion-activity columns are not used.</x:v>
      </x:c>
      <x:c r="AH47" s="2" t="str">
        <x:f t="shared" si="5"/>
        <x:v>CORE</x:v>
      </x:c>
      <x:c r="AI47" s="2" t="str">
        <x:f t="shared" si="6"/>
        <x:v>YES</x:v>
      </x:c>
    </x:row>
    <x:row r="48" ht="54">
      <x:c r="A48" s="2">
        <x:v>350</x:v>
      </x:c>
      <x:c r="B48" s="2">
        <x:v>1252479</x:v>
      </x:c>
      <x:c r="C48" s="2">
        <x:v>700796</x:v>
      </x:c>
      <x:c r="D48" s="2">
        <x:v>59877</x:v>
      </x:c>
      <x:c r="E48" s="2" t="s">
        <x:v>10</x:v>
      </x:c>
      <x:c r="F48" s="2" t="s">
        <x:v>166</x:v>
      </x:c>
      <x:c r="G48" s="2" t="s">
        <x:v>157</x:v>
      </x:c>
      <x:c r="H48" s="2" t="s">
        <x:v>107</x:v>
      </x:c>
      <x:c r="I48" s="2"/>
      <x:c r="J48" s="2">
        <x:v>4</x:v>
      </x:c>
      <x:c r="K48" s="2" t="s">
        <x:v>117</x:v>
      </x:c>
      <x:c r="L48" s="2" t="s">
        <x:v>110</x:v>
      </x:c>
      <x:c r="M48" s="2"/>
      <x:c r="N48" s="2">
        <x:v>124.6</x:v>
      </x:c>
      <x:c r="O48" s="2"/>
      <x:c r="P48" s="2"/>
      <x:c r="Q48" s="2" t="s">
        <x:v>111</x:v>
      </x:c>
      <x:c r="R48" s="2">
        <x:v>124.6</x:v>
      </x:c>
      <x:c r="S48" s="2" t="s">
        <x:v>111</x:v>
      </x:c>
      <x:c r="T48" s="2">
        <x:v>20</x:v>
      </x:c>
      <x:c r="U48" s="2">
        <x:v>30</x:v>
      </x:c>
      <x:c r="V48" s="2">
        <x:v>7.9</x:v>
      </x:c>
      <x:c r="W48" s="2"/>
      <x:c r="X48" s="2" t="s">
        <x:v>171</x:v>
      </x:c>
      <x:c r="Y48" s="2" t="s">
        <x:v>113</x:v>
      </x:c>
      <x:c r="Z48" s="2" t="s">
        <x:v>114</x:v>
      </x:c>
      <x:c r="AA48" s="11" t="n">
        <x:f>IFERROR(VLOOKUP(E48,Harmonization_Rules!$A$2:$B$9,2,FALSE),"")</x:f>
        <x:v>63.546</x:v>
      </x:c>
      <x:c r="AB48" s="2" t="str">
        <x:f t="shared" si="0"/>
        <x:v>ECOTOX_STANDARDIZED_TARGET_METAL</x:v>
      </x:c>
      <x:c r="AC48" s="12">
        <x:f t="shared" si="1"/>
        <x:v>0.12459999999999999</x:v>
      </x:c>
      <x:c r="AD48" s="12">
        <x:f t="shared" si="2"/>
        <x:v>1.9607843137254901</x:v>
      </x:c>
      <x:c r="AE48" s="12">
        <x:f t="shared" si="3"/>
        <x:v>0.67334455326376552</x:v>
      </x:c>
      <x:c r="AF48" s="2" t="str">
        <x:f t="shared" si="4"/>
        <x:v>HARMONIZED</x:v>
      </x:c>
      <x:c r="AG48" s="2" t="str">
        <x:f>IF(E48="Cr","Cr(VI) chromate/dichromate rows are retained but molar conversion is held until source-specific compound-vs-ion basis is resolved.",IF(D48=2977,"OBrien 1988 reports total dissolved Cu LC96 values in 10^-6 M; the numeric Analysis_Point is therefore treated directly as umol Cu/L.",IF(AND(D48=6825,L48="Formulation"),"Nipper 1993 source check showed the reported concentrations are nominal Zn; formulation coding does not trigger compound-mass conversion.",IF(Y48="PRIMARY_RECOVERED","Source-recovered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48" s="2" t="str">
        <x:f t="shared" si="5"/>
        <x:v>CORE</x:v>
      </x:c>
      <x:c r="AI48" s="2" t="str">
        <x:f t="shared" si="6"/>
        <x:v>YES</x:v>
      </x:c>
    </x:row>
    <x:row r="49" ht="40.5">
      <x:c r="A49" s="2">
        <x:v>351</x:v>
      </x:c>
      <x:c r="B49" s="2">
        <x:v>1047101</x:v>
      </x:c>
      <x:c r="C49" s="2">
        <x:v>115194</x:v>
      </x:c>
      <x:c r="D49" s="2">
        <x:v>2977</x:v>
      </x:c>
      <x:c r="E49" s="2" t="s">
        <x:v>10</x:v>
      </x:c>
      <x:c r="F49" s="2" t="s">
        <x:v>166</x:v>
      </x:c>
      <x:c r="G49" s="2" t="s">
        <x:v>168</x:v>
      </x:c>
      <x:c r="H49" s="2" t="s">
        <x:v>107</x:v>
      </x:c>
      <x:c r="I49" s="2" t="s">
        <x:v>125</x:v>
      </x:c>
      <x:c r="J49" s="2">
        <x:v>4</x:v>
      </x:c>
      <x:c r="K49" s="2" t="s">
        <x:v>126</x:v>
      </x:c>
      <x:c r="L49" s="2" t="s">
        <x:v>110</x:v>
      </x:c>
      <x:c r="M49" s="2"/>
      <x:c r="N49" s="2">
        <x:v>4.0999999999999996</x:v>
      </x:c>
      <x:c r="O49" s="2">
        <x:v>3.3</x:v>
      </x:c>
      <x:c r="P49" s="2">
        <x:v>5</x:v>
      </x:c>
      <x:c r="Q49" s="2" t="s">
        <x:v>169</x:v>
      </x:c>
      <x:c r="R49" s="2">
        <x:v>4.0999999999999996</x:v>
      </x:c>
      <x:c r="S49" s="2" t="s">
        <x:v>169</x:v>
      </x:c>
      <x:c r="T49" s="2"/>
      <x:c r="U49" s="2">
        <x:v>35</x:v>
      </x:c>
      <x:c r="V49" s="2"/>
      <x:c r="W49" s="2"/>
      <x:c r="X49" s="2" t="s">
        <x:v>170</x:v>
      </x:c>
      <x:c r="Y49" s="2" t="s">
        <x:v>113</x:v>
      </x:c>
      <x:c r="Z49" s="2" t="s">
        <x:v>114</x:v>
      </x:c>
      <x:c r="AA49" s="11" t="n">
        <x:f>IFERROR(VLOOKUP(E49,Harmonization_Rules!$A$2:$B$9,2,FALSE),"")</x:f>
        <x:v>63.546</x:v>
      </x:c>
      <x:c r="AB49" s="2" t="str">
        <x:f t="shared" si="0"/>
        <x:v>SOURCE_VERIFIED_MICROMOLAR</x:v>
      </x:c>
      <x:c r="AC49" s="12">
        <x:f t="shared" si="1"/>
        <x:v>0.26053859999999995</x:v>
      </x:c>
      <x:c r="AD49" s="12">
        <x:f t="shared" si="2"/>
        <x:v>4.0999999999999996</x:v>
      </x:c>
      <x:c r="AE49" s="12">
        <x:f t="shared" si="3"/>
        <x:v>1.410986973710262</x:v>
      </x:c>
      <x:c r="AF49" s="2" t="str">
        <x:f t="shared" si="4"/>
        <x:v>HARMONIZED</x:v>
      </x:c>
      <x:c r="AG49" s="2" t="str">
        <x:v>O'Brien et al. (1988), Table 1, p. 61: total dissolved Cu LC50 in 10^-6 M. Analysis_Point is used directly as umol Cu/L; LC95 and cupric-ion-activity columns are not used.</x:v>
      </x:c>
      <x:c r="AH49" s="2" t="str">
        <x:f t="shared" si="5"/>
        <x:v>CORE</x:v>
      </x:c>
      <x:c r="AI49" s="2" t="str">
        <x:f t="shared" si="6"/>
        <x:v>YES</x:v>
      </x:c>
    </x:row>
    <x:row r="50" ht="40.5">
      <x:c r="A50" s="2">
        <x:v>352</x:v>
      </x:c>
      <x:c r="B50" s="2">
        <x:v>1047097</x:v>
      </x:c>
      <x:c r="C50" s="2">
        <x:v>115190</x:v>
      </x:c>
      <x:c r="D50" s="2">
        <x:v>2977</x:v>
      </x:c>
      <x:c r="E50" s="2" t="s">
        <x:v>10</x:v>
      </x:c>
      <x:c r="F50" s="2" t="s">
        <x:v>166</x:v>
      </x:c>
      <x:c r="G50" s="2" t="s">
        <x:v>168</x:v>
      </x:c>
      <x:c r="H50" s="2" t="s">
        <x:v>107</x:v>
      </x:c>
      <x:c r="I50" s="2" t="s">
        <x:v>125</x:v>
      </x:c>
      <x:c r="J50" s="2">
        <x:v>4</x:v>
      </x:c>
      <x:c r="K50" s="2" t="s">
        <x:v>126</x:v>
      </x:c>
      <x:c r="L50" s="2" t="s">
        <x:v>110</x:v>
      </x:c>
      <x:c r="M50" s="2"/>
      <x:c r="N50" s="2">
        <x:v>1.2</x:v>
      </x:c>
      <x:c r="O50" s="2">
        <x:v>0.6</x:v>
      </x:c>
      <x:c r="P50" s="2">
        <x:v>1.6</x:v>
      </x:c>
      <x:c r="Q50" s="2" t="s">
        <x:v>169</x:v>
      </x:c>
      <x:c r="R50" s="2">
        <x:v>1.2</x:v>
      </x:c>
      <x:c r="S50" s="2" t="s">
        <x:v>169</x:v>
      </x:c>
      <x:c r="T50" s="2"/>
      <x:c r="U50" s="2">
        <x:v>35</x:v>
      </x:c>
      <x:c r="V50" s="2"/>
      <x:c r="W50" s="2"/>
      <x:c r="X50" s="2" t="s">
        <x:v>170</x:v>
      </x:c>
      <x:c r="Y50" s="2" t="s">
        <x:v>113</x:v>
      </x:c>
      <x:c r="Z50" s="2" t="s">
        <x:v>114</x:v>
      </x:c>
      <x:c r="AA50" s="11" t="n">
        <x:f>IFERROR(VLOOKUP(E50,Harmonization_Rules!$A$2:$B$9,2,FALSE),"")</x:f>
        <x:v>63.546</x:v>
      </x:c>
      <x:c r="AB50" s="2" t="str">
        <x:f t="shared" si="0"/>
        <x:v>SOURCE_VERIFIED_MICROMOLAR</x:v>
      </x:c>
      <x:c r="AC50" s="12">
        <x:f t="shared" si="1"/>
        <x:v>7.6255199999999995E-2</x:v>
      </x:c>
      <x:c r="AD50" s="12">
        <x:f t="shared" si="2"/>
        <x:v>1.2</x:v>
      </x:c>
      <x:c r="AE50" s="12">
        <x:f t="shared" si="3"/>
        <x:v>0.18232155679395459</x:v>
      </x:c>
      <x:c r="AF50" s="2" t="str">
        <x:f t="shared" si="4"/>
        <x:v>HARMONIZED</x:v>
      </x:c>
      <x:c r="AG50" s="2" t="str">
        <x:v>O'Brien et al. (1988), Table 1, p. 61: total dissolved Cu LC50 in 10^-6 M. Analysis_Point is used directly as umol Cu/L; LC95 and cupric-ion-activity columns are not used.</x:v>
      </x:c>
      <x:c r="AH50" s="2" t="str">
        <x:f t="shared" si="5"/>
        <x:v>CORE</x:v>
      </x:c>
      <x:c r="AI50" s="2" t="str">
        <x:f t="shared" si="6"/>
        <x:v>YES</x:v>
      </x:c>
    </x:row>
    <x:row r="51" ht="40.5">
      <x:c r="A51" s="2">
        <x:v>353</x:v>
      </x:c>
      <x:c r="B51" s="2">
        <x:v>1134112</x:v>
      </x:c>
      <x:c r="C51" s="2">
        <x:v>107408</x:v>
      </x:c>
      <x:c r="D51" s="2">
        <x:v>10900</x:v>
      </x:c>
      <x:c r="E51" s="2" t="s">
        <x:v>10</x:v>
      </x:c>
      <x:c r="F51" s="2" t="s">
        <x:v>166</x:v>
      </x:c>
      <x:c r="G51" s="2" t="s">
        <x:v>150</x:v>
      </x:c>
      <x:c r="H51" s="2" t="s">
        <x:v>135</x:v>
      </x:c>
      <x:c r="I51" s="2" t="s">
        <x:v>159</x:v>
      </x:c>
      <x:c r="J51" s="2">
        <x:v>4</x:v>
      </x:c>
      <x:c r="K51" s="2" t="s">
        <x:v>117</x:v>
      </x:c>
      <x:c r="L51" s="2" t="s">
        <x:v>110</x:v>
      </x:c>
      <x:c r="M51" s="2"/>
      <x:c r="N51" s="2">
        <x:v>31.1</x:v>
      </x:c>
      <x:c r="O51" s="2"/>
      <x:c r="P51" s="2"/>
      <x:c r="Q51" s="2" t="s">
        <x:v>111</x:v>
      </x:c>
      <x:c r="R51" s="2">
        <x:v>31.1</x:v>
      </x:c>
      <x:c r="S51" s="2" t="s">
        <x:v>111</x:v>
      </x:c>
      <x:c r="T51" s="2">
        <x:v>15</x:v>
      </x:c>
      <x:c r="U51" s="2">
        <x:v>10</x:v>
      </x:c>
      <x:c r="V51" s="2"/>
      <x:c r="W51" s="2"/>
      <x:c r="X51" s="2" t="s">
        <x:v>160</x:v>
      </x:c>
      <x:c r="Y51" s="2" t="s">
        <x:v>113</x:v>
      </x:c>
      <x:c r="Z51" s="2" t="s">
        <x:v>114</x:v>
      </x:c>
      <x:c r="AA51" s="11" t="n">
        <x:f>IFERROR(VLOOKUP(E51,Harmonization_Rules!$A$2:$B$9,2,FALSE),"")</x:f>
        <x:v>63.546</x:v>
      </x:c>
      <x:c r="AB51" s="2" t="str">
        <x:f t="shared" si="0"/>
        <x:v>ECOTOX_STANDARDIZED_TARGET_METAL</x:v>
      </x:c>
      <x:c r="AC51" s="12">
        <x:f t="shared" si="1"/>
        <x:v>3.1100000000000003E-2</x:v>
      </x:c>
      <x:c r="AD51" s="12">
        <x:f t="shared" si="2"/>
        <x:v>0.48940924684480536</x:v>
      </x:c>
      <x:c r="AE51" s="12">
        <x:f t="shared" si="3"/>
        <x:v>-0.71455623390439871</x:v>
      </x:c>
      <x:c r="AF51" s="2" t="str">
        <x:f t="shared" si="4"/>
        <x:v>HARMONIZED</x:v>
      </x:c>
      <x:c r="AG51" s="2" t="str">
        <x:f>IF(E51="Cr","Cr(VI) chromate/dichromate rows are retained but molar conversion is held until source-specific compound-vs-ion basis is resolved.",IF(D51=2977,"OBrien 1988 reports total dissolved Cu LC99 values in 10^-6 M; the numeric Analysis_Point is therefore treated directly as umol Cu/L.",IF(AND(D51=6825,L51="Formulation"),"Nipper 1993 source check showed the reported concentrations are nominal Zn; formulation coding does not trigger compound-mass conversion.",IF(Y51="PRIMARY_RECOVERED","Source-recovered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51" s="2" t="str">
        <x:f t="shared" si="5"/>
        <x:v>CORE</x:v>
      </x:c>
      <x:c r="AI51" s="2" t="str">
        <x:f t="shared" si="6"/>
        <x:v>YES</x:v>
      </x:c>
    </x:row>
    <x:row r="52" ht="40.5">
      <x:c r="A52" s="2">
        <x:v>354</x:v>
      </x:c>
      <x:c r="B52" s="2">
        <x:v>1047100</x:v>
      </x:c>
      <x:c r="C52" s="2">
        <x:v>115193</x:v>
      </x:c>
      <x:c r="D52" s="2">
        <x:v>2977</x:v>
      </x:c>
      <x:c r="E52" s="2" t="s">
        <x:v>10</x:v>
      </x:c>
      <x:c r="F52" s="2" t="s">
        <x:v>166</x:v>
      </x:c>
      <x:c r="G52" s="2" t="s">
        <x:v>168</x:v>
      </x:c>
      <x:c r="H52" s="2" t="s">
        <x:v>107</x:v>
      </x:c>
      <x:c r="I52" s="2" t="s">
        <x:v>125</x:v>
      </x:c>
      <x:c r="J52" s="2">
        <x:v>4</x:v>
      </x:c>
      <x:c r="K52" s="2" t="s">
        <x:v>126</x:v>
      </x:c>
      <x:c r="L52" s="2" t="s">
        <x:v>110</x:v>
      </x:c>
      <x:c r="M52" s="2"/>
      <x:c r="N52" s="2">
        <x:v>2.9</x:v>
      </x:c>
      <x:c r="O52" s="2">
        <x:v>1.5</x:v>
      </x:c>
      <x:c r="P52" s="2">
        <x:v>4.2</x:v>
      </x:c>
      <x:c r="Q52" s="2" t="s">
        <x:v>169</x:v>
      </x:c>
      <x:c r="R52" s="2">
        <x:v>2.9</x:v>
      </x:c>
      <x:c r="S52" s="2" t="s">
        <x:v>169</x:v>
      </x:c>
      <x:c r="T52" s="2"/>
      <x:c r="U52" s="2">
        <x:v>35</x:v>
      </x:c>
      <x:c r="V52" s="2"/>
      <x:c r="W52" s="2"/>
      <x:c r="X52" s="2" t="s">
        <x:v>170</x:v>
      </x:c>
      <x:c r="Y52" s="2" t="s">
        <x:v>113</x:v>
      </x:c>
      <x:c r="Z52" s="2" t="s">
        <x:v>114</x:v>
      </x:c>
      <x:c r="AA52" s="11" t="n">
        <x:f>IFERROR(VLOOKUP(E52,Harmonization_Rules!$A$2:$B$9,2,FALSE),"")</x:f>
        <x:v>63.546</x:v>
      </x:c>
      <x:c r="AB52" s="2" t="str">
        <x:f t="shared" si="0"/>
        <x:v>SOURCE_VERIFIED_MICROMOLAR</x:v>
      </x:c>
      <x:c r="AC52" s="12">
        <x:f t="shared" si="1"/>
        <x:v>0.18428340000000001</x:v>
      </x:c>
      <x:c r="AD52" s="12">
        <x:f t="shared" si="2"/>
        <x:v>2.9</x:v>
      </x:c>
      <x:c r="AE52" s="12">
        <x:f t="shared" si="3"/>
        <x:v>1.0647107369924282</x:v>
      </x:c>
      <x:c r="AF52" s="2" t="str">
        <x:f t="shared" si="4"/>
        <x:v>HARMONIZED</x:v>
      </x:c>
      <x:c r="AG52" s="2" t="str">
        <x:v>O'Brien et al. (1988), Table 1, p. 61: total dissolved Cu LC50 in 10^-6 M. Analysis_Point is used directly as umol Cu/L; LC95 and cupric-ion-activity columns are not used.</x:v>
      </x:c>
      <x:c r="AH52" s="2" t="str">
        <x:f t="shared" si="5"/>
        <x:v>CORE</x:v>
      </x:c>
      <x:c r="AI52" s="2" t="str">
        <x:f t="shared" si="6"/>
        <x:v>YES</x:v>
      </x:c>
    </x:row>
    <x:row r="53" ht="40.5">
      <x:c r="A53" s="2">
        <x:v>355</x:v>
      </x:c>
      <x:c r="B53" s="2">
        <x:v>1134111</x:v>
      </x:c>
      <x:c r="C53" s="2">
        <x:v>107407</x:v>
      </x:c>
      <x:c r="D53" s="2">
        <x:v>10900</x:v>
      </x:c>
      <x:c r="E53" s="2" t="s">
        <x:v>10</x:v>
      </x:c>
      <x:c r="F53" s="2" t="s">
        <x:v>166</x:v>
      </x:c>
      <x:c r="G53" s="2" t="s">
        <x:v>150</x:v>
      </x:c>
      <x:c r="H53" s="2" t="s">
        <x:v>135</x:v>
      </x:c>
      <x:c r="I53" s="2" t="s">
        <x:v>159</x:v>
      </x:c>
      <x:c r="J53" s="2">
        <x:v>4</x:v>
      </x:c>
      <x:c r="K53" s="2" t="s">
        <x:v>117</x:v>
      </x:c>
      <x:c r="L53" s="2" t="s">
        <x:v>110</x:v>
      </x:c>
      <x:c r="M53" s="2"/>
      <x:c r="N53" s="2">
        <x:v>30.6</x:v>
      </x:c>
      <x:c r="O53" s="2"/>
      <x:c r="P53" s="2"/>
      <x:c r="Q53" s="2" t="s">
        <x:v>111</x:v>
      </x:c>
      <x:c r="R53" s="2">
        <x:v>30.6</x:v>
      </x:c>
      <x:c r="S53" s="2" t="s">
        <x:v>111</x:v>
      </x:c>
      <x:c r="T53" s="2">
        <x:v>15</x:v>
      </x:c>
      <x:c r="U53" s="2">
        <x:v>10</x:v>
      </x:c>
      <x:c r="V53" s="2"/>
      <x:c r="W53" s="2"/>
      <x:c r="X53" s="2" t="s">
        <x:v>160</x:v>
      </x:c>
      <x:c r="Y53" s="2" t="s">
        <x:v>113</x:v>
      </x:c>
      <x:c r="Z53" s="2" t="s">
        <x:v>114</x:v>
      </x:c>
      <x:c r="AA53" s="11" t="n">
        <x:f>IFERROR(VLOOKUP(E53,Harmonization_Rules!$A$2:$B$9,2,FALSE),"")</x:f>
        <x:v>63.546</x:v>
      </x:c>
      <x:c r="AB53" s="2" t="str">
        <x:f t="shared" si="0"/>
        <x:v>ECOTOX_STANDARDIZED_TARGET_METAL</x:v>
      </x:c>
      <x:c r="AC53" s="12">
        <x:f t="shared" si="1"/>
        <x:v>3.0600000000000002E-2</x:v>
      </x:c>
      <x:c r="AD53" s="12">
        <x:f t="shared" si="2"/>
        <x:v>0.48154093097913325</x:v>
      </x:c>
      <x:c r="AE53" s="12">
        <x:f t="shared" si="3"/>
        <x:v>-0.73076404413125207</x:v>
      </x:c>
      <x:c r="AF53" s="2" t="str">
        <x:f t="shared" si="4"/>
        <x:v>HARMONIZED</x:v>
      </x:c>
      <x:c r="AG53" s="2" t="str">
        <x:f>IF(E53="Cr","Cr(VI) chromate/dichromate rows are retained but molar conversion is held until source-specific compound-vs-ion basis is resolved.",IF(D53=2977,"OBrien 1988 reports total dissolved Cu LC101 values in 10^-6 M; the numeric Analysis_Point is therefore treated directly as umol Cu/L.",IF(AND(D53=6825,L53="Formulation"),"Nipper 1993 source check showed the reported concentrations are nominal Zn; formulation coding does not trigger compound-mass conversion.",IF(Y53="PRIMARY_RECOVERED","Source-recovered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53" s="2" t="str">
        <x:f t="shared" si="5"/>
        <x:v>CORE</x:v>
      </x:c>
      <x:c r="AI53" s="2" t="str">
        <x:f t="shared" si="6"/>
        <x:v>YES</x:v>
      </x:c>
    </x:row>
    <x:row r="54" ht="40.5">
      <x:c r="A54" s="2">
        <x:v>356</x:v>
      </x:c>
      <x:c r="B54" s="2">
        <x:v>1134115</x:v>
      </x:c>
      <x:c r="C54" s="2">
        <x:v>107411</x:v>
      </x:c>
      <x:c r="D54" s="2">
        <x:v>10900</x:v>
      </x:c>
      <x:c r="E54" s="2" t="s">
        <x:v>10</x:v>
      </x:c>
      <x:c r="F54" s="2" t="s">
        <x:v>166</x:v>
      </x:c>
      <x:c r="G54" s="2" t="s">
        <x:v>150</x:v>
      </x:c>
      <x:c r="H54" s="2" t="s">
        <x:v>135</x:v>
      </x:c>
      <x:c r="I54" s="2" t="s">
        <x:v>159</x:v>
      </x:c>
      <x:c r="J54" s="2">
        <x:v>4</x:v>
      </x:c>
      <x:c r="K54" s="2" t="s">
        <x:v>117</x:v>
      </x:c>
      <x:c r="L54" s="2" t="s">
        <x:v>110</x:v>
      </x:c>
      <x:c r="M54" s="2"/>
      <x:c r="N54" s="2">
        <x:v>33.700000000000003</x:v>
      </x:c>
      <x:c r="O54" s="2">
        <x:v>24</x:v>
      </x:c>
      <x:c r="P54" s="2">
        <x:v>46</x:v>
      </x:c>
      <x:c r="Q54" s="2" t="s">
        <x:v>111</x:v>
      </x:c>
      <x:c r="R54" s="2">
        <x:v>33.700000000000003</x:v>
      </x:c>
      <x:c r="S54" s="2" t="s">
        <x:v>111</x:v>
      </x:c>
      <x:c r="T54" s="2">
        <x:v>15</x:v>
      </x:c>
      <x:c r="U54" s="2">
        <x:v>10</x:v>
      </x:c>
      <x:c r="V54" s="2"/>
      <x:c r="W54" s="2"/>
      <x:c r="X54" s="2" t="s">
        <x:v>160</x:v>
      </x:c>
      <x:c r="Y54" s="2" t="s">
        <x:v>113</x:v>
      </x:c>
      <x:c r="Z54" s="2" t="s">
        <x:v>114</x:v>
      </x:c>
      <x:c r="AA54" s="11" t="n">
        <x:f>IFERROR(VLOOKUP(E54,Harmonization_Rules!$A$2:$B$9,2,FALSE),"")</x:f>
        <x:v>63.546</x:v>
      </x:c>
      <x:c r="AB54" s="2" t="str">
        <x:f t="shared" si="0"/>
        <x:v>ECOTOX_STANDARDIZED_TARGET_METAL</x:v>
      </x:c>
      <x:c r="AC54" s="12">
        <x:f t="shared" si="1"/>
        <x:v>3.3700000000000001E-2</x:v>
      </x:c>
      <x:c r="AD54" s="12">
        <x:f t="shared" si="2"/>
        <x:v>0.53032448934630039</x:v>
      </x:c>
      <x:c r="AE54" s="12">
        <x:f t="shared" si="3"/>
        <x:v>-0.63426621573127095</x:v>
      </x:c>
      <x:c r="AF54" s="2" t="str">
        <x:f t="shared" si="4"/>
        <x:v>HARMONIZED</x:v>
      </x:c>
      <x:c r="AG54" s="2" t="str">
        <x:f>IF(E54="Cr","Cr(VI) chromate/dichromate rows are retained but molar conversion is held until source-specific compound-vs-ion basis is resolved.",IF(D54=2977,"OBrien 1988 reports total dissolved Cu LC102 values in 10^-6 M; the numeric Analysis_Point is therefore treated directly as umol Cu/L.",IF(AND(D54=6825,L54="Formulation"),"Nipper 1993 source check showed the reported concentrations are nominal Zn; formulation coding does not trigger compound-mass conversion.",IF(Y54="PRIMARY_RECOVERED","Source-recovered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54" s="2" t="str">
        <x:f t="shared" si="5"/>
        <x:v>CORE</x:v>
      </x:c>
      <x:c r="AI54" s="2" t="str">
        <x:f t="shared" si="6"/>
        <x:v>YES</x:v>
      </x:c>
    </x:row>
    <x:row r="55" ht="40.5">
      <x:c r="A55" s="2">
        <x:v>357</x:v>
      </x:c>
      <x:c r="B55" s="2">
        <x:v>1134113</x:v>
      </x:c>
      <x:c r="C55" s="2">
        <x:v>107409</x:v>
      </x:c>
      <x:c r="D55" s="2">
        <x:v>10900</x:v>
      </x:c>
      <x:c r="E55" s="2" t="s">
        <x:v>10</x:v>
      </x:c>
      <x:c r="F55" s="2" t="s">
        <x:v>166</x:v>
      </x:c>
      <x:c r="G55" s="2" t="s">
        <x:v>150</x:v>
      </x:c>
      <x:c r="H55" s="2" t="s">
        <x:v>135</x:v>
      </x:c>
      <x:c r="I55" s="2" t="s">
        <x:v>159</x:v>
      </x:c>
      <x:c r="J55" s="2">
        <x:v>4</x:v>
      </x:c>
      <x:c r="K55" s="2" t="s">
        <x:v>117</x:v>
      </x:c>
      <x:c r="L55" s="2" t="s">
        <x:v>110</x:v>
      </x:c>
      <x:c r="M55" s="2"/>
      <x:c r="N55" s="2">
        <x:v>28.7</x:v>
      </x:c>
      <x:c r="O55" s="2"/>
      <x:c r="P55" s="2"/>
      <x:c r="Q55" s="2" t="s">
        <x:v>111</x:v>
      </x:c>
      <x:c r="R55" s="2">
        <x:v>28.7</x:v>
      </x:c>
      <x:c r="S55" s="2" t="s">
        <x:v>111</x:v>
      </x:c>
      <x:c r="T55" s="2">
        <x:v>15</x:v>
      </x:c>
      <x:c r="U55" s="2">
        <x:v>10</x:v>
      </x:c>
      <x:c r="V55" s="2"/>
      <x:c r="W55" s="2"/>
      <x:c r="X55" s="2" t="s">
        <x:v>160</x:v>
      </x:c>
      <x:c r="Y55" s="2" t="s">
        <x:v>113</x:v>
      </x:c>
      <x:c r="Z55" s="2" t="s">
        <x:v>114</x:v>
      </x:c>
      <x:c r="AA55" s="11" t="n">
        <x:f>IFERROR(VLOOKUP(E55,Harmonization_Rules!$A$2:$B$9,2,FALSE),"")</x:f>
        <x:v>63.546</x:v>
      </x:c>
      <x:c r="AB55" s="2" t="str">
        <x:f t="shared" si="0"/>
        <x:v>ECOTOX_STANDARDIZED_TARGET_METAL</x:v>
      </x:c>
      <x:c r="AC55" s="12">
        <x:f t="shared" si="1"/>
        <x:v>2.87E-2</x:v>
      </x:c>
      <x:c r="AD55" s="12">
        <x:f t="shared" si="2"/>
        <x:v>0.45164133068957918</x:v>
      </x:c>
      <x:c r="AE55" s="12">
        <x:f t="shared" si="3"/>
        <x:v>-0.79486693032401179</x:v>
      </x:c>
      <x:c r="AF55" s="2" t="str">
        <x:f t="shared" si="4"/>
        <x:v>HARMONIZED</x:v>
      </x:c>
      <x:c r="AG55" s="2" t="str">
        <x:f>IF(E55="Cr","Cr(VI) chromate/dichromate rows are retained but molar conversion is held until source-specific compound-vs-ion basis is resolved.",IF(D55=2977,"OBrien 1988 reports total dissolved Cu LC103 values in 10^-6 M; the numeric Analysis_Point is therefore treated directly as umol Cu/L.",IF(AND(D55=6825,L55="Formulation"),"Nipper 1993 source check showed the reported concentrations are nominal Zn; formulation coding does not trigger compound-mass conversion.",IF(Y55="PRIMARY_RECOVERED","Source-recovered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55" s="2" t="str">
        <x:f t="shared" si="5"/>
        <x:v>CORE</x:v>
      </x:c>
      <x:c r="AI55" s="2" t="str">
        <x:f t="shared" si="6"/>
        <x:v>YES</x:v>
      </x:c>
    </x:row>
    <x:row r="56" ht="40.5">
      <x:c r="A56" s="2">
        <x:v>358</x:v>
      </x:c>
      <x:c r="B56" s="2">
        <x:v>1047096</x:v>
      </x:c>
      <x:c r="C56" s="2">
        <x:v>115189</x:v>
      </x:c>
      <x:c r="D56" s="2">
        <x:v>2977</x:v>
      </x:c>
      <x:c r="E56" s="2" t="s">
        <x:v>10</x:v>
      </x:c>
      <x:c r="F56" s="2" t="s">
        <x:v>166</x:v>
      </x:c>
      <x:c r="G56" s="2" t="s">
        <x:v>168</x:v>
      </x:c>
      <x:c r="H56" s="2" t="s">
        <x:v>107</x:v>
      </x:c>
      <x:c r="I56" s="2" t="s">
        <x:v>172</x:v>
      </x:c>
      <x:c r="J56" s="2">
        <x:v>4</x:v>
      </x:c>
      <x:c r="K56" s="2" t="s">
        <x:v>126</x:v>
      </x:c>
      <x:c r="L56" s="2" t="s">
        <x:v>110</x:v>
      </x:c>
      <x:c r="M56" s="2"/>
      <x:c r="N56" s="2">
        <x:v>3.6</x:v>
      </x:c>
      <x:c r="O56" s="2">
        <x:v>1.2</x:v>
      </x:c>
      <x:c r="P56" s="2">
        <x:v>6.2</x:v>
      </x:c>
      <x:c r="Q56" s="2" t="s">
        <x:v>169</x:v>
      </x:c>
      <x:c r="R56" s="2">
        <x:v>3.6</x:v>
      </x:c>
      <x:c r="S56" s="2" t="s">
        <x:v>169</x:v>
      </x:c>
      <x:c r="T56" s="2"/>
      <x:c r="U56" s="2">
        <x:v>35</x:v>
      </x:c>
      <x:c r="V56" s="2"/>
      <x:c r="W56" s="2"/>
      <x:c r="X56" s="2" t="s">
        <x:v>170</x:v>
      </x:c>
      <x:c r="Y56" s="2" t="s">
        <x:v>113</x:v>
      </x:c>
      <x:c r="Z56" s="2" t="s">
        <x:v>114</x:v>
      </x:c>
      <x:c r="AA56" s="11" t="n">
        <x:f>IFERROR(VLOOKUP(E56,Harmonization_Rules!$A$2:$B$9,2,FALSE),"")</x:f>
        <x:v>63.546</x:v>
      </x:c>
      <x:c r="AB56" s="2" t="str">
        <x:f t="shared" si="0"/>
        <x:v>SOURCE_VERIFIED_MICROMOLAR</x:v>
      </x:c>
      <x:c r="AC56" s="12">
        <x:f t="shared" si="1"/>
        <x:v>0.22876560000000001</x:v>
      </x:c>
      <x:c r="AD56" s="12">
        <x:f t="shared" si="2"/>
        <x:v>3.6</x:v>
      </x:c>
      <x:c r="AE56" s="12">
        <x:f t="shared" si="3"/>
        <x:v>1.2809338454620642</x:v>
      </x:c>
      <x:c r="AF56" s="2" t="str">
        <x:f t="shared" si="4"/>
        <x:v>HARMONIZED</x:v>
      </x:c>
      <x:c r="AG56" s="2" t="str">
        <x:v>O'Brien et al. (1988), Table 1, p. 61: total dissolved Cu LC50 in 10^-6 M. Analysis_Point is used directly as umol Cu/L; LC95 and cupric-ion-activity columns are not used.</x:v>
      </x:c>
      <x:c r="AH56" s="2" t="str">
        <x:f t="shared" si="5"/>
        <x:v>CORE</x:v>
      </x:c>
      <x:c r="AI56" s="2" t="str">
        <x:f t="shared" si="6"/>
        <x:v>YES</x:v>
      </x:c>
    </x:row>
    <x:row r="57" ht="40.5">
      <x:c r="A57" s="2">
        <x:v>359</x:v>
      </x:c>
      <x:c r="B57" s="2">
        <x:v>1111944</x:v>
      </x:c>
      <x:c r="C57" s="2">
        <x:v>23784</x:v>
      </x:c>
      <x:c r="D57" s="2">
        <x:v>8445</x:v>
      </x:c>
      <x:c r="E57" s="2" t="s">
        <x:v>10</x:v>
      </x:c>
      <x:c r="F57" s="2" t="s">
        <x:v>166</x:v>
      </x:c>
      <x:c r="G57" s="2" t="s">
        <x:v>134</x:v>
      </x:c>
      <x:c r="H57" s="2" t="s">
        <x:v>135</x:v>
      </x:c>
      <x:c r="I57" s="2" t="s">
        <x:v>148</x:v>
      </x:c>
      <x:c r="J57" s="2">
        <x:v>4</x:v>
      </x:c>
      <x:c r="K57" s="2" t="s">
        <x:v>117</x:v>
      </x:c>
      <x:c r="L57" s="2" t="s">
        <x:v>110</x:v>
      </x:c>
      <x:c r="M57" s="2"/>
      <x:c r="N57" s="2">
        <x:v>55</x:v>
      </x:c>
      <x:c r="O57" s="2">
        <x:v>36</x:v>
      </x:c>
      <x:c r="P57" s="2">
        <x:v>76</x:v>
      </x:c>
      <x:c r="Q57" s="2" t="s">
        <x:v>111</x:v>
      </x:c>
      <x:c r="R57" s="2">
        <x:v>55</x:v>
      </x:c>
      <x:c r="S57" s="2" t="s">
        <x:v>111</x:v>
      </x:c>
      <x:c r="T57" s="2">
        <x:v>20</x:v>
      </x:c>
      <x:c r="U57" s="2">
        <x:v>10</x:v>
      </x:c>
      <x:c r="V57" s="2"/>
      <x:c r="W57" s="2"/>
      <x:c r="X57" s="2" t="s">
        <x:v>147</x:v>
      </x:c>
      <x:c r="Y57" s="2" t="s">
        <x:v>113</x:v>
      </x:c>
      <x:c r="Z57" s="2" t="s">
        <x:v>114</x:v>
      </x:c>
      <x:c r="AA57" s="11" t="n">
        <x:f>IFERROR(VLOOKUP(E57,Harmonization_Rules!$A$2:$B$9,2,FALSE),"")</x:f>
        <x:v>63.546</x:v>
      </x:c>
      <x:c r="AB57" s="2" t="str">
        <x:f t="shared" si="0"/>
        <x:v>ECOTOX_STANDARDIZED_TARGET_METAL</x:v>
      </x:c>
      <x:c r="AC57" s="12">
        <x:f t="shared" si="1"/>
        <x:v>5.5E-2</x:v>
      </x:c>
      <x:c r="AD57" s="12">
        <x:f t="shared" si="2"/>
        <x:v>0.86551474522393224</x:v>
      </x:c>
      <x:c r="AE57" s="12">
        <x:f t="shared" si="3"/>
        <x:v>-0.14443086785711629</x:v>
      </x:c>
      <x:c r="AF57" s="2" t="str">
        <x:f t="shared" si="4"/>
        <x:v>HARMONIZED</x:v>
      </x:c>
      <x:c r="AG57" s="2" t="str">
        <x:f>IF(E57="Cr","Cr(VI) chromate/dichromate rows are retained but molar conversion is held until source-specific compound-vs-ion basis is resolved.",IF(D57=2977,"OBrien 1988 reports total dissolved Cu LC105 values in 10^-6 M; the numeric Analysis_Point is therefore treated directly as umol Cu/L.",IF(AND(D57=6825,L57="Formulation"),"Nipper 1993 source check showed the reported concentrations are nominal Zn; formulation coding does not trigger compound-mass conversion.",IF(Y57="PRIMARY_RECOVERED","Source-recovered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57" s="2" t="str">
        <x:f t="shared" si="5"/>
        <x:v>CORE</x:v>
      </x:c>
      <x:c r="AI57" s="2" t="str">
        <x:f t="shared" si="6"/>
        <x:v>YES</x:v>
      </x:c>
    </x:row>
    <x:row r="58" ht="40.5">
      <x:c r="A58" s="2">
        <x:v>360</x:v>
      </x:c>
      <x:c r="B58" s="2">
        <x:v>1047106</x:v>
      </x:c>
      <x:c r="C58" s="2">
        <x:v>115199</x:v>
      </x:c>
      <x:c r="D58" s="2">
        <x:v>2977</x:v>
      </x:c>
      <x:c r="E58" s="2" t="s">
        <x:v>10</x:v>
      </x:c>
      <x:c r="F58" s="2" t="s">
        <x:v>166</x:v>
      </x:c>
      <x:c r="G58" s="2" t="s">
        <x:v>168</x:v>
      </x:c>
      <x:c r="H58" s="2" t="s">
        <x:v>107</x:v>
      </x:c>
      <x:c r="I58" s="2" t="s">
        <x:v>173</x:v>
      </x:c>
      <x:c r="J58" s="2">
        <x:v>4</x:v>
      </x:c>
      <x:c r="K58" s="2" t="s">
        <x:v>126</x:v>
      </x:c>
      <x:c r="L58" s="2" t="s">
        <x:v>110</x:v>
      </x:c>
      <x:c r="M58" s="2"/>
      <x:c r="N58" s="2">
        <x:v>6.2</x:v>
      </x:c>
      <x:c r="O58" s="2">
        <x:v>3.9</x:v>
      </x:c>
      <x:c r="P58" s="2">
        <x:v>7.9</x:v>
      </x:c>
      <x:c r="Q58" s="2" t="s">
        <x:v>169</x:v>
      </x:c>
      <x:c r="R58" s="2">
        <x:v>6.2</x:v>
      </x:c>
      <x:c r="S58" s="2" t="s">
        <x:v>169</x:v>
      </x:c>
      <x:c r="T58" s="2"/>
      <x:c r="U58" s="2">
        <x:v>35</x:v>
      </x:c>
      <x:c r="V58" s="2"/>
      <x:c r="W58" s="2"/>
      <x:c r="X58" s="2" t="s">
        <x:v>170</x:v>
      </x:c>
      <x:c r="Y58" s="2" t="s">
        <x:v>113</x:v>
      </x:c>
      <x:c r="Z58" s="2" t="s">
        <x:v>114</x:v>
      </x:c>
      <x:c r="AA58" s="11" t="n">
        <x:f>IFERROR(VLOOKUP(E58,Harmonization_Rules!$A$2:$B$9,2,FALSE),"")</x:f>
        <x:v>63.546</x:v>
      </x:c>
      <x:c r="AB58" s="2" t="str">
        <x:f t="shared" si="0"/>
        <x:v>SOURCE_VERIFIED_MICROMOLAR</x:v>
      </x:c>
      <x:c r="AC58" s="12">
        <x:f t="shared" si="1"/>
        <x:v>0.39398520000000004</x:v>
      </x:c>
      <x:c r="AD58" s="12">
        <x:f t="shared" si="2"/>
        <x:v>6.2</x:v>
      </x:c>
      <x:c r="AE58" s="12">
        <x:f t="shared" si="3"/>
        <x:v>1.824549292051046</x:v>
      </x:c>
      <x:c r="AF58" s="2" t="str">
        <x:f t="shared" si="4"/>
        <x:v>HARMONIZED</x:v>
      </x:c>
      <x:c r="AG58" s="2" t="str">
        <x:v>O'Brien et al. (1988), Table 1, p. 61: total dissolved Cu LC50 in 10^-6 M. Analysis_Point is used directly as umol Cu/L; LC95 and cupric-ion-activity columns are not used.</x:v>
      </x:c>
      <x:c r="AH58" s="2" t="str">
        <x:f t="shared" si="5"/>
        <x:v>CORE</x:v>
      </x:c>
      <x:c r="AI58" s="2" t="str">
        <x:f t="shared" si="6"/>
        <x:v>YES</x:v>
      </x:c>
    </x:row>
    <x:row r="59" ht="40.5">
      <x:c r="A59" s="2">
        <x:v>361</x:v>
      </x:c>
      <x:c r="B59" s="2">
        <x:v>1047104</x:v>
      </x:c>
      <x:c r="C59" s="2">
        <x:v>115197</x:v>
      </x:c>
      <x:c r="D59" s="2">
        <x:v>2977</x:v>
      </x:c>
      <x:c r="E59" s="2" t="s">
        <x:v>10</x:v>
      </x:c>
      <x:c r="F59" s="2" t="s">
        <x:v>166</x:v>
      </x:c>
      <x:c r="G59" s="2" t="s">
        <x:v>168</x:v>
      </x:c>
      <x:c r="H59" s="2" t="s">
        <x:v>107</x:v>
      </x:c>
      <x:c r="I59" s="2" t="s">
        <x:v>173</x:v>
      </x:c>
      <x:c r="J59" s="2">
        <x:v>4</x:v>
      </x:c>
      <x:c r="K59" s="2" t="s">
        <x:v>126</x:v>
      </x:c>
      <x:c r="L59" s="2" t="s">
        <x:v>110</x:v>
      </x:c>
      <x:c r="M59" s="2"/>
      <x:c r="N59" s="2">
        <x:v>7.8</x:v>
      </x:c>
      <x:c r="O59" s="2">
        <x:v>4.5</x:v>
      </x:c>
      <x:c r="P59" s="2">
        <x:v>11.5</x:v>
      </x:c>
      <x:c r="Q59" s="2" t="s">
        <x:v>169</x:v>
      </x:c>
      <x:c r="R59" s="2">
        <x:v>7.8</x:v>
      </x:c>
      <x:c r="S59" s="2" t="s">
        <x:v>169</x:v>
      </x:c>
      <x:c r="T59" s="2"/>
      <x:c r="U59" s="2">
        <x:v>35</x:v>
      </x:c>
      <x:c r="V59" s="2"/>
      <x:c r="W59" s="2"/>
      <x:c r="X59" s="2" t="s">
        <x:v>170</x:v>
      </x:c>
      <x:c r="Y59" s="2" t="s">
        <x:v>113</x:v>
      </x:c>
      <x:c r="Z59" s="2" t="s">
        <x:v>114</x:v>
      </x:c>
      <x:c r="AA59" s="11" t="n">
        <x:f>IFERROR(VLOOKUP(E59,Harmonization_Rules!$A$2:$B$9,2,FALSE),"")</x:f>
        <x:v>63.546</x:v>
      </x:c>
      <x:c r="AB59" s="2" t="str">
        <x:f t="shared" si="0"/>
        <x:v>SOURCE_VERIFIED_MICROMOLAR</x:v>
      </x:c>
      <x:c r="AC59" s="12">
        <x:f t="shared" si="1"/>
        <x:v>0.49565880000000001</x:v>
      </x:c>
      <x:c r="AD59" s="12">
        <x:f t="shared" si="2"/>
        <x:v>7.8</x:v>
      </x:c>
      <x:c r="AE59" s="12">
        <x:f t="shared" si="3"/>
        <x:v>2.0541237336955462</x:v>
      </x:c>
      <x:c r="AF59" s="2" t="str">
        <x:f t="shared" si="4"/>
        <x:v>HARMONIZED</x:v>
      </x:c>
      <x:c r="AG59" s="2" t="str">
        <x:v>O'Brien et al. (1988), Table 1, p. 61: total dissolved Cu LC50 in 10^-6 M. Analysis_Point is used directly as umol Cu/L; LC95 and cupric-ion-activity columns are not used.</x:v>
      </x:c>
      <x:c r="AH59" s="2" t="str">
        <x:f t="shared" si="5"/>
        <x:v>CORE</x:v>
      </x:c>
      <x:c r="AI59" s="2" t="str">
        <x:f t="shared" si="6"/>
        <x:v>YES</x:v>
      </x:c>
    </x:row>
    <x:row r="60" ht="40.5">
      <x:c r="A60" s="2">
        <x:v>362</x:v>
      </x:c>
      <x:c r="B60" s="2">
        <x:v>1047102</x:v>
      </x:c>
      <x:c r="C60" s="2">
        <x:v>115195</x:v>
      </x:c>
      <x:c r="D60" s="2">
        <x:v>2977</x:v>
      </x:c>
      <x:c r="E60" s="2" t="s">
        <x:v>10</x:v>
      </x:c>
      <x:c r="F60" s="2" t="s">
        <x:v>166</x:v>
      </x:c>
      <x:c r="G60" s="2" t="s">
        <x:v>168</x:v>
      </x:c>
      <x:c r="H60" s="2" t="s">
        <x:v>107</x:v>
      </x:c>
      <x:c r="I60" s="2" t="s">
        <x:v>125</x:v>
      </x:c>
      <x:c r="J60" s="2">
        <x:v>4</x:v>
      </x:c>
      <x:c r="K60" s="2" t="s">
        <x:v>126</x:v>
      </x:c>
      <x:c r="L60" s="2" t="s">
        <x:v>110</x:v>
      </x:c>
      <x:c r="M60" s="2"/>
      <x:c r="N60" s="2">
        <x:v>4.8</x:v>
      </x:c>
      <x:c r="O60" s="2">
        <x:v>3.5</x:v>
      </x:c>
      <x:c r="P60" s="2">
        <x:v>6.1</x:v>
      </x:c>
      <x:c r="Q60" s="2" t="s">
        <x:v>169</x:v>
      </x:c>
      <x:c r="R60" s="2">
        <x:v>4.8</x:v>
      </x:c>
      <x:c r="S60" s="2" t="s">
        <x:v>169</x:v>
      </x:c>
      <x:c r="T60" s="2"/>
      <x:c r="U60" s="2">
        <x:v>35</x:v>
      </x:c>
      <x:c r="V60" s="2"/>
      <x:c r="W60" s="2"/>
      <x:c r="X60" s="2" t="s">
        <x:v>170</x:v>
      </x:c>
      <x:c r="Y60" s="2" t="s">
        <x:v>113</x:v>
      </x:c>
      <x:c r="Z60" s="2" t="s">
        <x:v>114</x:v>
      </x:c>
      <x:c r="AA60" s="11" t="n">
        <x:f>IFERROR(VLOOKUP(E60,Harmonization_Rules!$A$2:$B$9,2,FALSE),"")</x:f>
        <x:v>63.546</x:v>
      </x:c>
      <x:c r="AB60" s="2" t="str">
        <x:f t="shared" si="0"/>
        <x:v>SOURCE_VERIFIED_MICROMOLAR</x:v>
      </x:c>
      <x:c r="AC60" s="12">
        <x:f t="shared" si="1"/>
        <x:v>0.30502079999999998</x:v>
      </x:c>
      <x:c r="AD60" s="12">
        <x:f t="shared" si="2"/>
        <x:v>4.8</x:v>
      </x:c>
      <x:c r="AE60" s="12">
        <x:f t="shared" si="3"/>
        <x:v>1.5686159179138452</x:v>
      </x:c>
      <x:c r="AF60" s="2" t="str">
        <x:f t="shared" si="4"/>
        <x:v>HARMONIZED</x:v>
      </x:c>
      <x:c r="AG60" s="2" t="str">
        <x:v>O'Brien et al. (1988), Table 1, p. 61: total dissolved Cu LC50 in 10^-6 M. Analysis_Point is used directly as umol Cu/L; LC95 and cupric-ion-activity columns are not used.</x:v>
      </x:c>
      <x:c r="AH60" s="2" t="str">
        <x:f t="shared" si="5"/>
        <x:v>CORE</x:v>
      </x:c>
      <x:c r="AI60" s="2" t="str">
        <x:f t="shared" si="6"/>
        <x:v>YES</x:v>
      </x:c>
    </x:row>
    <x:row r="61" ht="40.5">
      <x:c r="A61" s="2">
        <x:v>363</x:v>
      </x:c>
      <x:c r="B61" s="2">
        <x:v>1111943</x:v>
      </x:c>
      <x:c r="C61" s="2">
        <x:v>23783</x:v>
      </x:c>
      <x:c r="D61" s="2">
        <x:v>8445</x:v>
      </x:c>
      <x:c r="E61" s="2" t="s">
        <x:v>10</x:v>
      </x:c>
      <x:c r="F61" s="2" t="s">
        <x:v>166</x:v>
      </x:c>
      <x:c r="G61" s="2" t="s">
        <x:v>134</x:v>
      </x:c>
      <x:c r="H61" s="2" t="s">
        <x:v>135</x:v>
      </x:c>
      <x:c r="I61" s="2"/>
      <x:c r="J61" s="2">
        <x:v>4</x:v>
      </x:c>
      <x:c r="K61" s="2" t="s">
        <x:v>117</x:v>
      </x:c>
      <x:c r="L61" s="2" t="s">
        <x:v>110</x:v>
      </x:c>
      <x:c r="M61" s="2"/>
      <x:c r="N61" s="2">
        <x:v>31</x:v>
      </x:c>
      <x:c r="O61" s="2">
        <x:v>21</x:v>
      </x:c>
      <x:c r="P61" s="2">
        <x:v>44</x:v>
      </x:c>
      <x:c r="Q61" s="2" t="s">
        <x:v>111</x:v>
      </x:c>
      <x:c r="R61" s="2">
        <x:v>31</x:v>
      </x:c>
      <x:c r="S61" s="2" t="s">
        <x:v>111</x:v>
      </x:c>
      <x:c r="T61" s="2">
        <x:v>20</x:v>
      </x:c>
      <x:c r="U61" s="2">
        <x:v>10</x:v>
      </x:c>
      <x:c r="V61" s="2"/>
      <x:c r="W61" s="2"/>
      <x:c r="X61" s="2" t="s">
        <x:v>147</x:v>
      </x:c>
      <x:c r="Y61" s="2" t="s">
        <x:v>113</x:v>
      </x:c>
      <x:c r="Z61" s="2" t="s">
        <x:v>114</x:v>
      </x:c>
      <x:c r="AA61" s="11" t="n">
        <x:f>IFERROR(VLOOKUP(E61,Harmonization_Rules!$A$2:$B$9,2,FALSE),"")</x:f>
        <x:v>63.546</x:v>
      </x:c>
      <x:c r="AB61" s="2" t="str">
        <x:f t="shared" si="0"/>
        <x:v>ECOTOX_STANDARDIZED_TARGET_METAL</x:v>
      </x:c>
      <x:c r="AC61" s="12">
        <x:f t="shared" si="1"/>
        <x:v>3.1E-2</x:v>
      </x:c>
      <x:c r="AD61" s="12">
        <x:f t="shared" si="2"/>
        <x:v>0.4878355836716709</x:v>
      </x:c>
      <x:c r="AE61" s="12">
        <x:f t="shared" si="3"/>
        <x:v>-0.71777684860444091</x:v>
      </x:c>
      <x:c r="AF61" s="2" t="str">
        <x:f t="shared" si="4"/>
        <x:v>HARMONIZED</x:v>
      </x:c>
      <x:c r="AG61" s="2" t="str">
        <x:f>IF(E61="Cr","Cr(VI) chromate/dichromate rows are retained but molar conversion is held until source-specific compound-vs-ion basis is resolved.",IF(D61=2977,"OBrien 1988 reports total dissolved Cu LC109 values in 10^-6 M; the numeric Analysis_Point is therefore treated directly as umol Cu/L.",IF(AND(D61=6825,L61="Formulation"),"Nipper 1993 source check showed the reported concentrations are nominal Zn; formulation coding does not trigger compound-mass conversion.",IF(Y61="PRIMARY_RECOVERED","Source-recovered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61" s="2" t="str">
        <x:f t="shared" si="5"/>
        <x:v>CORE</x:v>
      </x:c>
      <x:c r="AI61" s="2" t="str">
        <x:f t="shared" si="6"/>
        <x:v>YES</x:v>
      </x:c>
    </x:row>
    <x:row r="62" ht="40.5">
      <x:c r="A62" s="2">
        <x:v>364</x:v>
      </x:c>
      <x:c r="B62" s="2">
        <x:v>1111946</x:v>
      </x:c>
      <x:c r="C62" s="2">
        <x:v>23786</x:v>
      </x:c>
      <x:c r="D62" s="2">
        <x:v>8445</x:v>
      </x:c>
      <x:c r="E62" s="2" t="s">
        <x:v>10</x:v>
      </x:c>
      <x:c r="F62" s="2" t="s">
        <x:v>166</x:v>
      </x:c>
      <x:c r="G62" s="2" t="s">
        <x:v>134</x:v>
      </x:c>
      <x:c r="H62" s="2" t="s">
        <x:v>135</x:v>
      </x:c>
      <x:c r="I62" s="2" t="s">
        <x:v>149</x:v>
      </x:c>
      <x:c r="J62" s="2">
        <x:v>4</x:v>
      </x:c>
      <x:c r="K62" s="2" t="s">
        <x:v>117</x:v>
      </x:c>
      <x:c r="L62" s="2" t="s">
        <x:v>110</x:v>
      </x:c>
      <x:c r="M62" s="2"/>
      <x:c r="N62" s="2">
        <x:v>64</x:v>
      </x:c>
      <x:c r="O62" s="2"/>
      <x:c r="P62" s="2"/>
      <x:c r="Q62" s="2" t="s">
        <x:v>111</x:v>
      </x:c>
      <x:c r="R62" s="2">
        <x:v>64</x:v>
      </x:c>
      <x:c r="S62" s="2" t="s">
        <x:v>111</x:v>
      </x:c>
      <x:c r="T62" s="2">
        <x:v>20</x:v>
      </x:c>
      <x:c r="U62" s="2">
        <x:v>10</x:v>
      </x:c>
      <x:c r="V62" s="2"/>
      <x:c r="W62" s="2"/>
      <x:c r="X62" s="2" t="s">
        <x:v>147</x:v>
      </x:c>
      <x:c r="Y62" s="2" t="s">
        <x:v>113</x:v>
      </x:c>
      <x:c r="Z62" s="2" t="s">
        <x:v>114</x:v>
      </x:c>
      <x:c r="AA62" s="11" t="n">
        <x:f>IFERROR(VLOOKUP(E62,Harmonization_Rules!$A$2:$B$9,2,FALSE),"")</x:f>
        <x:v>63.546</x:v>
      </x:c>
      <x:c r="AB62" s="2" t="str">
        <x:f t="shared" si="0"/>
        <x:v>ECOTOX_STANDARDIZED_TARGET_METAL</x:v>
      </x:c>
      <x:c r="AC62" s="12">
        <x:f t="shared" si="1"/>
        <x:v>6.4000000000000001E-2</x:v>
      </x:c>
      <x:c r="AD62" s="12">
        <x:f t="shared" si="2"/>
        <x:v>1.0071444308060302</x:v>
      </x:c>
      <x:c r="AE62" s="12">
        <x:f t="shared" si="3"/>
        <x:v>7.1190302700846293E-3</x:v>
      </x:c>
      <x:c r="AF62" s="2" t="str">
        <x:f t="shared" si="4"/>
        <x:v>HARMONIZED</x:v>
      </x:c>
      <x:c r="AG62" s="2" t="str">
        <x:f>IF(E62="Cr","Cr(VI) chromate/dichromate rows are retained but molar conversion is held until source-specific compound-vs-ion basis is resolved.",IF(D62=2977,"OBrien 1988 reports total dissolved Cu LC110 values in 10^-6 M; the numeric Analysis_Point is therefore treated directly as umol Cu/L.",IF(AND(D62=6825,L62="Formulation"),"Nipper 1993 source check showed the reported concentrations are nominal Zn; formulation coding does not trigger compound-mass conversion.",IF(Y62="PRIMARY_RECOVERED","Source-recovered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62" s="2" t="str">
        <x:f t="shared" si="5"/>
        <x:v>CORE</x:v>
      </x:c>
      <x:c r="AI62" s="2" t="str">
        <x:f t="shared" si="6"/>
        <x:v>YES</x:v>
      </x:c>
    </x:row>
    <x:row r="63" ht="40.5">
      <x:c r="A63" s="2">
        <x:v>365</x:v>
      </x:c>
      <x:c r="B63" s="2">
        <x:v>1047098</x:v>
      </x:c>
      <x:c r="C63" s="2">
        <x:v>115191</x:v>
      </x:c>
      <x:c r="D63" s="2">
        <x:v>2977</x:v>
      </x:c>
      <x:c r="E63" s="2" t="s">
        <x:v>10</x:v>
      </x:c>
      <x:c r="F63" s="2" t="s">
        <x:v>166</x:v>
      </x:c>
      <x:c r="G63" s="2" t="s">
        <x:v>168</x:v>
      </x:c>
      <x:c r="H63" s="2" t="s">
        <x:v>107</x:v>
      </x:c>
      <x:c r="I63" s="2" t="s">
        <x:v>125</x:v>
      </x:c>
      <x:c r="J63" s="2">
        <x:v>4</x:v>
      </x:c>
      <x:c r="K63" s="2" t="s">
        <x:v>126</x:v>
      </x:c>
      <x:c r="L63" s="2" t="s">
        <x:v>110</x:v>
      </x:c>
      <x:c r="M63" s="2"/>
      <x:c r="N63" s="2">
        <x:v>0.3</x:v>
      </x:c>
      <x:c r="O63" s="2">
        <x:v>0.02</x:v>
      </x:c>
      <x:c r="P63" s="2">
        <x:v>2</x:v>
      </x:c>
      <x:c r="Q63" s="2" t="s">
        <x:v>169</x:v>
      </x:c>
      <x:c r="R63" s="2">
        <x:v>0.3</x:v>
      </x:c>
      <x:c r="S63" s="2" t="s">
        <x:v>169</x:v>
      </x:c>
      <x:c r="T63" s="2"/>
      <x:c r="U63" s="2">
        <x:v>35</x:v>
      </x:c>
      <x:c r="V63" s="2"/>
      <x:c r="W63" s="2"/>
      <x:c r="X63" s="2" t="s">
        <x:v>170</x:v>
      </x:c>
      <x:c r="Y63" s="2" t="s">
        <x:v>113</x:v>
      </x:c>
      <x:c r="Z63" s="2" t="s">
        <x:v>114</x:v>
      </x:c>
      <x:c r="AA63" s="11" t="n">
        <x:f>IFERROR(VLOOKUP(E63,Harmonization_Rules!$A$2:$B$9,2,FALSE),"")</x:f>
        <x:v>63.546</x:v>
      </x:c>
      <x:c r="AB63" s="2" t="str">
        <x:f t="shared" si="0"/>
        <x:v>SOURCE_VERIFIED_MICROMOLAR</x:v>
      </x:c>
      <x:c r="AC63" s="12">
        <x:f t="shared" si="1"/>
        <x:v>1.9063799999999999E-2</x:v>
      </x:c>
      <x:c r="AD63" s="12">
        <x:f t="shared" si="2"/>
        <x:v>0.3</x:v>
      </x:c>
      <x:c r="AE63" s="12">
        <x:f t="shared" si="3"/>
        <x:v>-1.2039728043259361</x:v>
      </x:c>
      <x:c r="AF63" s="2" t="str">
        <x:f t="shared" si="4"/>
        <x:v>HARMONIZED</x:v>
      </x:c>
      <x:c r="AG63" s="2" t="str">
        <x:v>O'Brien et al. (1988), Table 1, p. 61: total dissolved Cu LC50 in 10^-6 M. Analysis_Point is used directly as umol Cu/L; LC95 and cupric-ion-activity columns are not used.</x:v>
      </x:c>
      <x:c r="AH63" s="2" t="str">
        <x:f t="shared" si="5"/>
        <x:v>CORE</x:v>
      </x:c>
      <x:c r="AI63" s="2" t="str">
        <x:f t="shared" si="6"/>
        <x:v>YES</x:v>
      </x:c>
    </x:row>
    <x:row r="64" ht="40.5">
      <x:c r="A64" s="2">
        <x:v>366</x:v>
      </x:c>
      <x:c r="B64" s="2">
        <x:v>1047103</x:v>
      </x:c>
      <x:c r="C64" s="2">
        <x:v>115196</x:v>
      </x:c>
      <x:c r="D64" s="2">
        <x:v>2977</x:v>
      </x:c>
      <x:c r="E64" s="2" t="s">
        <x:v>10</x:v>
      </x:c>
      <x:c r="F64" s="2" t="s">
        <x:v>166</x:v>
      </x:c>
      <x:c r="G64" s="2" t="s">
        <x:v>168</x:v>
      </x:c>
      <x:c r="H64" s="2" t="s">
        <x:v>107</x:v>
      </x:c>
      <x:c r="I64" s="2" t="s">
        <x:v>173</x:v>
      </x:c>
      <x:c r="J64" s="2">
        <x:v>4</x:v>
      </x:c>
      <x:c r="K64" s="2" t="s">
        <x:v>126</x:v>
      </x:c>
      <x:c r="L64" s="2" t="s">
        <x:v>110</x:v>
      </x:c>
      <x:c r="M64" s="2"/>
      <x:c r="N64" s="2">
        <x:v>5.9</x:v>
      </x:c>
      <x:c r="O64" s="2">
        <x:v>4.5999999999999996</x:v>
      </x:c>
      <x:c r="P64" s="2">
        <x:v>7.2</x:v>
      </x:c>
      <x:c r="Q64" s="2" t="s">
        <x:v>169</x:v>
      </x:c>
      <x:c r="R64" s="2">
        <x:v>5.9</x:v>
      </x:c>
      <x:c r="S64" s="2" t="s">
        <x:v>169</x:v>
      </x:c>
      <x:c r="T64" s="2"/>
      <x:c r="U64" s="2">
        <x:v>35</x:v>
      </x:c>
      <x:c r="V64" s="2"/>
      <x:c r="W64" s="2"/>
      <x:c r="X64" s="2" t="s">
        <x:v>170</x:v>
      </x:c>
      <x:c r="Y64" s="2" t="s">
        <x:v>113</x:v>
      </x:c>
      <x:c r="Z64" s="2" t="s">
        <x:v>114</x:v>
      </x:c>
      <x:c r="AA64" s="11" t="n">
        <x:f>IFERROR(VLOOKUP(E64,Harmonization_Rules!$A$2:$B$9,2,FALSE),"")</x:f>
        <x:v>63.546</x:v>
      </x:c>
      <x:c r="AB64" s="2" t="str">
        <x:f t="shared" si="0"/>
        <x:v>SOURCE_VERIFIED_MICROMOLAR</x:v>
      </x:c>
      <x:c r="AC64" s="12">
        <x:f t="shared" si="1"/>
        <x:v>0.37492140000000002</x:v>
      </x:c>
      <x:c r="AD64" s="12">
        <x:f t="shared" si="2"/>
        <x:v>5.9</x:v>
      </x:c>
      <x:c r="AE64" s="12">
        <x:f t="shared" si="3"/>
        <x:v>1.7749523509116738</x:v>
      </x:c>
      <x:c r="AF64" s="2" t="str">
        <x:f t="shared" si="4"/>
        <x:v>HARMONIZED</x:v>
      </x:c>
      <x:c r="AG64" s="2" t="str">
        <x:v>O'Brien et al. (1988), Table 1, p. 61: total dissolved Cu LC50 in 10^-6 M. Analysis_Point is used directly as umol Cu/L; LC95 and cupric-ion-activity columns are not used.</x:v>
      </x:c>
      <x:c r="AH64" s="2" t="str">
        <x:f t="shared" si="5"/>
        <x:v>CORE</x:v>
      </x:c>
      <x:c r="AI64" s="2" t="str">
        <x:f t="shared" si="6"/>
        <x:v>YES</x:v>
      </x:c>
    </x:row>
    <x:row r="65" ht="40.5">
      <x:c r="A65" s="2">
        <x:v>367</x:v>
      </x:c>
      <x:c r="B65" s="2">
        <x:v>1047105</x:v>
      </x:c>
      <x:c r="C65" s="2">
        <x:v>115198</x:v>
      </x:c>
      <x:c r="D65" s="2">
        <x:v>2977</x:v>
      </x:c>
      <x:c r="E65" s="2" t="s">
        <x:v>10</x:v>
      </x:c>
      <x:c r="F65" s="2" t="s">
        <x:v>166</x:v>
      </x:c>
      <x:c r="G65" s="2" t="s">
        <x:v>168</x:v>
      </x:c>
      <x:c r="H65" s="2" t="s">
        <x:v>107</x:v>
      </x:c>
      <x:c r="I65" s="2" t="s">
        <x:v>173</x:v>
      </x:c>
      <x:c r="J65" s="2">
        <x:v>4</x:v>
      </x:c>
      <x:c r="K65" s="2" t="s">
        <x:v>126</x:v>
      </x:c>
      <x:c r="L65" s="2" t="s">
        <x:v>110</x:v>
      </x:c>
      <x:c r="M65" s="2"/>
      <x:c r="N65" s="2">
        <x:v>6.5</x:v>
      </x:c>
      <x:c r="O65" s="2">
        <x:v>5</x:v>
      </x:c>
      <x:c r="P65" s="2">
        <x:v>8.1999999999999993</x:v>
      </x:c>
      <x:c r="Q65" s="2" t="s">
        <x:v>169</x:v>
      </x:c>
      <x:c r="R65" s="2">
        <x:v>6.5</x:v>
      </x:c>
      <x:c r="S65" s="2" t="s">
        <x:v>169</x:v>
      </x:c>
      <x:c r="T65" s="2"/>
      <x:c r="U65" s="2">
        <x:v>35</x:v>
      </x:c>
      <x:c r="V65" s="2"/>
      <x:c r="W65" s="2"/>
      <x:c r="X65" s="2" t="s">
        <x:v>170</x:v>
      </x:c>
      <x:c r="Y65" s="2" t="s">
        <x:v>113</x:v>
      </x:c>
      <x:c r="Z65" s="2" t="s">
        <x:v>114</x:v>
      </x:c>
      <x:c r="AA65" s="11" t="n">
        <x:f>IFERROR(VLOOKUP(E65,Harmonization_Rules!$A$2:$B$9,2,FALSE),"")</x:f>
        <x:v>63.546</x:v>
      </x:c>
      <x:c r="AB65" s="2" t="str">
        <x:f t="shared" si="0"/>
        <x:v>SOURCE_VERIFIED_MICROMOLAR</x:v>
      </x:c>
      <x:c r="AC65" s="12">
        <x:f t="shared" si="1"/>
        <x:v>0.413049</x:v>
      </x:c>
      <x:c r="AD65" s="12">
        <x:f t="shared" si="2"/>
        <x:v>6.5</x:v>
      </x:c>
      <x:c r="AE65" s="12">
        <x:f t="shared" si="3"/>
        <x:v>1.8718021769015913</x:v>
      </x:c>
      <x:c r="AF65" s="2" t="str">
        <x:f t="shared" si="4"/>
        <x:v>HARMONIZED</x:v>
      </x:c>
      <x:c r="AG65" s="2" t="str">
        <x:v>O'Brien et al. (1988), Table 1, p. 61: total dissolved Cu LC50 in 10^-6 M. Analysis_Point is used directly as umol Cu/L; LC95 and cupric-ion-activity columns are not used.</x:v>
      </x:c>
      <x:c r="AH65" s="2" t="str">
        <x:f t="shared" si="5"/>
        <x:v>CORE</x:v>
      </x:c>
      <x:c r="AI65" s="2" t="str">
        <x:f t="shared" si="6"/>
        <x:v>YES</x:v>
      </x:c>
    </x:row>
    <x:row r="66" ht="40.5">
      <x:c r="A66" s="2">
        <x:v>368</x:v>
      </x:c>
      <x:c r="B66" s="2">
        <x:v>1047107</x:v>
      </x:c>
      <x:c r="C66" s="2">
        <x:v>115200</x:v>
      </x:c>
      <x:c r="D66" s="2">
        <x:v>2977</x:v>
      </x:c>
      <x:c r="E66" s="2" t="s">
        <x:v>10</x:v>
      </x:c>
      <x:c r="F66" s="2" t="s">
        <x:v>166</x:v>
      </x:c>
      <x:c r="G66" s="2" t="s">
        <x:v>168</x:v>
      </x:c>
      <x:c r="H66" s="2" t="s">
        <x:v>107</x:v>
      </x:c>
      <x:c r="I66" s="2" t="s">
        <x:v>173</x:v>
      </x:c>
      <x:c r="J66" s="2">
        <x:v>4</x:v>
      </x:c>
      <x:c r="K66" s="2" t="s">
        <x:v>126</x:v>
      </x:c>
      <x:c r="L66" s="2" t="s">
        <x:v>110</x:v>
      </x:c>
      <x:c r="M66" s="2"/>
      <x:c r="N66" s="2">
        <x:v>6.2</x:v>
      </x:c>
      <x:c r="O66" s="2">
        <x:v>4.5</x:v>
      </x:c>
      <x:c r="P66" s="2">
        <x:v>7.9</x:v>
      </x:c>
      <x:c r="Q66" s="2" t="s">
        <x:v>169</x:v>
      </x:c>
      <x:c r="R66" s="2">
        <x:v>6.2</x:v>
      </x:c>
      <x:c r="S66" s="2" t="s">
        <x:v>169</x:v>
      </x:c>
      <x:c r="T66" s="2"/>
      <x:c r="U66" s="2">
        <x:v>35</x:v>
      </x:c>
      <x:c r="V66" s="2"/>
      <x:c r="W66" s="2"/>
      <x:c r="X66" s="2" t="s">
        <x:v>170</x:v>
      </x:c>
      <x:c r="Y66" s="2" t="s">
        <x:v>113</x:v>
      </x:c>
      <x:c r="Z66" s="2" t="s">
        <x:v>114</x:v>
      </x:c>
      <x:c r="AA66" s="11" t="n">
        <x:f>IFERROR(VLOOKUP(E66,Harmonization_Rules!$A$2:$B$9,2,FALSE),"")</x:f>
        <x:v>63.546</x:v>
      </x:c>
      <x:c r="AB66" s="2" t="str">
        <x:f t="shared" ref="AB66:AB129" si="7">IF(E66="Cr","PENDING_SOURCE_BASIS",IF(D66=2977,"SOURCE_VERIFIED_MICROMOLAR",IF(AND(D66=6825,L66="Formulation"),"SOURCE_VERIFIED_TARGET_ZN",IF(Y66="PRIMARY_RECOVERED","SOURCE_RECOVERED_TARGET_METAL","ECOTOX_STANDARDIZED_TARGET_METAL"))))</x:f>
        <x:v>SOURCE_VERIFIED_MICROMOLAR</x:v>
      </x:c>
      <x:c r="AC66" s="12" t="n">
        <x:f t="shared" ref="AC66:AC129" si="8">IF(E66="Cr","",IF(D66=2977,R66*AA66/1000,IF(OR(S66="mg/L",S66="ppm"),R66,IF(OR(S66="ug/L",S66="ppb"),R66/1000,IF(S66="nM",R66*AA66/1000000,IF(S66="M",R66*AA66*1000,""))))))</x:f>
        <x:v>0.39398520000000004</x:v>
      </x:c>
      <x:c r="AD66" s="12" t="n">
        <x:f t="shared" ref="AD66:AD129" si="9">IF(E66="Cr","",IF(D66=2977,R66,IF(S66="nM",R66/1000,IF(AC66&lt;&gt;"",AC66*1000/AA66,""))))</x:f>
        <x:v>6.2</x:v>
      </x:c>
      <x:c r="AE66" s="12" t="n">
        <x:f t="shared" ref="AE66:AE129" si="10">IF(AND(ISNUMBER(AD66),AD66&gt;0),LN(AD66),"")</x:f>
        <x:v>1.824549292051046</x:v>
      </x:c>
      <x:c r="AF66" s="2" t="str">
        <x:f t="shared" ref="AF66:AF129" si="11">IF(E66="Cr","PENDING_CR_SOURCE_BASIS",IF(OR(S66="ug/L",S66="mg/L",S66="ppb",S66="ppm",S66="nM",AND(S66="M",D66=2977)),"HARMONIZED","NEEDS_REVIEW"))</x:f>
        <x:v>HARMONIZED</x:v>
      </x:c>
      <x:c r="AG66" s="2" t="str">
        <x:v>O'Brien et al. (1988), Table 1, p. 61: total dissolved Cu LC50 in 10^-6 M. Analysis_Point is used directly as umol Cu/L; LC95 and cupric-ion-activity columns are not used.</x:v>
      </x:c>
      <x:c r="AH66" s="2" t="str">
        <x:f t="shared" ref="AH66:AH129" si="12">IF(OR(E66="Cu",E66="Cd",E66="Zn"),"CORE",IF(E66="Ag","SECONDARY",IF(E66="Cr","SECONDARY",IF(E66="Hg","EXPLORATORY","DESCRIPTIVE"))))</x:f>
        <x:v>CORE</x:v>
      </x:c>
      <x:c r="AI66" s="2" t="str">
        <x:f t="shared" ref="AI66:AI129" si="13">IF(AND(AH66="CORE",AF66="HARMONIZED"),"YES","NO")</x:f>
        <x:v>YES</x:v>
      </x:c>
    </x:row>
    <x:row r="67" ht="40.5">
      <x:c r="A67" s="2">
        <x:v>369</x:v>
      </x:c>
      <x:c r="B67" s="2">
        <x:v>1134114</x:v>
      </x:c>
      <x:c r="C67" s="2">
        <x:v>107410</x:v>
      </x:c>
      <x:c r="D67" s="2">
        <x:v>10900</x:v>
      </x:c>
      <x:c r="E67" s="2" t="s">
        <x:v>10</x:v>
      </x:c>
      <x:c r="F67" s="2" t="s">
        <x:v>166</x:v>
      </x:c>
      <x:c r="G67" s="2" t="s">
        <x:v>150</x:v>
      </x:c>
      <x:c r="H67" s="2" t="s">
        <x:v>135</x:v>
      </x:c>
      <x:c r="I67" s="2" t="s">
        <x:v>159</x:v>
      </x:c>
      <x:c r="J67" s="2">
        <x:v>4</x:v>
      </x:c>
      <x:c r="K67" s="2" t="s">
        <x:v>117</x:v>
      </x:c>
      <x:c r="L67" s="2" t="s">
        <x:v>110</x:v>
      </x:c>
      <x:c r="M67" s="2"/>
      <x:c r="N67" s="2">
        <x:v>7.5</x:v>
      </x:c>
      <x:c r="O67" s="2">
        <x:v>1.5</x:v>
      </x:c>
      <x:c r="P67" s="2">
        <x:v>44.7</x:v>
      </x:c>
      <x:c r="Q67" s="2" t="s">
        <x:v>111</x:v>
      </x:c>
      <x:c r="R67" s="2">
        <x:v>7.5</x:v>
      </x:c>
      <x:c r="S67" s="2" t="s">
        <x:v>111</x:v>
      </x:c>
      <x:c r="T67" s="2">
        <x:v>15</x:v>
      </x:c>
      <x:c r="U67" s="2">
        <x:v>10</x:v>
      </x:c>
      <x:c r="V67" s="2"/>
      <x:c r="W67" s="2"/>
      <x:c r="X67" s="2" t="s">
        <x:v>160</x:v>
      </x:c>
      <x:c r="Y67" s="2" t="s">
        <x:v>113</x:v>
      </x:c>
      <x:c r="Z67" s="2" t="s">
        <x:v>114</x:v>
      </x:c>
      <x:c r="AA67" s="11" t="n">
        <x:f>IFERROR(VLOOKUP(E67,Harmonization_Rules!$A$2:$B$9,2,FALSE),"")</x:f>
        <x:v>63.546</x:v>
      </x:c>
      <x:c r="AB67" s="2" t="str">
        <x:f t="shared" si="7"/>
        <x:v>ECOTOX_STANDARDIZED_TARGET_METAL</x:v>
      </x:c>
      <x:c r="AC67" s="12">
        <x:f t="shared" si="8"/>
        <x:v>7.4999999999999997E-3</x:v>
      </x:c>
      <x:c r="AD67" s="12">
        <x:f t="shared" si="9"/>
        <x:v>0.11802473798508167</x:v>
      </x:c>
      <x:c r="AE67" s="12">
        <x:f t="shared" si="10"/>
        <x:v>-2.1368610325473223</x:v>
      </x:c>
      <x:c r="AF67" s="2" t="str">
        <x:f t="shared" si="11"/>
        <x:v>HARMONIZED</x:v>
      </x:c>
      <x:c r="AG67" s="2" t="str">
        <x:f>IF(E67="Cr","Cr(VI) chromate/dichromate rows are retained but molar conversion is held until source-specific compound-vs-ion basis is resolved.",IF(D67=2977,"OBrien 1988 reports total dissolved Cu LC115 values in 10^-6 M; the numeric Analysis_Point is therefore treated directly as umol Cu/L.",IF(AND(D67=6825,L67="Formulation"),"Nipper 1993 source check showed the reported concentrations are nominal Zn; formulation coding does not trigger compound-mass conversion.",IF(Y67="PRIMARY_RECOVERED","Source-recovered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67" s="2" t="str">
        <x:f t="shared" si="12"/>
        <x:v>CORE</x:v>
      </x:c>
      <x:c r="AI67" s="2" t="str">
        <x:f t="shared" si="13"/>
        <x:v>YES</x:v>
      </x:c>
    </x:row>
    <x:row r="68" ht="40.5">
      <x:c r="A68" s="2">
        <x:v>370</x:v>
      </x:c>
      <x:c r="B68" s="2">
        <x:v>1047108</x:v>
      </x:c>
      <x:c r="C68" s="2">
        <x:v>115201</x:v>
      </x:c>
      <x:c r="D68" s="2">
        <x:v>2977</x:v>
      </x:c>
      <x:c r="E68" s="2" t="s">
        <x:v>10</x:v>
      </x:c>
      <x:c r="F68" s="2" t="s">
        <x:v>166</x:v>
      </x:c>
      <x:c r="G68" s="2" t="s">
        <x:v>168</x:v>
      </x:c>
      <x:c r="H68" s="2" t="s">
        <x:v>107</x:v>
      </x:c>
      <x:c r="I68" s="2" t="str">
        <x:v>Adult</x:v>
      </x:c>
      <x:c r="J68" s="2">
        <x:v>4</x:v>
      </x:c>
      <x:c r="K68" s="2" t="s">
        <x:v>126</x:v>
      </x:c>
      <x:c r="L68" s="2" t="s">
        <x:v>110</x:v>
      </x:c>
      <x:c r="M68" s="2"/>
      <x:c r="N68" s="2">
        <x:v>12</x:v>
      </x:c>
      <x:c r="O68" s="2">
        <x:v>10</x:v>
      </x:c>
      <x:c r="P68" s="2">
        <x:v>14</x:v>
      </x:c>
      <x:c r="Q68" s="2" t="s">
        <x:v>169</x:v>
      </x:c>
      <x:c r="R68" s="2">
        <x:v>12</x:v>
      </x:c>
      <x:c r="S68" s="2" t="s">
        <x:v>169</x:v>
      </x:c>
      <x:c r="T68" s="2"/>
      <x:c r="U68" s="2">
        <x:v>35</x:v>
      </x:c>
      <x:c r="V68" s="2"/>
      <x:c r="W68" s="2"/>
      <x:c r="X68" s="2" t="s">
        <x:v>170</x:v>
      </x:c>
      <x:c r="Y68" s="2" t="s">
        <x:v>113</x:v>
      </x:c>
      <x:c r="Z68" s="2" t="s">
        <x:v>114</x:v>
      </x:c>
      <x:c r="AA68" s="11" t="n">
        <x:f>IFERROR(VLOOKUP(E68,Harmonization_Rules!$A$2:$B$9,2,FALSE),"")</x:f>
        <x:v>63.546</x:v>
      </x:c>
      <x:c r="AB68" s="2" t="str">
        <x:f t="shared" si="7"/>
        <x:v>SOURCE_VERIFIED_MICROMOLAR</x:v>
      </x:c>
      <x:c r="AC68" s="12">
        <x:f t="shared" si="8"/>
        <x:v>0.76255200000000001</x:v>
      </x:c>
      <x:c r="AD68" s="12">
        <x:f t="shared" si="9"/>
        <x:v>12</x:v>
      </x:c>
      <x:c r="AE68" s="12">
        <x:f t="shared" si="10"/>
        <x:v>2.4849066497880004</x:v>
      </x:c>
      <x:c r="AF68" s="2" t="str">
        <x:f t="shared" si="11"/>
        <x:v>HARMONIZED</x:v>
      </x:c>
      <x:c r="AG68" s="2" t="str">
        <x:v>O'Brien et al. (1988), Table 1, p. 61: total dissolved Cu LC50 in 10^-6 M. Analysis_Point is used directly as umol Cu/L; LC95 and cupric-ion-activity columns are not used.</x:v>
      </x:c>
      <x:c r="AH68" s="2" t="str">
        <x:f t="shared" si="12"/>
        <x:v>CORE</x:v>
      </x:c>
      <x:c r="AI68" s="2" t="str">
        <x:f t="shared" si="13"/>
        <x:v>YES</x:v>
      </x:c>
    </x:row>
    <x:row r="69" ht="40.5">
      <x:c r="A69" s="2">
        <x:v>392</x:v>
      </x:c>
      <x:c r="B69" s="2">
        <x:v>1053485</x:v>
      </x:c>
      <x:c r="C69" s="2">
        <x:v>129448</x:v>
      </x:c>
      <x:c r="D69" s="2">
        <x:v>3734</x:v>
      </x:c>
      <x:c r="E69" s="2" t="s">
        <x:v>21</x:v>
      </x:c>
      <x:c r="F69" s="2" t="s">
        <x:v>174</x:v>
      </x:c>
      <x:c r="G69" s="2" t="s">
        <x:v>146</x:v>
      </x:c>
      <x:c r="H69" s="2" t="s">
        <x:v>135</x:v>
      </x:c>
      <x:c r="I69" s="2"/>
      <x:c r="J69" s="2">
        <x:v>4</x:v>
      </x:c>
      <x:c r="K69" s="2" t="s">
        <x:v>117</x:v>
      </x:c>
      <x:c r="L69" s="2" t="s">
        <x:v>110</x:v>
      </x:c>
      <x:c r="M69" s="2"/>
      <x:c r="N69" s="2">
        <x:v>1783</x:v>
      </x:c>
      <x:c r="O69" s="2">
        <x:v>1490</x:v>
      </x:c>
      <x:c r="P69" s="2">
        <x:v>2090</x:v>
      </x:c>
      <x:c r="Q69" s="2" t="s">
        <x:v>111</x:v>
      </x:c>
      <x:c r="R69" s="2">
        <x:v>1783</x:v>
      </x:c>
      <x:c r="S69" s="2" t="s">
        <x:v>111</x:v>
      </x:c>
      <x:c r="T69" s="2">
        <x:v>20</x:v>
      </x:c>
      <x:c r="U69" s="2">
        <x:v>30</x:v>
      </x:c>
      <x:c r="V69" s="2"/>
      <x:c r="W69" s="2"/>
      <x:c r="X69" s="2" t="s">
        <x:v>143</x:v>
      </x:c>
      <x:c r="Y69" s="2" t="s">
        <x:v>113</x:v>
      </x:c>
      <x:c r="Z69" s="2" t="s">
        <x:v>114</x:v>
      </x:c>
      <x:c r="AA69" s="11" t="n">
        <x:f>IFERROR(VLOOKUP(E69,Harmonization_Rules!$A$2:$B$9,2,FALSE),"")</x:f>
        <x:v>65.38</x:v>
      </x:c>
      <x:c r="AB69" s="2" t="str">
        <x:f t="shared" si="7"/>
        <x:v>ECOTOX_STANDARDIZED_TARGET_METAL</x:v>
      </x:c>
      <x:c r="AC69" s="12">
        <x:f t="shared" si="8"/>
        <x:v>1.7829999999999999</x:v>
      </x:c>
      <x:c r="AD69" s="12">
        <x:f t="shared" si="9"/>
        <x:v>27.271336800244725</x:v>
      </x:c>
      <x:c r="AE69" s="12">
        <x:f t="shared" si="10"/>
        <x:v>3.305836216567076</x:v>
      </x:c>
      <x:c r="AF69" s="2" t="str">
        <x:f t="shared" si="11"/>
        <x:v>HARMONIZED</x:v>
      </x:c>
      <x:c r="AG69" s="2" t="str">
        <x:f>IF(E69="Cr","Cr(VI) chromate/dichromate rows are retained but molar conversion is held until source-specific compound-vs-ion basis is resolved.",IF(D69=2977,"OBrien 1988 reports total dissolved Cu LC117 values in 10^-6 M; the numeric Analysis_Point is therefore treated directly as umol Cu/L.",IF(AND(D69=6825,L69="Formulation"),"Nipper 1993 source check showed the reported concentrations are nominal Zn; formulation coding does not trigger compound-mass conversion.",IF(Y69="PRIMARY_RECOVERED","Source-recovered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69" s="2" t="str">
        <x:f t="shared" si="12"/>
        <x:v>CORE</x:v>
      </x:c>
      <x:c r="AI69" s="2" t="str">
        <x:f t="shared" si="13"/>
        <x:v>YES</x:v>
      </x:c>
    </x:row>
    <x:row r="70" ht="40.5">
      <x:c r="A70" s="2">
        <x:v>403</x:v>
      </x:c>
      <x:c r="B70" s="2">
        <x:v>1053484</x:v>
      </x:c>
      <x:c r="C70" s="2">
        <x:v>129447</x:v>
      </x:c>
      <x:c r="D70" s="2">
        <x:v>3734</x:v>
      </x:c>
      <x:c r="E70" s="2" t="s">
        <x:v>21</x:v>
      </x:c>
      <x:c r="F70" s="2" t="s">
        <x:v>174</x:v>
      </x:c>
      <x:c r="G70" s="2" t="s">
        <x:v>141</x:v>
      </x:c>
      <x:c r="H70" s="2" t="s">
        <x:v>135</x:v>
      </x:c>
      <x:c r="I70" s="2"/>
      <x:c r="J70" s="2">
        <x:v>4</x:v>
      </x:c>
      <x:c r="K70" s="2" t="s">
        <x:v>117</x:v>
      </x:c>
      <x:c r="L70" s="2" t="s">
        <x:v>110</x:v>
      </x:c>
      <x:c r="M70" s="2"/>
      <x:c r="N70" s="2">
        <x:v>950</x:v>
      </x:c>
      <x:c r="O70" s="2">
        <x:v>712</x:v>
      </x:c>
      <x:c r="P70" s="2">
        <x:v>1338</x:v>
      </x:c>
      <x:c r="Q70" s="2" t="s">
        <x:v>111</x:v>
      </x:c>
      <x:c r="R70" s="2">
        <x:v>950</x:v>
      </x:c>
      <x:c r="S70" s="2" t="s">
        <x:v>111</x:v>
      </x:c>
      <x:c r="T70" s="2">
        <x:v>10</x:v>
      </x:c>
      <x:c r="U70" s="2">
        <x:v>30</x:v>
      </x:c>
      <x:c r="V70" s="2"/>
      <x:c r="W70" s="2"/>
      <x:c r="X70" s="2" t="s">
        <x:v>143</x:v>
      </x:c>
      <x:c r="Y70" s="2" t="s">
        <x:v>113</x:v>
      </x:c>
      <x:c r="Z70" s="2" t="s">
        <x:v>114</x:v>
      </x:c>
      <x:c r="AA70" s="11" t="n">
        <x:f>IFERROR(VLOOKUP(E70,Harmonization_Rules!$A$2:$B$9,2,FALSE),"")</x:f>
        <x:v>65.38</x:v>
      </x:c>
      <x:c r="AB70" s="2" t="str">
        <x:f t="shared" si="7"/>
        <x:v>ECOTOX_STANDARDIZED_TARGET_METAL</x:v>
      </x:c>
      <x:c r="AC70" s="12">
        <x:f t="shared" si="8"/>
        <x:v>0.95</x:v>
      </x:c>
      <x:c r="AD70" s="12">
        <x:f t="shared" si="9"/>
        <x:v>14.530437442643011</x:v>
      </x:c>
      <x:c r="AE70" s="12">
        <x:f t="shared" si="10"/>
        <x:v>2.6762455832985221</x:v>
      </x:c>
      <x:c r="AF70" s="2" t="str">
        <x:f t="shared" si="11"/>
        <x:v>HARMONIZED</x:v>
      </x:c>
      <x:c r="AG70" s="2" t="str">
        <x:f>IF(E70="Cr","Cr(VI) chromate/dichromate rows are retained but molar conversion is held until source-specific compound-vs-ion basis is resolved.",IF(D70=2977,"OBrien 1988 reports total dissolved Cu LC118 values in 10^-6 M; the numeric Analysis_Point is therefore treated directly as umol Cu/L.",IF(AND(D70=6825,L70="Formulation"),"Nipper 1993 source check showed the reported concentrations are nominal Zn; formulation coding does not trigger compound-mass conversion.",IF(Y70="PRIMARY_RECOVERED","Source-recovered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0" s="2" t="str">
        <x:f t="shared" si="12"/>
        <x:v>CORE</x:v>
      </x:c>
      <x:c r="AI70" s="2" t="str">
        <x:f t="shared" si="13"/>
        <x:v>YES</x:v>
      </x:c>
    </x:row>
    <x:row r="71" ht="40.5">
      <x:c r="A71" s="2">
        <x:v>404</x:v>
      </x:c>
      <x:c r="B71" s="2">
        <x:v>1053486</x:v>
      </x:c>
      <x:c r="C71" s="2">
        <x:v>129449</x:v>
      </x:c>
      <x:c r="D71" s="2">
        <x:v>3734</x:v>
      </x:c>
      <x:c r="E71" s="2" t="s">
        <x:v>21</x:v>
      </x:c>
      <x:c r="F71" s="2" t="s">
        <x:v>174</x:v>
      </x:c>
      <x:c r="G71" s="2" t="s">
        <x:v>150</x:v>
      </x:c>
      <x:c r="H71" s="2" t="s">
        <x:v>135</x:v>
      </x:c>
      <x:c r="I71" s="2"/>
      <x:c r="J71" s="2">
        <x:v>4</x:v>
      </x:c>
      <x:c r="K71" s="2" t="s">
        <x:v>117</x:v>
      </x:c>
      <x:c r="L71" s="2" t="s">
        <x:v>110</x:v>
      </x:c>
      <x:c r="M71" s="2"/>
      <x:c r="N71" s="2">
        <x:v>4090</x:v>
      </x:c>
      <x:c r="O71" s="2">
        <x:v>3170</x:v>
      </x:c>
      <x:c r="P71" s="2">
        <x:v>4960</x:v>
      </x:c>
      <x:c r="Q71" s="2" t="s">
        <x:v>111</x:v>
      </x:c>
      <x:c r="R71" s="2">
        <x:v>4090</x:v>
      </x:c>
      <x:c r="S71" s="2" t="s">
        <x:v>111</x:v>
      </x:c>
      <x:c r="T71" s="2">
        <x:v>20</x:v>
      </x:c>
      <x:c r="U71" s="2">
        <x:v>30</x:v>
      </x:c>
      <x:c r="V71" s="2"/>
      <x:c r="W71" s="2"/>
      <x:c r="X71" s="2" t="s">
        <x:v>143</x:v>
      </x:c>
      <x:c r="Y71" s="2" t="s">
        <x:v>113</x:v>
      </x:c>
      <x:c r="Z71" s="2" t="s">
        <x:v>114</x:v>
      </x:c>
      <x:c r="AA71" s="11" t="n">
        <x:f>IFERROR(VLOOKUP(E71,Harmonization_Rules!$A$2:$B$9,2,FALSE),"")</x:f>
        <x:v>65.38</x:v>
      </x:c>
      <x:c r="AB71" s="2" t="str">
        <x:f t="shared" si="7"/>
        <x:v>ECOTOX_STANDARDIZED_TARGET_METAL</x:v>
      </x:c>
      <x:c r="AC71" s="12">
        <x:f t="shared" si="8"/>
        <x:v>4.09</x:v>
      </x:c>
      <x:c r="AD71" s="12">
        <x:f t="shared" si="9"/>
        <x:v>62.557356989905173</x:v>
      </x:c>
      <x:c r="AE71" s="12">
        <x:f t="shared" si="10"/>
        <x:v>4.1360838477407826</x:v>
      </x:c>
      <x:c r="AF71" s="2" t="str">
        <x:f t="shared" si="11"/>
        <x:v>HARMONIZED</x:v>
      </x:c>
      <x:c r="AG71" s="2" t="str">
        <x:f>IF(E71="Cr","Cr(VI) chromate/dichromate rows are retained but molar conversion is held until source-specific compound-vs-ion basis is resolved.",IF(D71=2977,"OBrien 1988 reports total dissolved Cu LC119 values in 10^-6 M; the numeric Analysis_Point is therefore treated directly as umol Cu/L.",IF(AND(D71=6825,L71="Formulation"),"Nipper 1993 source check showed the reported concentrations are nominal Zn; formulation coding does not trigger compound-mass conversion.",IF(Y71="PRIMARY_RECOVERED","Source-recovered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1" s="2" t="str">
        <x:f t="shared" si="12"/>
        <x:v>CORE</x:v>
      </x:c>
      <x:c r="AI71" s="2" t="str">
        <x:f t="shared" si="13"/>
        <x:v>YES</x:v>
      </x:c>
    </x:row>
    <x:row r="72" ht="40.5">
      <x:c r="A72" s="2">
        <x:v>405</x:v>
      </x:c>
      <x:c r="B72" s="2">
        <x:v>1053483</x:v>
      </x:c>
      <x:c r="C72" s="2">
        <x:v>129446</x:v>
      </x:c>
      <x:c r="D72" s="2">
        <x:v>3734</x:v>
      </x:c>
      <x:c r="E72" s="2" t="s">
        <x:v>21</x:v>
      </x:c>
      <x:c r="F72" s="2" t="s">
        <x:v>174</x:v>
      </x:c>
      <x:c r="G72" s="2" t="s">
        <x:v>134</x:v>
      </x:c>
      <x:c r="H72" s="2" t="s">
        <x:v>135</x:v>
      </x:c>
      <x:c r="I72" s="2"/>
      <x:c r="J72" s="2">
        <x:v>4</x:v>
      </x:c>
      <x:c r="K72" s="2" t="s">
        <x:v>117</x:v>
      </x:c>
      <x:c r="L72" s="2" t="s">
        <x:v>110</x:v>
      </x:c>
      <x:c r="M72" s="2"/>
      <x:c r="N72" s="2">
        <x:v>290</x:v>
      </x:c>
      <x:c r="O72" s="2">
        <x:v>180</x:v>
      </x:c>
      <x:c r="P72" s="2">
        <x:v>440</x:v>
      </x:c>
      <x:c r="Q72" s="2" t="s">
        <x:v>111</x:v>
      </x:c>
      <x:c r="R72" s="2">
        <x:v>290</x:v>
      </x:c>
      <x:c r="S72" s="2" t="s">
        <x:v>111</x:v>
      </x:c>
      <x:c r="T72" s="2">
        <x:v>20</x:v>
      </x:c>
      <x:c r="U72" s="2">
        <x:v>30</x:v>
      </x:c>
      <x:c r="V72" s="2"/>
      <x:c r="W72" s="2"/>
      <x:c r="X72" s="2" t="s">
        <x:v>143</x:v>
      </x:c>
      <x:c r="Y72" s="2" t="s">
        <x:v>113</x:v>
      </x:c>
      <x:c r="Z72" s="2" t="s">
        <x:v>114</x:v>
      </x:c>
      <x:c r="AA72" s="11" t="n">
        <x:f>IFERROR(VLOOKUP(E72,Harmonization_Rules!$A$2:$B$9,2,FALSE),"")</x:f>
        <x:v>65.38</x:v>
      </x:c>
      <x:c r="AB72" s="2" t="str">
        <x:f t="shared" si="7"/>
        <x:v>ECOTOX_STANDARDIZED_TARGET_METAL</x:v>
      </x:c>
      <x:c r="AC72" s="12">
        <x:f t="shared" si="8"/>
        <x:v>0.28999999999999998</x:v>
      </x:c>
      <x:c r="AD72" s="12">
        <x:f t="shared" si="9"/>
        <x:v>4.4356072193331295</x:v>
      </x:c>
      <x:c r="AE72" s="12">
        <x:f t="shared" si="10"/>
        <x:v>1.4896645216844553</x:v>
      </x:c>
      <x:c r="AF72" s="2" t="str">
        <x:f t="shared" si="11"/>
        <x:v>HARMONIZED</x:v>
      </x:c>
      <x:c r="AG72" s="2" t="str">
        <x:f>IF(E72="Cr","Cr(VI) chromate/dichromate rows are retained but molar conversion is held until source-specific compound-vs-ion basis is resolved.",IF(D72=2977,"OBrien 1988 reports total dissolved Cu LC120 values in 10^-6 M; the numeric Analysis_Point is therefore treated directly as umol Cu/L.",IF(AND(D72=6825,L72="Formulation"),"Nipper 1993 source check showed the reported concentrations are nominal Zn; formulation coding does not trigger compound-mass conversion.",IF(Y72="PRIMARY_RECOVERED","Source-recovered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2" s="2" t="str">
        <x:f t="shared" si="12"/>
        <x:v>CORE</x:v>
      </x:c>
      <x:c r="AI72" s="2" t="str">
        <x:f t="shared" si="13"/>
        <x:v>YES</x:v>
      </x:c>
    </x:row>
    <x:row r="73" ht="54">
      <x:c r="A73" s="2">
        <x:v>410</x:v>
      </x:c>
      <x:c r="B73" s="2">
        <x:v>2154475</x:v>
      </x:c>
      <x:c r="C73" s="2">
        <x:v>2295509</x:v>
      </x:c>
      <x:c r="D73" s="2">
        <x:v>166814</x:v>
      </x:c>
      <x:c r="E73" s="2" t="s">
        <x:v>10</x:v>
      </x:c>
      <x:c r="F73" s="2" t="s">
        <x:v>177</x:v>
      </x:c>
      <x:c r="G73" s="2" t="s">
        <x:v>182</x:v>
      </x:c>
      <x:c r="H73" s="2" t="s">
        <x:v>107</x:v>
      </x:c>
      <x:c r="I73" s="2" t="s">
        <x:v>125</x:v>
      </x:c>
      <x:c r="J73" s="2">
        <x:v>4</x:v>
      </x:c>
      <x:c r="K73" s="2" t="s">
        <x:v>117</x:v>
      </x:c>
      <x:c r="L73" s="2" t="s">
        <x:v>110</x:v>
      </x:c>
      <x:c r="M73" s="2"/>
      <x:c r="N73" s="2">
        <x:v>50</x:v>
      </x:c>
      <x:c r="O73" s="2"/>
      <x:c r="P73" s="2"/>
      <x:c r="Q73" s="2" t="s">
        <x:v>111</x:v>
      </x:c>
      <x:c r="R73" s="2">
        <x:v>50</x:v>
      </x:c>
      <x:c r="S73" s="2" t="s">
        <x:v>111</x:v>
      </x:c>
      <x:c r="T73" s="2">
        <x:v>20</x:v>
      </x:c>
      <x:c r="U73" s="2">
        <x:v>38</x:v>
      </x:c>
      <x:c r="V73" s="2"/>
      <x:c r="W73" s="2"/>
      <x:c r="X73" s="2" t="s">
        <x:v>183</x:v>
      </x:c>
      <x:c r="Y73" s="2" t="s">
        <x:v>113</x:v>
      </x:c>
      <x:c r="Z73" s="2" t="s">
        <x:v>114</x:v>
      </x:c>
      <x:c r="AA73" s="11" t="n">
        <x:f>IFERROR(VLOOKUP(E73,Harmonization_Rules!$A$2:$B$9,2,FALSE),"")</x:f>
        <x:v>63.546</x:v>
      </x:c>
      <x:c r="AB73" s="2" t="str">
        <x:f t="shared" si="7"/>
        <x:v>ECOTOX_STANDARDIZED_TARGET_METAL</x:v>
      </x:c>
      <x:c r="AC73" s="12">
        <x:f t="shared" si="8"/>
        <x:v>0.05</x:v>
      </x:c>
      <x:c r="AD73" s="12">
        <x:f t="shared" si="9"/>
        <x:v>0.78683158656721119</x:v>
      </x:c>
      <x:c r="AE73" s="12">
        <x:f t="shared" si="10"/>
        <x:v>-0.23974104766144105</x:v>
      </x:c>
      <x:c r="AF73" s="2" t="str">
        <x:f t="shared" si="11"/>
        <x:v>HARMONIZED</x:v>
      </x:c>
      <x:c r="AG73" s="2" t="str">
        <x:f>IF(E73="Cr","Cr(VI) chromate/dichromate rows are retained but molar conversion is held until source-specific compound-vs-ion basis is resolved.",IF(D73=2977,"OBrien 1988 reports total dissolved Cu LC121 values in 10^-6 M; the numeric Analysis_Point is therefore treated directly as umol Cu/L.",IF(AND(D73=6825,L73="Formulation"),"Nipper 1993 source check showed the reported concentrations are nominal Zn; formulation coding does not trigger compound-mass conversion.",IF(Y73="PRIMARY_RECOVERED","Source-recovered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3" s="2" t="str">
        <x:f t="shared" si="12"/>
        <x:v>CORE</x:v>
      </x:c>
      <x:c r="AI73" s="2" t="str">
        <x:f t="shared" si="13"/>
        <x:v>YES</x:v>
      </x:c>
    </x:row>
    <x:row r="74" ht="40.5">
      <x:c r="A74" s="2">
        <x:v>501</x:v>
      </x:c>
      <x:c r="B74" s="2">
        <x:v>2148070</x:v>
      </x:c>
      <x:c r="C74" s="2">
        <x:v>2282197</x:v>
      </x:c>
      <x:c r="D74" s="2">
        <x:v>169914</x:v>
      </x:c>
      <x:c r="E74" s="2" t="s">
        <x:v>10</x:v>
      </x:c>
      <x:c r="F74" s="2" t="s">
        <x:v>177</x:v>
      </x:c>
      <x:c r="G74" s="2" t="s">
        <x:v>182</x:v>
      </x:c>
      <x:c r="H74" s="2" t="s">
        <x:v>107</x:v>
      </x:c>
      <x:c r="I74" s="2" t="s">
        <x:v>125</x:v>
      </x:c>
      <x:c r="J74" s="2">
        <x:v>4</x:v>
      </x:c>
      <x:c r="K74" s="2" t="s">
        <x:v>109</x:v>
      </x:c>
      <x:c r="L74" s="2" t="s">
        <x:v>110</x:v>
      </x:c>
      <x:c r="M74" s="2"/>
      <x:c r="N74" s="2">
        <x:v>0.14000000000000001</x:v>
      </x:c>
      <x:c r="O74" s="2"/>
      <x:c r="P74" s="2"/>
      <x:c r="Q74" s="2" t="s">
        <x:v>121</x:v>
      </x:c>
      <x:c r="R74" s="2">
        <x:v>0.14000000000000001</x:v>
      </x:c>
      <x:c r="S74" s="2" t="s">
        <x:v>121</x:v>
      </x:c>
      <x:c r="T74" s="2"/>
      <x:c r="U74" s="2"/>
      <x:c r="V74" s="2"/>
      <x:c r="W74" s="2"/>
      <x:c r="X74" s="2" t="s">
        <x:v>185</x:v>
      </x:c>
      <x:c r="Y74" s="2" t="s">
        <x:v>113</x:v>
      </x:c>
      <x:c r="Z74" s="2" t="s">
        <x:v>114</x:v>
      </x:c>
      <x:c r="AA74" s="11" t="n">
        <x:f>IFERROR(VLOOKUP(E74,Harmonization_Rules!$A$2:$B$9,2,FALSE),"")</x:f>
        <x:v>63.546</x:v>
      </x:c>
      <x:c r="AB74" s="2" t="str">
        <x:f t="shared" si="7"/>
        <x:v>ECOTOX_STANDARDIZED_TARGET_METAL</x:v>
      </x:c>
      <x:c r="AC74" s="12">
        <x:f t="shared" si="8"/>
        <x:v>0.14000000000000001</x:v>
      </x:c>
      <x:c r="AD74" s="12">
        <x:f t="shared" si="9"/>
        <x:v>2.2031284423881914</x:v>
      </x:c>
      <x:c r="AE74" s="12">
        <x:f t="shared" si="10"/>
        <x:v>0.78987836951971724</x:v>
      </x:c>
      <x:c r="AF74" s="2" t="str">
        <x:f t="shared" si="11"/>
        <x:v>HARMONIZED</x:v>
      </x:c>
      <x:c r="AG74" s="2" t="str">
        <x:f>IF(E74="Cr","Cr(VI) chromate/dichromate rows are retained but molar conversion is held until source-specific compound-vs-ion basis is resolved.",IF(D74=2977,"OBrien 1988 reports total dissolved Cu LC122 values in 10^-6 M; the numeric Analysis_Point is therefore treated directly as umol Cu/L.",IF(AND(D74=6825,L74="Formulation"),"Nipper 1993 source check showed the reported concentrations are nominal Zn; formulation coding does not trigger compound-mass conversion.",IF(Y74="PRIMARY_RECOVERED","Source-recovered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4" s="2" t="str">
        <x:f t="shared" si="12"/>
        <x:v>CORE</x:v>
      </x:c>
      <x:c r="AI74" s="2" t="str">
        <x:f t="shared" si="13"/>
        <x:v>YES</x:v>
      </x:c>
    </x:row>
    <x:row r="75" ht="40.5">
      <x:c r="A75" s="2">
        <x:v>531</x:v>
      </x:c>
      <x:c r="B75" s="2">
        <x:v>2142112</x:v>
      </x:c>
      <x:c r="C75" s="2">
        <x:v>2267554</x:v>
      </x:c>
      <x:c r="D75" s="2">
        <x:v>166161</x:v>
      </x:c>
      <x:c r="E75" s="2" t="s">
        <x:v>10</x:v>
      </x:c>
      <x:c r="F75" s="2" t="s">
        <x:v>177</x:v>
      </x:c>
      <x:c r="G75" s="2" t="s">
        <x:v>178</x:v>
      </x:c>
      <x:c r="H75" s="2" t="s">
        <x:v>107</x:v>
      </x:c>
      <x:c r="I75" s="2" t="s">
        <x:v>108</x:v>
      </x:c>
      <x:c r="J75" s="2">
        <x:v>4</x:v>
      </x:c>
      <x:c r="K75" s="2" t="s">
        <x:v>109</x:v>
      </x:c>
      <x:c r="L75" s="2" t="s">
        <x:v>120</x:v>
      </x:c>
      <x:c r="M75" s="2"/>
      <x:c r="N75" s="2">
        <x:v>334.24</x:v>
      </x:c>
      <x:c r="O75" s="2">
        <x:v>280.60000000000002</x:v>
      </x:c>
      <x:c r="P75" s="2">
        <x:v>396.1</x:v>
      </x:c>
      <x:c r="Q75" s="2" t="s">
        <x:v>111</x:v>
      </x:c>
      <x:c r="R75" s="2">
        <x:v>334.24</x:v>
      </x:c>
      <x:c r="S75" s="2" t="s">
        <x:v>111</x:v>
      </x:c>
      <x:c r="T75" s="2"/>
      <x:c r="U75" s="2">
        <x:v>30</x:v>
      </x:c>
      <x:c r="V75" s="2"/>
      <x:c r="W75" s="2"/>
      <x:c r="X75" s="2" t="s">
        <x:v>180</x:v>
      </x:c>
      <x:c r="Y75" s="2" t="s">
        <x:v>113</x:v>
      </x:c>
      <x:c r="Z75" s="2" t="s">
        <x:v>114</x:v>
      </x:c>
      <x:c r="AA75" s="11" t="n">
        <x:f>IFERROR(VLOOKUP(E75,Harmonization_Rules!$A$2:$B$9,2,FALSE),"")</x:f>
        <x:v>63.546</x:v>
      </x:c>
      <x:c r="AB75" s="2" t="str">
        <x:f t="shared" si="7"/>
        <x:v>ECOTOX_STANDARDIZED_TARGET_METAL</x:v>
      </x:c>
      <x:c r="AC75" s="12">
        <x:f t="shared" si="8"/>
        <x:v>0.33423999999999998</x:v>
      </x:c>
      <x:c r="AD75" s="12">
        <x:f t="shared" si="9"/>
        <x:v>5.2598117898844929</x:v>
      </x:c>
      <x:c r="AE75" s="12">
        <x:f t="shared" si="10"/>
        <x:v>1.6600952447186685</x:v>
      </x:c>
      <x:c r="AF75" s="2" t="str">
        <x:f t="shared" si="11"/>
        <x:v>HARMONIZED</x:v>
      </x:c>
      <x:c r="AG75" s="2" t="str">
        <x:f>IF(E75="Cr","Cr(VI) chromate/dichromate rows are retained but molar conversion is held until source-specific compound-vs-ion basis is resolved.",IF(D75=2977,"OBrien 1988 reports total dissolved Cu LC123 values in 10^-6 M; the numeric Analysis_Point is therefore treated directly as umol Cu/L.",IF(AND(D75=6825,L75="Formulation"),"Nipper 1993 source check showed the reported concentrations are nominal Zn; formulation coding does not trigger compound-mass conversion.",IF(Y75="PRIMARY_RECOVERED","Source-recovered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5" s="2" t="str">
        <x:f t="shared" si="12"/>
        <x:v>CORE</x:v>
      </x:c>
      <x:c r="AI75" s="2" t="str">
        <x:f t="shared" si="13"/>
        <x:v>YES</x:v>
      </x:c>
    </x:row>
    <x:row r="76" ht="40.5">
      <x:c r="A76" s="2">
        <x:v>541</x:v>
      </x:c>
      <x:c r="B76" s="2">
        <x:v>1202376</x:v>
      </x:c>
      <x:c r="C76" s="2">
        <x:v>128159</x:v>
      </x:c>
      <x:c r="D76" s="2">
        <x:v>18395</x:v>
      </x:c>
      <x:c r="E76" s="2" t="s">
        <x:v>10</x:v>
      </x:c>
      <x:c r="F76" s="2" t="s">
        <x:v>177</x:v>
      </x:c>
      <x:c r="G76" s="2" t="s">
        <x:v>150</x:v>
      </x:c>
      <x:c r="H76" s="2" t="s">
        <x:v>135</x:v>
      </x:c>
      <x:c r="I76" s="2" t="s">
        <x:v>125</x:v>
      </x:c>
      <x:c r="J76" s="2">
        <x:v>4</x:v>
      </x:c>
      <x:c r="K76" s="2" t="s">
        <x:v>126</x:v>
      </x:c>
      <x:c r="L76" s="2" t="s">
        <x:v>120</x:v>
      </x:c>
      <x:c r="M76" s="2"/>
      <x:c r="N76" s="2">
        <x:v>69.400000000000006</x:v>
      </x:c>
      <x:c r="O76" s="2">
        <x:v>60.7</x:v>
      </x:c>
      <x:c r="P76" s="2">
        <x:v>79.45</x:v>
      </x:c>
      <x:c r="Q76" s="2" t="s">
        <x:v>111</x:v>
      </x:c>
      <x:c r="R76" s="2">
        <x:v>69.400000000000006</x:v>
      </x:c>
      <x:c r="S76" s="2" t="s">
        <x:v>111</x:v>
      </x:c>
      <x:c r="T76" s="2"/>
      <x:c r="U76" s="2"/>
      <x:c r="V76" s="2"/>
      <x:c r="W76" s="2"/>
      <x:c r="X76" s="2" t="s">
        <x:v>190</x:v>
      </x:c>
      <x:c r="Y76" s="2" t="s">
        <x:v>113</x:v>
      </x:c>
      <x:c r="Z76" s="2" t="s">
        <x:v>114</x:v>
      </x:c>
      <x:c r="AA76" s="11" t="n">
        <x:f>IFERROR(VLOOKUP(E76,Harmonization_Rules!$A$2:$B$9,2,FALSE),"")</x:f>
        <x:v>63.546</x:v>
      </x:c>
      <x:c r="AB76" s="2" t="str">
        <x:f t="shared" si="7"/>
        <x:v>ECOTOX_STANDARDIZED_TARGET_METAL</x:v>
      </x:c>
      <x:c r="AC76" s="12">
        <x:f t="shared" si="8"/>
        <x:v>6.9400000000000003E-2</x:v>
      </x:c>
      <x:c r="AD76" s="12">
        <x:f t="shared" si="9"/>
        <x:v>1.0921222421552892</x:v>
      </x:c>
      <x:c r="AE76" s="12">
        <x:f t="shared" si="10"/>
        <x:v>8.8122814423171741E-2</x:v>
      </x:c>
      <x:c r="AF76" s="2" t="str">
        <x:f t="shared" si="11"/>
        <x:v>HARMONIZED</x:v>
      </x:c>
      <x:c r="AG76" s="2" t="str">
        <x:f>IF(E76="Cr","Cr(VI) chromate/dichromate rows are retained but molar conversion is held until source-specific compound-vs-ion basis is resolved.",IF(D76=2977,"OBrien 1988 reports total dissolved Cu LC124 values in 10^-6 M; the numeric Analysis_Point is therefore treated directly as umol Cu/L.",IF(AND(D76=6825,L76="Formulation"),"Nipper 1993 source check showed the reported concentrations are nominal Zn; formulation coding does not trigger compound-mass conversion.",IF(Y76="PRIMARY_RECOVERED","Source-recovered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6" s="2" t="str">
        <x:f t="shared" si="12"/>
        <x:v>CORE</x:v>
      </x:c>
      <x:c r="AI76" s="2" t="str">
        <x:f t="shared" si="13"/>
        <x:v>YES</x:v>
      </x:c>
    </x:row>
    <x:row r="77" ht="40.5">
      <x:c r="A77" s="2">
        <x:v>545</x:v>
      </x:c>
      <x:c r="B77" s="2">
        <x:v>2145455</x:v>
      </x:c>
      <x:c r="C77" s="2">
        <x:v>2274198</x:v>
      </x:c>
      <x:c r="D77" s="2">
        <x:v>169337</x:v>
      </x:c>
      <x:c r="E77" s="2" t="s">
        <x:v>10</x:v>
      </x:c>
      <x:c r="F77" s="2" t="s">
        <x:v>177</x:v>
      </x:c>
      <x:c r="G77" s="2" t="s">
        <x:v>129</x:v>
      </x:c>
      <x:c r="H77" s="2" t="s">
        <x:v>107</x:v>
      </x:c>
      <x:c r="I77" s="2"/>
      <x:c r="J77" s="2">
        <x:v>4</x:v>
      </x:c>
      <x:c r="K77" s="2" t="s">
        <x:v>117</x:v>
      </x:c>
      <x:c r="L77" s="2" t="s">
        <x:v>110</x:v>
      </x:c>
      <x:c r="M77" s="2"/>
      <x:c r="N77" s="2">
        <x:v>2100</x:v>
      </x:c>
      <x:c r="O77" s="2">
        <x:v>1800</x:v>
      </x:c>
      <x:c r="P77" s="2">
        <x:v>2700</x:v>
      </x:c>
      <x:c r="Q77" s="2" t="s">
        <x:v>111</x:v>
      </x:c>
      <x:c r="R77" s="2">
        <x:v>2100</x:v>
      </x:c>
      <x:c r="S77" s="2" t="s">
        <x:v>111</x:v>
      </x:c>
      <x:c r="T77" s="2">
        <x:v>22</x:v>
      </x:c>
      <x:c r="U77" s="2">
        <x:v>7</x:v>
      </x:c>
      <x:c r="V77" s="2">
        <x:v>8.1999999999999993</x:v>
      </x:c>
      <x:c r="W77" s="2"/>
      <x:c r="X77" s="2" t="s">
        <x:v>191</x:v>
      </x:c>
      <x:c r="Y77" s="2" t="s">
        <x:v>113</x:v>
      </x:c>
      <x:c r="Z77" s="2" t="s">
        <x:v>114</x:v>
      </x:c>
      <x:c r="AA77" s="11" t="n">
        <x:f>IFERROR(VLOOKUP(E77,Harmonization_Rules!$A$2:$B$9,2,FALSE),"")</x:f>
        <x:v>63.546</x:v>
      </x:c>
      <x:c r="AB77" s="2" t="str">
        <x:f t="shared" si="7"/>
        <x:v>ECOTOX_STANDARDIZED_TARGET_METAL</x:v>
      </x:c>
      <x:c r="AC77" s="12">
        <x:f t="shared" si="8"/>
        <x:v>2.1</x:v>
      </x:c>
      <x:c r="AD77" s="12">
        <x:f t="shared" si="9"/>
        <x:v>33.046926635822871</x:v>
      </x:c>
      <x:c r="AE77" s="12">
        <x:f t="shared" si="10"/>
        <x:v>3.4979285706219274</x:v>
      </x:c>
      <x:c r="AF77" s="2" t="str">
        <x:f t="shared" si="11"/>
        <x:v>HARMONIZED</x:v>
      </x:c>
      <x:c r="AG77" s="2" t="str">
        <x:f>IF(E77="Cr","Cr(VI) chromate/dichromate rows are retained but molar conversion is held until source-specific compound-vs-ion basis is resolved.",IF(D77=2977,"OBrien 1988 reports total dissolved Cu LC125 values in 10^-6 M; the numeric Analysis_Point is therefore treated directly as umol Cu/L.",IF(AND(D77=6825,L77="Formulation"),"Nipper 1993 source check showed the reported concentrations are nominal Zn; formulation coding does not trigger compound-mass conversion.",IF(Y77="PRIMARY_RECOVERED","Source-recovered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7" s="2" t="str">
        <x:f t="shared" si="12"/>
        <x:v>CORE</x:v>
      </x:c>
      <x:c r="AI77" s="2" t="str">
        <x:f t="shared" si="13"/>
        <x:v>YES</x:v>
      </x:c>
    </x:row>
    <x:row r="78" ht="54">
      <x:c r="A78" s="2">
        <x:v>548</x:v>
      </x:c>
      <x:c r="B78" s="2">
        <x:v>2140664</x:v>
      </x:c>
      <x:c r="C78" s="2">
        <x:v>2263491</x:v>
      </x:c>
      <x:c r="D78" s="2">
        <x:v>166133</x:v>
      </x:c>
      <x:c r="E78" s="2" t="s">
        <x:v>10</x:v>
      </x:c>
      <x:c r="F78" s="2" t="s">
        <x:v>177</x:v>
      </x:c>
      <x:c r="G78" s="2" t="s">
        <x:v>134</x:v>
      </x:c>
      <x:c r="H78" s="2" t="s">
        <x:v>135</x:v>
      </x:c>
      <x:c r="I78" s="2" t="s">
        <x:v>159</x:v>
      </x:c>
      <x:c r="J78" s="2">
        <x:v>2</x:v>
      </x:c>
      <x:c r="K78" s="2" t="s">
        <x:v>126</x:v>
      </x:c>
      <x:c r="L78" s="2" t="s">
        <x:v>120</x:v>
      </x:c>
      <x:c r="M78" s="2"/>
      <x:c r="N78" s="2">
        <x:v>67.400000000000006</x:v>
      </x:c>
      <x:c r="O78" s="2">
        <x:v>43.2</x:v>
      </x:c>
      <x:c r="P78" s="2">
        <x:v>92.9</x:v>
      </x:c>
      <x:c r="Q78" s="2" t="s">
        <x:v>111</x:v>
      </x:c>
      <x:c r="R78" s="2">
        <x:v>67.400000000000006</x:v>
      </x:c>
      <x:c r="S78" s="2" t="s">
        <x:v>111</x:v>
      </x:c>
      <x:c r="T78" s="2">
        <x:v>20</x:v>
      </x:c>
      <x:c r="U78" s="2">
        <x:v>15</x:v>
      </x:c>
      <x:c r="V78" s="2">
        <x:v>7.21</x:v>
      </x:c>
      <x:c r="W78" s="2">
        <x:v>0.1</x:v>
      </x:c>
      <x:c r="X78" s="2" t="s">
        <x:v>188</x:v>
      </x:c>
      <x:c r="Y78" s="2" t="s">
        <x:v>113</x:v>
      </x:c>
      <x:c r="Z78" s="2" t="s">
        <x:v>114</x:v>
      </x:c>
      <x:c r="AA78" s="11" t="n">
        <x:f>IFERROR(VLOOKUP(E78,Harmonization_Rules!$A$2:$B$9,2,FALSE),"")</x:f>
        <x:v>63.546</x:v>
      </x:c>
      <x:c r="AB78" s="2" t="str">
        <x:f t="shared" si="7"/>
        <x:v>ECOTOX_STANDARDIZED_TARGET_METAL</x:v>
      </x:c>
      <x:c r="AC78" s="12">
        <x:f t="shared" si="8"/>
        <x:v>6.7400000000000002E-2</x:v>
      </x:c>
      <x:c r="AD78" s="12">
        <x:f t="shared" si="9"/>
        <x:v>1.0606489786926008</x:v>
      </x:c>
      <x:c r="AE78" s="12">
        <x:f t="shared" si="10"/>
        <x:v>5.8880964828674311E-2</x:v>
      </x:c>
      <x:c r="AF78" s="2" t="str">
        <x:f t="shared" si="11"/>
        <x:v>HARMONIZED</x:v>
      </x:c>
      <x:c r="AG78" s="2" t="str">
        <x:f>IF(E78="Cr","Cr(VI) chromate/dichromate rows are retained but molar conversion is held until source-specific compound-vs-ion basis is resolved.",IF(D78=2977,"OBrien 1988 reports total dissolved Cu LC126 values in 10^-6 M; the numeric Analysis_Point is therefore treated directly as umol Cu/L.",IF(AND(D78=6825,L78="Formulation"),"Nipper 1993 source check showed the reported concentrations are nominal Zn; formulation coding does not trigger compound-mass conversion.",IF(Y78="PRIMARY_RECOVERED","Source-recovered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8" s="2" t="str">
        <x:f t="shared" si="12"/>
        <x:v>CORE</x:v>
      </x:c>
      <x:c r="AI78" s="2" t="str">
        <x:f t="shared" si="13"/>
        <x:v>YES</x:v>
      </x:c>
    </x:row>
    <x:row r="79" ht="40.5">
      <x:c r="A79" s="2">
        <x:v>552</x:v>
      </x:c>
      <x:c r="B79" s="2">
        <x:v>1312979</x:v>
      </x:c>
      <x:c r="C79" s="2">
        <x:v>770475</x:v>
      </x:c>
      <x:c r="D79" s="2">
        <x:v>107036</x:v>
      </x:c>
      <x:c r="E79" s="2" t="s">
        <x:v>10</x:v>
      </x:c>
      <x:c r="F79" s="2" t="s">
        <x:v>177</x:v>
      </x:c>
      <x:c r="G79" s="2" t="s">
        <x:v>150</x:v>
      </x:c>
      <x:c r="H79" s="2" t="s">
        <x:v>135</x:v>
      </x:c>
      <x:c r="I79" s="2" t="s">
        <x:v>125</x:v>
      </x:c>
      <x:c r="J79" s="2">
        <x:v>4</x:v>
      </x:c>
      <x:c r="K79" s="2" t="s">
        <x:v>117</x:v>
      </x:c>
      <x:c r="L79" s="2" t="s">
        <x:v>120</x:v>
      </x:c>
      <x:c r="M79" s="2"/>
      <x:c r="N79" s="2">
        <x:v>104</x:v>
      </x:c>
      <x:c r="O79" s="2">
        <x:v>94.2</x:v>
      </x:c>
      <x:c r="P79" s="2">
        <x:v>109</x:v>
      </x:c>
      <x:c r="Q79" s="2" t="s">
        <x:v>111</x:v>
      </x:c>
      <x:c r="R79" s="2">
        <x:v>104</x:v>
      </x:c>
      <x:c r="S79" s="2" t="s">
        <x:v>111</x:v>
      </x:c>
      <x:c r="T79" s="2"/>
      <x:c r="U79" s="2">
        <x:v>5</x:v>
      </x:c>
      <x:c r="V79" s="2"/>
      <x:c r="W79" s="2"/>
      <x:c r="X79" s="2" t="s">
        <x:v>186</x:v>
      </x:c>
      <x:c r="Y79" s="2" t="s">
        <x:v>113</x:v>
      </x:c>
      <x:c r="Z79" s="2" t="s">
        <x:v>114</x:v>
      </x:c>
      <x:c r="AA79" s="11" t="n">
        <x:f>IFERROR(VLOOKUP(E79,Harmonization_Rules!$A$2:$B$9,2,FALSE),"")</x:f>
        <x:v>63.546</x:v>
      </x:c>
      <x:c r="AB79" s="2" t="str">
        <x:f t="shared" si="7"/>
        <x:v>ECOTOX_STANDARDIZED_TARGET_METAL</x:v>
      </x:c>
      <x:c r="AC79" s="12">
        <x:f t="shared" si="8"/>
        <x:v>0.104</x:v>
      </x:c>
      <x:c r="AD79" s="12">
        <x:f t="shared" si="9"/>
        <x:v>1.6366097000597992</x:v>
      </x:c>
      <x:c r="AE79" s="12">
        <x:f t="shared" si="10"/>
        <x:v>0.49262684605178553</x:v>
      </x:c>
      <x:c r="AF79" s="2" t="str">
        <x:f t="shared" si="11"/>
        <x:v>HARMONIZED</x:v>
      </x:c>
      <x:c r="AG79" s="2" t="str">
        <x:f>IF(E79="Cr","Cr(VI) chromate/dichromate rows are retained but molar conversion is held until source-specific compound-vs-ion basis is resolved.",IF(D79=2977,"OBrien 1988 reports total dissolved Cu LC127 values in 10^-6 M; the numeric Analysis_Point is therefore treated directly as umol Cu/L.",IF(AND(D79=6825,L79="Formulation"),"Nipper 1993 source check showed the reported concentrations are nominal Zn; formulation coding does not trigger compound-mass conversion.",IF(Y79="PRIMARY_RECOVERED","Source-recovered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79" s="2" t="str">
        <x:f t="shared" si="12"/>
        <x:v>CORE</x:v>
      </x:c>
      <x:c r="AI79" s="2" t="str">
        <x:f t="shared" si="13"/>
        <x:v>YES</x:v>
      </x:c>
    </x:row>
    <x:row r="80" ht="40.5">
      <x:c r="A80" s="2">
        <x:v>562</x:v>
      </x:c>
      <x:c r="B80" s="2">
        <x:v>1202375</x:v>
      </x:c>
      <x:c r="C80" s="2">
        <x:v>76832</x:v>
      </x:c>
      <x:c r="D80" s="2">
        <x:v>18395</x:v>
      </x:c>
      <x:c r="E80" s="2" t="s">
        <x:v>10</x:v>
      </x:c>
      <x:c r="F80" s="2" t="s">
        <x:v>177</x:v>
      </x:c>
      <x:c r="G80" s="2" t="s">
        <x:v>150</x:v>
      </x:c>
      <x:c r="H80" s="2" t="s">
        <x:v>135</x:v>
      </x:c>
      <x:c r="I80" s="2" t="s">
        <x:v>125</x:v>
      </x:c>
      <x:c r="J80" s="2">
        <x:v>2</x:v>
      </x:c>
      <x:c r="K80" s="2" t="s">
        <x:v>117</x:v>
      </x:c>
      <x:c r="L80" s="2" t="s">
        <x:v>120</x:v>
      </x:c>
      <x:c r="M80" s="2"/>
      <x:c r="N80" s="2">
        <x:v>83</x:v>
      </x:c>
      <x:c r="O80" s="2">
        <x:v>75.31</x:v>
      </x:c>
      <x:c r="P80" s="2">
        <x:v>91.68</x:v>
      </x:c>
      <x:c r="Q80" s="2" t="s">
        <x:v>111</x:v>
      </x:c>
      <x:c r="R80" s="2">
        <x:v>83</x:v>
      </x:c>
      <x:c r="S80" s="2" t="s">
        <x:v>111</x:v>
      </x:c>
      <x:c r="T80" s="2"/>
      <x:c r="U80" s="2">
        <x:v>14</x:v>
      </x:c>
      <x:c r="V80" s="2"/>
      <x:c r="W80" s="2"/>
      <x:c r="X80" s="2" t="s">
        <x:v>190</x:v>
      </x:c>
      <x:c r="Y80" s="2" t="s">
        <x:v>113</x:v>
      </x:c>
      <x:c r="Z80" s="2" t="s">
        <x:v>114</x:v>
      </x:c>
      <x:c r="AA80" s="11" t="n">
        <x:f>IFERROR(VLOOKUP(E80,Harmonization_Rules!$A$2:$B$9,2,FALSE),"")</x:f>
        <x:v>63.546</x:v>
      </x:c>
      <x:c r="AB80" s="2" t="str">
        <x:f t="shared" si="7"/>
        <x:v>ECOTOX_STANDARDIZED_TARGET_METAL</x:v>
      </x:c>
      <x:c r="AC80" s="12">
        <x:f t="shared" si="8"/>
        <x:v>8.3000000000000004E-2</x:v>
      </x:c>
      <x:c r="AD80" s="12">
        <x:f t="shared" si="9"/>
        <x:v>1.3061404337015705</x:v>
      </x:c>
      <x:c r="AE80" s="12">
        <x:f t="shared" si="10"/>
        <x:v>0.26707655470701075</x:v>
      </x:c>
      <x:c r="AF80" s="2" t="str">
        <x:f t="shared" si="11"/>
        <x:v>HARMONIZED</x:v>
      </x:c>
      <x:c r="AG80" s="2" t="str">
        <x:f>IF(E80="Cr","Cr(VI) chromate/dichromate rows are retained but molar conversion is held until source-specific compound-vs-ion basis is resolved.",IF(D80=2977,"OBrien 1988 reports total dissolved Cu LC128 values in 10^-6 M; the numeric Analysis_Point is therefore treated directly as umol Cu/L.",IF(AND(D80=6825,L80="Formulation"),"Nipper 1993 source check showed the reported concentrations are nominal Zn; formulation coding does not trigger compound-mass conversion.",IF(Y80="PRIMARY_RECOVERED","Source-recovered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0" s="2" t="str">
        <x:f t="shared" si="12"/>
        <x:v>CORE</x:v>
      </x:c>
      <x:c r="AI80" s="2" t="str">
        <x:f t="shared" si="13"/>
        <x:v>YES</x:v>
      </x:c>
    </x:row>
    <x:row r="81" ht="54">
      <x:c r="A81" s="2">
        <x:v>567</x:v>
      </x:c>
      <x:c r="B81" s="2">
        <x:v>1300832</x:v>
      </x:c>
      <x:c r="C81" s="2">
        <x:v>756507</x:v>
      </x:c>
      <x:c r="D81" s="2">
        <x:v>115854</x:v>
      </x:c>
      <x:c r="E81" s="2" t="s">
        <x:v>10</x:v>
      </x:c>
      <x:c r="F81" s="2" t="s">
        <x:v>177</x:v>
      </x:c>
      <x:c r="G81" s="2" t="s">
        <x:v>106</x:v>
      </x:c>
      <x:c r="H81" s="2" t="s">
        <x:v>107</x:v>
      </x:c>
      <x:c r="I81" s="2" t="s">
        <x:v>108</x:v>
      </x:c>
      <x:c r="J81" s="2">
        <x:v>4</x:v>
      </x:c>
      <x:c r="K81" s="2" t="s">
        <x:v>109</x:v>
      </x:c>
      <x:c r="L81" s="2" t="s">
        <x:v>110</x:v>
      </x:c>
      <x:c r="M81" s="2"/>
      <x:c r="N81" s="2">
        <x:v>813</x:v>
      </x:c>
      <x:c r="O81" s="2"/>
      <x:c r="P81" s="2"/>
      <x:c r="Q81" s="2" t="s">
        <x:v>111</x:v>
      </x:c>
      <x:c r="R81" s="2">
        <x:v>813</x:v>
      </x:c>
      <x:c r="S81" s="2" t="s">
        <x:v>111</x:v>
      </x:c>
      <x:c r="T81" s="2">
        <x:v>25</x:v>
      </x:c>
      <x:c r="U81" s="2">
        <x:v>33</x:v>
      </x:c>
      <x:c r="V81" s="2"/>
      <x:c r="W81" s="2"/>
      <x:c r="X81" s="2" t="s">
        <x:v>112</x:v>
      </x:c>
      <x:c r="Y81" s="2" t="s">
        <x:v>113</x:v>
      </x:c>
      <x:c r="Z81" s="2" t="s">
        <x:v>114</x:v>
      </x:c>
      <x:c r="AA81" s="11" t="n">
        <x:f>IFERROR(VLOOKUP(E81,Harmonization_Rules!$A$2:$B$9,2,FALSE),"")</x:f>
        <x:v>63.546</x:v>
      </x:c>
      <x:c r="AB81" s="2" t="str">
        <x:f t="shared" si="7"/>
        <x:v>ECOTOX_STANDARDIZED_TARGET_METAL</x:v>
      </x:c>
      <x:c r="AC81" s="12">
        <x:f t="shared" si="8"/>
        <x:v>0.81299999999999994</x:v>
      </x:c>
      <x:c r="AD81" s="12">
        <x:f t="shared" si="9"/>
        <x:v>12.793881597582853</x:v>
      </x:c>
      <x:c r="AE81" s="12">
        <x:f t="shared" si="10"/>
        <x:v>2.5489670564582232</x:v>
      </x:c>
      <x:c r="AF81" s="2" t="str">
        <x:f t="shared" si="11"/>
        <x:v>HARMONIZED</x:v>
      </x:c>
      <x:c r="AG81" s="2" t="str">
        <x:f>IF(E81="Cr","Cr(VI) chromate/dichromate rows are retained but molar conversion is held until source-specific compound-vs-ion basis is resolved.",IF(D81=2977,"OBrien 1988 reports total dissolved Cu LC129 values in 10^-6 M; the numeric Analysis_Point is therefore treated directly as umol Cu/L.",IF(AND(D81=6825,L81="Formulation"),"Nipper 1993 source check showed the reported concentrations are nominal Zn; formulation coding does not trigger compound-mass conversion.",IF(Y81="PRIMARY_RECOVERED","Source-recovered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1" s="2" t="str">
        <x:f t="shared" si="12"/>
        <x:v>CORE</x:v>
      </x:c>
      <x:c r="AI81" s="2" t="str">
        <x:f t="shared" si="13"/>
        <x:v>YES</x:v>
      </x:c>
    </x:row>
    <x:row r="82" ht="40.5">
      <x:c r="A82" s="2">
        <x:v>576</x:v>
      </x:c>
      <x:c r="B82" s="2">
        <x:v>1312981</x:v>
      </x:c>
      <x:c r="C82" s="2">
        <x:v>770477</x:v>
      </x:c>
      <x:c r="D82" s="2">
        <x:v>107036</x:v>
      </x:c>
      <x:c r="E82" s="2" t="s">
        <x:v>10</x:v>
      </x:c>
      <x:c r="F82" s="2" t="s">
        <x:v>177</x:v>
      </x:c>
      <x:c r="G82" s="2" t="s">
        <x:v>150</x:v>
      </x:c>
      <x:c r="H82" s="2" t="s">
        <x:v>135</x:v>
      </x:c>
      <x:c r="I82" s="2" t="s">
        <x:v>125</x:v>
      </x:c>
      <x:c r="J82" s="2">
        <x:v>4</x:v>
      </x:c>
      <x:c r="K82" s="2" t="s">
        <x:v>117</x:v>
      </x:c>
      <x:c r="L82" s="2" t="s">
        <x:v>120</x:v>
      </x:c>
      <x:c r="M82" s="2"/>
      <x:c r="N82" s="2">
        <x:v>58.1</x:v>
      </x:c>
      <x:c r="O82" s="2">
        <x:v>52</x:v>
      </x:c>
      <x:c r="P82" s="2">
        <x:v>64.900000000000006</x:v>
      </x:c>
      <x:c r="Q82" s="2" t="s">
        <x:v>111</x:v>
      </x:c>
      <x:c r="R82" s="2">
        <x:v>58.1</x:v>
      </x:c>
      <x:c r="S82" s="2" t="s">
        <x:v>111</x:v>
      </x:c>
      <x:c r="T82" s="2">
        <x:v>25</x:v>
      </x:c>
      <x:c r="U82" s="2">
        <x:v>25</x:v>
      </x:c>
      <x:c r="V82" s="2"/>
      <x:c r="W82" s="2"/>
      <x:c r="X82" s="2" t="s">
        <x:v>186</x:v>
      </x:c>
      <x:c r="Y82" s="2" t="s">
        <x:v>113</x:v>
      </x:c>
      <x:c r="Z82" s="2" t="s">
        <x:v>114</x:v>
      </x:c>
      <x:c r="AA82" s="11" t="n">
        <x:f>IFERROR(VLOOKUP(E82,Harmonization_Rules!$A$2:$B$9,2,FALSE),"")</x:f>
        <x:v>63.546</x:v>
      </x:c>
      <x:c r="AB82" s="2" t="str">
        <x:f t="shared" si="7"/>
        <x:v>ECOTOX_STANDARDIZED_TARGET_METAL</x:v>
      </x:c>
      <x:c r="AC82" s="12">
        <x:f t="shared" si="8"/>
        <x:v>5.8099999999999999E-2</x:v>
      </x:c>
      <x:c r="AD82" s="12">
        <x:f t="shared" si="9"/>
        <x:v>0.91429830359109943</x:v>
      </x:c>
      <x:c r="AE82" s="12">
        <x:f t="shared" si="10"/>
        <x:v>-8.9598389231721559E-2</x:v>
      </x:c>
      <x:c r="AF82" s="2" t="str">
        <x:f t="shared" si="11"/>
        <x:v>HARMONIZED</x:v>
      </x:c>
      <x:c r="AG82" s="2" t="str">
        <x:f>IF(E82="Cr","Cr(VI) chromate/dichromate rows are retained but molar conversion is held until source-specific compound-vs-ion basis is resolved.",IF(D82=2977,"OBrien 1988 reports total dissolved Cu LC130 values in 10^-6 M; the numeric Analysis_Point is therefore treated directly as umol Cu/L.",IF(AND(D82=6825,L82="Formulation"),"Nipper 1993 source check showed the reported concentrations are nominal Zn; formulation coding does not trigger compound-mass conversion.",IF(Y82="PRIMARY_RECOVERED","Source-recovered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2" s="2" t="str">
        <x:f t="shared" si="12"/>
        <x:v>CORE</x:v>
      </x:c>
      <x:c r="AI82" s="2" t="str">
        <x:f t="shared" si="13"/>
        <x:v>YES</x:v>
      </x:c>
    </x:row>
    <x:row r="83" ht="54">
      <x:c r="A83" s="2">
        <x:v>577</x:v>
      </x:c>
      <x:c r="B83" s="2">
        <x:v>2140665</x:v>
      </x:c>
      <x:c r="C83" s="2">
        <x:v>2263492</x:v>
      </x:c>
      <x:c r="D83" s="2">
        <x:v>166133</x:v>
      </x:c>
      <x:c r="E83" s="2" t="s">
        <x:v>10</x:v>
      </x:c>
      <x:c r="F83" s="2" t="s">
        <x:v>177</x:v>
      </x:c>
      <x:c r="G83" s="2" t="s">
        <x:v>134</x:v>
      </x:c>
      <x:c r="H83" s="2" t="s">
        <x:v>135</x:v>
      </x:c>
      <x:c r="I83" s="2" t="s">
        <x:v>159</x:v>
      </x:c>
      <x:c r="J83" s="2">
        <x:v>2</x:v>
      </x:c>
      <x:c r="K83" s="2" t="s">
        <x:v>126</x:v>
      </x:c>
      <x:c r="L83" s="2" t="s">
        <x:v>120</x:v>
      </x:c>
      <x:c r="M83" s="2"/>
      <x:c r="N83" s="2">
        <x:v>108.7</x:v>
      </x:c>
      <x:c r="O83" s="2">
        <x:v>79.3</x:v>
      </x:c>
      <x:c r="P83" s="2">
        <x:v>128.19999999999999</x:v>
      </x:c>
      <x:c r="Q83" s="2" t="s">
        <x:v>111</x:v>
      </x:c>
      <x:c r="R83" s="2">
        <x:v>108.7</x:v>
      </x:c>
      <x:c r="S83" s="2" t="s">
        <x:v>111</x:v>
      </x:c>
      <x:c r="T83" s="2">
        <x:v>20</x:v>
      </x:c>
      <x:c r="U83" s="2">
        <x:v>30</x:v>
      </x:c>
      <x:c r="V83" s="2">
        <x:v>7.49</x:v>
      </x:c>
      <x:c r="W83" s="2">
        <x:v>0.1</x:v>
      </x:c>
      <x:c r="X83" s="2" t="s">
        <x:v>188</x:v>
      </x:c>
      <x:c r="Y83" s="2" t="s">
        <x:v>113</x:v>
      </x:c>
      <x:c r="Z83" s="2" t="s">
        <x:v>114</x:v>
      </x:c>
      <x:c r="AA83" s="11" t="n">
        <x:f>IFERROR(VLOOKUP(E83,Harmonization_Rules!$A$2:$B$9,2,FALSE),"")</x:f>
        <x:v>63.546</x:v>
      </x:c>
      <x:c r="AB83" s="2" t="str">
        <x:f t="shared" si="7"/>
        <x:v>ECOTOX_STANDARDIZED_TARGET_METAL</x:v>
      </x:c>
      <x:c r="AC83" s="12">
        <x:f t="shared" si="8"/>
        <x:v>0.1087</x:v>
      </x:c>
      <x:c r="AD83" s="12">
        <x:f t="shared" si="9"/>
        <x:v>1.710571869197117</x:v>
      </x:c>
      <x:c r="AE83" s="12">
        <x:f t="shared" si="10"/>
        <x:v>0.53682774103757658</x:v>
      </x:c>
      <x:c r="AF83" s="2" t="str">
        <x:f t="shared" si="11"/>
        <x:v>HARMONIZED</x:v>
      </x:c>
      <x:c r="AG83" s="2" t="str">
        <x:f>IF(E83="Cr","Cr(VI) chromate/dichromate rows are retained but molar conversion is held until source-specific compound-vs-ion basis is resolved.",IF(D83=2977,"OBrien 1988 reports total dissolved Cu LC131 values in 10^-6 M; the numeric Analysis_Point is therefore treated directly as umol Cu/L.",IF(AND(D83=6825,L83="Formulation"),"Nipper 1993 source check showed the reported concentrations are nominal Zn; formulation coding does not trigger compound-mass conversion.",IF(Y83="PRIMARY_RECOVERED","Source-recovered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3" s="2" t="str">
        <x:f t="shared" si="12"/>
        <x:v>CORE</x:v>
      </x:c>
      <x:c r="AI83" s="2" t="str">
        <x:f t="shared" si="13"/>
        <x:v>YES</x:v>
      </x:c>
    </x:row>
    <x:row r="84" ht="54">
      <x:c r="A84" s="2">
        <x:v>584</x:v>
      </x:c>
      <x:c r="B84" s="2">
        <x:v>2140661</x:v>
      </x:c>
      <x:c r="C84" s="2">
        <x:v>2263489</x:v>
      </x:c>
      <x:c r="D84" s="2">
        <x:v>166133</x:v>
      </x:c>
      <x:c r="E84" s="2" t="s">
        <x:v>10</x:v>
      </x:c>
      <x:c r="F84" s="2" t="s">
        <x:v>177</x:v>
      </x:c>
      <x:c r="G84" s="2" t="s">
        <x:v>134</x:v>
      </x:c>
      <x:c r="H84" s="2" t="s">
        <x:v>135</x:v>
      </x:c>
      <x:c r="I84" s="2" t="s">
        <x:v>159</x:v>
      </x:c>
      <x:c r="J84" s="2">
        <x:v>2</x:v>
      </x:c>
      <x:c r="K84" s="2" t="s">
        <x:v>126</x:v>
      </x:c>
      <x:c r="L84" s="2" t="s">
        <x:v>120</x:v>
      </x:c>
      <x:c r="M84" s="2"/>
      <x:c r="N84" s="2">
        <x:v>41.8</x:v>
      </x:c>
      <x:c r="O84" s="2">
        <x:v>33.200000000000003</x:v>
      </x:c>
      <x:c r="P84" s="2">
        <x:v>52.2</x:v>
      </x:c>
      <x:c r="Q84" s="2" t="s">
        <x:v>111</x:v>
      </x:c>
      <x:c r="R84" s="2">
        <x:v>41.8</x:v>
      </x:c>
      <x:c r="S84" s="2" t="s">
        <x:v>111</x:v>
      </x:c>
      <x:c r="T84" s="2">
        <x:v>20</x:v>
      </x:c>
      <x:c r="U84" s="2">
        <x:v>5</x:v>
      </x:c>
      <x:c r="V84" s="2">
        <x:v>6.88</x:v>
      </x:c>
      <x:c r="W84" s="2">
        <x:v>0.1</x:v>
      </x:c>
      <x:c r="X84" s="2" t="s">
        <x:v>188</x:v>
      </x:c>
      <x:c r="Y84" s="2" t="s">
        <x:v>113</x:v>
      </x:c>
      <x:c r="Z84" s="2" t="s">
        <x:v>114</x:v>
      </x:c>
      <x:c r="AA84" s="11" t="n">
        <x:f>IFERROR(VLOOKUP(E84,Harmonization_Rules!$A$2:$B$9,2,FALSE),"")</x:f>
        <x:v>63.546</x:v>
      </x:c>
      <x:c r="AB84" s="2" t="str">
        <x:f t="shared" si="7"/>
        <x:v>ECOTOX_STANDARDIZED_TARGET_METAL</x:v>
      </x:c>
      <x:c r="AC84" s="12">
        <x:f t="shared" si="8"/>
        <x:v>4.1799999999999997E-2</x:v>
      </x:c>
      <x:c r="AD84" s="12">
        <x:f t="shared" si="9"/>
        <x:v>0.65779120637018851</x:v>
      </x:c>
      <x:c r="AE84" s="12">
        <x:f t="shared" si="10"/>
        <x:v>-0.41886771355887659</x:v>
      </x:c>
      <x:c r="AF84" s="2" t="str">
        <x:f t="shared" si="11"/>
        <x:v>HARMONIZED</x:v>
      </x:c>
      <x:c r="AG84" s="2" t="str">
        <x:f>IF(E84="Cr","Cr(VI) chromate/dichromate rows are retained but molar conversion is held until source-specific compound-vs-ion basis is resolved.",IF(D84=2977,"OBrien 1988 reports total dissolved Cu LC132 values in 10^-6 M; the numeric Analysis_Point is therefore treated directly as umol Cu/L.",IF(AND(D84=6825,L84="Formulation"),"Nipper 1993 source check showed the reported concentrations are nominal Zn; formulation coding does not trigger compound-mass conversion.",IF(Y84="PRIMARY_RECOVERED","Source-recovered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4" s="2" t="str">
        <x:f t="shared" si="12"/>
        <x:v>CORE</x:v>
      </x:c>
      <x:c r="AI84" s="2" t="str">
        <x:f t="shared" si="13"/>
        <x:v>YES</x:v>
      </x:c>
    </x:row>
    <x:row r="85" ht="40.5">
      <x:c r="A85" s="2">
        <x:v>588</x:v>
      </x:c>
      <x:c r="B85" s="2">
        <x:v>1193934</x:v>
      </x:c>
      <x:c r="C85" s="2">
        <x:v>181507</x:v>
      </x:c>
      <x:c r="D85" s="2">
        <x:v>17398</x:v>
      </x:c>
      <x:c r="E85" s="2" t="s">
        <x:v>10</x:v>
      </x:c>
      <x:c r="F85" s="2" t="s">
        <x:v>177</x:v>
      </x:c>
      <x:c r="G85" s="2" t="s">
        <x:v>134</x:v>
      </x:c>
      <x:c r="H85" s="2" t="s">
        <x:v>135</x:v>
      </x:c>
      <x:c r="I85" s="2"/>
      <x:c r="J85" s="2">
        <x:v>4</x:v>
      </x:c>
      <x:c r="K85" s="2" t="s">
        <x:v>117</x:v>
      </x:c>
      <x:c r="L85" s="2" t="s">
        <x:v>110</x:v>
      </x:c>
      <x:c r="M85" s="2"/>
      <x:c r="N85" s="2">
        <x:v>10</x:v>
      </x:c>
      <x:c r="O85" s="2"/>
      <x:c r="P85" s="2"/>
      <x:c r="Q85" s="2" t="s">
        <x:v>111</x:v>
      </x:c>
      <x:c r="R85" s="2">
        <x:v>10</x:v>
      </x:c>
      <x:c r="S85" s="2" t="s">
        <x:v>111</x:v>
      </x:c>
      <x:c r="T85" s="2"/>
      <x:c r="U85" s="2"/>
      <x:c r="V85" s="2"/>
      <x:c r="W85" s="2"/>
      <x:c r="X85" s="2" t="s">
        <x:v>192</x:v>
      </x:c>
      <x:c r="Y85" s="2" t="s">
        <x:v>113</x:v>
      </x:c>
      <x:c r="Z85" s="2" t="s">
        <x:v>114</x:v>
      </x:c>
      <x:c r="AA85" s="11" t="n">
        <x:f>IFERROR(VLOOKUP(E85,Harmonization_Rules!$A$2:$B$9,2,FALSE),"")</x:f>
        <x:v>63.546</x:v>
      </x:c>
      <x:c r="AB85" s="2" t="str">
        <x:f t="shared" si="7"/>
        <x:v>ECOTOX_STANDARDIZED_TARGET_METAL</x:v>
      </x:c>
      <x:c r="AC85" s="12">
        <x:f t="shared" si="8"/>
        <x:v>0.01</x:v>
      </x:c>
      <x:c r="AD85" s="12">
        <x:f t="shared" si="9"/>
        <x:v>0.15736631731344222</x:v>
      </x:c>
      <x:c r="AE85" s="12">
        <x:f t="shared" si="10"/>
        <x:v>-1.8491789600955415</x:v>
      </x:c>
      <x:c r="AF85" s="2" t="str">
        <x:f t="shared" si="11"/>
        <x:v>HARMONIZED</x:v>
      </x:c>
      <x:c r="AG85" s="2" t="str">
        <x:f>IF(E85="Cr","Cr(VI) chromate/dichromate rows are retained but molar conversion is held until source-specific compound-vs-ion basis is resolved.",IF(D85=2977,"OBrien 1988 reports total dissolved Cu LC133 values in 10^-6 M; the numeric Analysis_Point is therefore treated directly as umol Cu/L.",IF(AND(D85=6825,L85="Formulation"),"Nipper 1993 source check showed the reported concentrations are nominal Zn; formulation coding does not trigger compound-mass conversion.",IF(Y85="PRIMARY_RECOVERED","Source-recovered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5" s="2" t="str">
        <x:f t="shared" si="12"/>
        <x:v>CORE</x:v>
      </x:c>
      <x:c r="AI85" s="2" t="str">
        <x:f t="shared" si="13"/>
        <x:v>YES</x:v>
      </x:c>
    </x:row>
    <x:row r="86" ht="40.5">
      <x:c r="A86" s="2">
        <x:v>590</x:v>
      </x:c>
      <x:c r="B86" s="2">
        <x:v>1312980</x:v>
      </x:c>
      <x:c r="C86" s="2">
        <x:v>770476</x:v>
      </x:c>
      <x:c r="D86" s="2">
        <x:v>107036</x:v>
      </x:c>
      <x:c r="E86" s="2" t="s">
        <x:v>10</x:v>
      </x:c>
      <x:c r="F86" s="2" t="s">
        <x:v>177</x:v>
      </x:c>
      <x:c r="G86" s="2" t="s">
        <x:v>150</x:v>
      </x:c>
      <x:c r="H86" s="2" t="s">
        <x:v>135</x:v>
      </x:c>
      <x:c r="I86" s="2" t="s">
        <x:v>125</x:v>
      </x:c>
      <x:c r="J86" s="2">
        <x:v>4</x:v>
      </x:c>
      <x:c r="K86" s="2" t="s">
        <x:v>117</x:v>
      </x:c>
      <x:c r="L86" s="2" t="s">
        <x:v>120</x:v>
      </x:c>
      <x:c r="M86" s="2"/>
      <x:c r="N86" s="2">
        <x:v>67.599999999999994</x:v>
      </x:c>
      <x:c r="O86" s="2">
        <x:v>55.1</x:v>
      </x:c>
      <x:c r="P86" s="2">
        <x:v>82.9</x:v>
      </x:c>
      <x:c r="Q86" s="2" t="s">
        <x:v>111</x:v>
      </x:c>
      <x:c r="R86" s="2">
        <x:v>67.599999999999994</x:v>
      </x:c>
      <x:c r="S86" s="2" t="s">
        <x:v>111</x:v>
      </x:c>
      <x:c r="T86" s="2"/>
      <x:c r="U86" s="2">
        <x:v>15</x:v>
      </x:c>
      <x:c r="V86" s="2"/>
      <x:c r="W86" s="2"/>
      <x:c r="X86" s="2" t="s">
        <x:v>186</x:v>
      </x:c>
      <x:c r="Y86" s="2" t="s">
        <x:v>113</x:v>
      </x:c>
      <x:c r="Z86" s="2" t="s">
        <x:v>114</x:v>
      </x:c>
      <x:c r="AA86" s="11" t="n">
        <x:f>IFERROR(VLOOKUP(E86,Harmonization_Rules!$A$2:$B$9,2,FALSE),"")</x:f>
        <x:v>63.546</x:v>
      </x:c>
      <x:c r="AB86" s="2" t="str">
        <x:f t="shared" si="7"/>
        <x:v>ECOTOX_STANDARDIZED_TARGET_METAL</x:v>
      </x:c>
      <x:c r="AC86" s="12">
        <x:f t="shared" si="8"/>
        <x:v>6.7599999999999993E-2</x:v>
      </x:c>
      <x:c r="AD86" s="12">
        <x:f t="shared" si="9"/>
        <x:v>1.0637963050388695</x:v>
      </x:c>
      <x:c r="AE86" s="12">
        <x:f t="shared" si="10"/>
        <x:v>6.1843929959331218E-2</x:v>
      </x:c>
      <x:c r="AF86" s="2" t="str">
        <x:f t="shared" si="11"/>
        <x:v>HARMONIZED</x:v>
      </x:c>
      <x:c r="AG86" s="2" t="str">
        <x:f>IF(E86="Cr","Cr(VI) chromate/dichromate rows are retained but molar conversion is held until source-specific compound-vs-ion basis is resolved.",IF(D86=2977,"OBrien 1988 reports total dissolved Cu LC134 values in 10^-6 M; the numeric Analysis_Point is therefore treated directly as umol Cu/L.",IF(AND(D86=6825,L86="Formulation"),"Nipper 1993 source check showed the reported concentrations are nominal Zn; formulation coding does not trigger compound-mass conversion.",IF(Y86="PRIMARY_RECOVERED","Source-recovered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6" s="2" t="str">
        <x:f t="shared" si="12"/>
        <x:v>CORE</x:v>
      </x:c>
      <x:c r="AI86" s="2" t="str">
        <x:f t="shared" si="13"/>
        <x:v>YES</x:v>
      </x:c>
    </x:row>
    <x:row r="87" ht="40.5">
      <x:c r="A87" s="2">
        <x:v>600</x:v>
      </x:c>
      <x:c r="B87" s="2">
        <x:v>1078445</x:v>
      </x:c>
      <x:c r="C87" s="2">
        <x:v>130922</x:v>
      </x:c>
      <x:c r="D87" s="2">
        <x:v>6045</x:v>
      </x:c>
      <x:c r="E87" s="2" t="s">
        <x:v>39</x:v>
      </x:c>
      <x:c r="F87" s="2" t="s">
        <x:v>193</x:v>
      </x:c>
      <x:c r="G87" s="2" t="s">
        <x:v>194</x:v>
      </x:c>
      <x:c r="H87" s="2" t="s">
        <x:v>135</x:v>
      </x:c>
      <x:c r="I87" s="2"/>
      <x:c r="J87" s="2">
        <x:v>1</x:v>
      </x:c>
      <x:c r="K87" s="2" t="s">
        <x:v>117</x:v>
      </x:c>
      <x:c r="L87" s="2" t="s">
        <x:v>110</x:v>
      </x:c>
      <x:c r="M87" s="2"/>
      <x:c r="N87" s="2">
        <x:v>50</x:v>
      </x:c>
      <x:c r="O87" s="2"/>
      <x:c r="P87" s="2"/>
      <x:c r="Q87" s="2" t="s">
        <x:v>195</x:v>
      </x:c>
      <x:c r="R87" s="2">
        <x:v>50</x:v>
      </x:c>
      <x:c r="S87" s="2" t="s">
        <x:v>195</x:v>
      </x:c>
      <x:c r="T87" s="2"/>
      <x:c r="U87" s="2"/>
      <x:c r="V87" s="2"/>
      <x:c r="W87" s="2"/>
      <x:c r="X87" s="2" t="s">
        <x:v>196</x:v>
      </x:c>
      <x:c r="Y87" s="2" t="s">
        <x:v>113</x:v>
      </x:c>
      <x:c r="Z87" s="2" t="s">
        <x:v>114</x:v>
      </x:c>
      <x:c r="AA87" s="11" t="n">
        <x:f>IFERROR(VLOOKUP(E87,Harmonization_Rules!$A$2:$B$9,2,FALSE),"")</x:f>
        <x:v>200.592</x:v>
      </x:c>
      <x:c r="AB87" s="2" t="str">
        <x:f t="shared" si="7"/>
        <x:v>ECOTOX_STANDARDIZED_TARGET_METAL</x:v>
      </x:c>
      <x:c r="AC87" s="12">
        <x:f t="shared" si="8"/>
        <x:v>0.05</x:v>
      </x:c>
      <x:c r="AD87" s="12">
        <x:f t="shared" si="9"/>
        <x:v>0.24926218393555075</x:v>
      </x:c>
      <x:c r="AE87" s="12">
        <x:f t="shared" si="10"/>
        <x:v>-1.3892499889455232</x:v>
      </x:c>
      <x:c r="AF87" s="2" t="str">
        <x:f t="shared" si="11"/>
        <x:v>HARMONIZED</x:v>
      </x:c>
      <x:c r="AG87" s="2" t="str">
        <x:f>IF(E87="Cr","Cr(VI) chromate/dichromate rows are retained but molar conversion is held until source-specific compound-vs-ion basis is resolved.",IF(D87=2977,"OBrien 1988 reports total dissolved Cu LC135 values in 10^-6 M; the numeric Analysis_Point is therefore treated directly as umol Cu/L.",IF(AND(D87=6825,L87="Formulation"),"Nipper 1993 source check showed the reported concentrations are nominal Zn; formulation coding does not trigger compound-mass conversion.",IF(Y87="PRIMARY_RECOVERED","Source-recovered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7" s="2" t="str">
        <x:f t="shared" si="12"/>
        <x:v>EXPLORATORY</x:v>
      </x:c>
      <x:c r="AI87" s="2" t="str">
        <x:f t="shared" si="13"/>
        <x:v>NO</x:v>
      </x:c>
    </x:row>
    <x:row r="88" ht="40.5">
      <x:c r="A88" s="2">
        <x:v>745</x:v>
      </x:c>
      <x:c r="B88" s="2">
        <x:v>1078444</x:v>
      </x:c>
      <x:c r="C88" s="2">
        <x:v>130921</x:v>
      </x:c>
      <x:c r="D88" s="2">
        <x:v>6045</x:v>
      </x:c>
      <x:c r="E88" s="2" t="s">
        <x:v>39</x:v>
      </x:c>
      <x:c r="F88" s="2" t="s">
        <x:v>193</x:v>
      </x:c>
      <x:c r="G88" s="2" t="s">
        <x:v>197</x:v>
      </x:c>
      <x:c r="H88" s="2" t="s">
        <x:v>135</x:v>
      </x:c>
      <x:c r="I88" s="2"/>
      <x:c r="J88" s="2">
        <x:v>1</x:v>
      </x:c>
      <x:c r="K88" s="2" t="s">
        <x:v>117</x:v>
      </x:c>
      <x:c r="L88" s="2" t="s">
        <x:v>110</x:v>
      </x:c>
      <x:c r="M88" s="2"/>
      <x:c r="N88" s="2">
        <x:v>31</x:v>
      </x:c>
      <x:c r="O88" s="2"/>
      <x:c r="P88" s="2"/>
      <x:c r="Q88" s="2" t="s">
        <x:v>195</x:v>
      </x:c>
      <x:c r="R88" s="2">
        <x:v>31</x:v>
      </x:c>
      <x:c r="S88" s="2" t="s">
        <x:v>195</x:v>
      </x:c>
      <x:c r="T88" s="2"/>
      <x:c r="U88" s="2"/>
      <x:c r="V88" s="2"/>
      <x:c r="W88" s="2"/>
      <x:c r="X88" s="2" t="s">
        <x:v>196</x:v>
      </x:c>
      <x:c r="Y88" s="2" t="s">
        <x:v>113</x:v>
      </x:c>
      <x:c r="Z88" s="2" t="s">
        <x:v>114</x:v>
      </x:c>
      <x:c r="AA88" s="11" t="n">
        <x:f>IFERROR(VLOOKUP(E88,Harmonization_Rules!$A$2:$B$9,2,FALSE),"")</x:f>
        <x:v>200.592</x:v>
      </x:c>
      <x:c r="AB88" s="2" t="str">
        <x:f t="shared" si="7"/>
        <x:v>ECOTOX_STANDARDIZED_TARGET_METAL</x:v>
      </x:c>
      <x:c r="AC88" s="12">
        <x:f t="shared" si="8"/>
        <x:v>3.1E-2</x:v>
      </x:c>
      <x:c r="AD88" s="12">
        <x:f t="shared" si="9"/>
        <x:v>0.15454255404004147</x:v>
      </x:c>
      <x:c r="AE88" s="12">
        <x:f t="shared" si="10"/>
        <x:v>-1.8672857898885231</x:v>
      </x:c>
      <x:c r="AF88" s="2" t="str">
        <x:f t="shared" si="11"/>
        <x:v>HARMONIZED</x:v>
      </x:c>
      <x:c r="AG88" s="2" t="str">
        <x:f>IF(E88="Cr","Cr(VI) chromate/dichromate rows are retained but molar conversion is held until source-specific compound-vs-ion basis is resolved.",IF(D88=2977,"OBrien 1988 reports total dissolved Cu LC136 values in 10^-6 M; the numeric Analysis_Point is therefore treated directly as umol Cu/L.",IF(AND(D88=6825,L88="Formulation"),"Nipper 1993 source check showed the reported concentrations are nominal Zn; formulation coding does not trigger compound-mass conversion.",IF(Y88="PRIMARY_RECOVERED","Source-recovered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8" s="2" t="str">
        <x:f t="shared" si="12"/>
        <x:v>EXPLORATORY</x:v>
      </x:c>
      <x:c r="AI88" s="2" t="str">
        <x:f t="shared" si="13"/>
        <x:v>NO</x:v>
      </x:c>
    </x:row>
    <x:row r="89" ht="40.5">
      <x:c r="A89" s="2">
        <x:v>785</x:v>
      </x:c>
      <x:c r="B89" s="2">
        <x:v>1035611</x:v>
      </x:c>
      <x:c r="C89" s="2">
        <x:v>29495</x:v>
      </x:c>
      <x:c r="D89" s="2">
        <x:v>2183</x:v>
      </x:c>
      <x:c r="E89" s="2" t="s">
        <x:v>39</x:v>
      </x:c>
      <x:c r="F89" s="2" t="s">
        <x:v>193</x:v>
      </x:c>
      <x:c r="G89" s="2" t="s">
        <x:v>129</x:v>
      </x:c>
      <x:c r="H89" s="2" t="s">
        <x:v>107</x:v>
      </x:c>
      <x:c r="I89" s="2" t="s">
        <x:v>108</x:v>
      </x:c>
      <x:c r="J89" s="2">
        <x:v>4</x:v>
      </x:c>
      <x:c r="K89" s="2" t="s">
        <x:v>117</x:v>
      </x:c>
      <x:c r="L89" s="2" t="s">
        <x:v>110</x:v>
      </x:c>
      <x:c r="M89" s="2"/>
      <x:c r="N89" s="2">
        <x:v>230</x:v>
      </x:c>
      <x:c r="O89" s="2">
        <x:v>180</x:v>
      </x:c>
      <x:c r="P89" s="2">
        <x:v>290</x:v>
      </x:c>
      <x:c r="Q89" s="2" t="s">
        <x:v>111</x:v>
      </x:c>
      <x:c r="R89" s="2">
        <x:v>230</x:v>
      </x:c>
      <x:c r="S89" s="2" t="s">
        <x:v>111</x:v>
      </x:c>
      <x:c r="T89" s="2">
        <x:v>20</x:v>
      </x:c>
      <x:c r="U89" s="2">
        <x:v>7</x:v>
      </x:c>
      <x:c r="V89" s="2">
        <x:v>8</x:v>
      </x:c>
      <x:c r="W89" s="2"/>
      <x:c r="X89" s="2" t="s">
        <x:v>130</x:v>
      </x:c>
      <x:c r="Y89" s="2" t="s">
        <x:v>113</x:v>
      </x:c>
      <x:c r="Z89" s="2" t="s">
        <x:v>114</x:v>
      </x:c>
      <x:c r="AA89" s="11" t="n">
        <x:f>IFERROR(VLOOKUP(E89,Harmonization_Rules!$A$2:$B$9,2,FALSE),"")</x:f>
        <x:v>200.592</x:v>
      </x:c>
      <x:c r="AB89" s="2" t="str">
        <x:f t="shared" si="7"/>
        <x:v>ECOTOX_STANDARDIZED_TARGET_METAL</x:v>
      </x:c>
      <x:c r="AC89" s="12">
        <x:f t="shared" si="8"/>
        <x:v>0.23</x:v>
      </x:c>
      <x:c r="AD89" s="12">
        <x:f t="shared" si="9"/>
        <x:v>1.1466060461035334</x:v>
      </x:c>
      <x:c r="AE89" s="12">
        <x:f t="shared" si="10"/>
        <x:v>0.13680631454952602</x:v>
      </x:c>
      <x:c r="AF89" s="2" t="str">
        <x:f t="shared" si="11"/>
        <x:v>HARMONIZED</x:v>
      </x:c>
      <x:c r="AG89" s="2" t="str">
        <x:f>IF(E89="Cr","Cr(VI) chromate/dichromate rows are retained but molar conversion is held until source-specific compound-vs-ion basis is resolved.",IF(D89=2977,"OBrien 1988 reports total dissolved Cu LC137 values in 10^-6 M; the numeric Analysis_Point is therefore treated directly as umol Cu/L.",IF(AND(D89=6825,L89="Formulation"),"Nipper 1993 source check showed the reported concentrations are nominal Zn; formulation coding does not trigger compound-mass conversion.",IF(Y89="PRIMARY_RECOVERED","Source-recovered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89" s="2" t="str">
        <x:f t="shared" si="12"/>
        <x:v>EXPLORATORY</x:v>
      </x:c>
      <x:c r="AI89" s="2" t="str">
        <x:f t="shared" si="13"/>
        <x:v>NO</x:v>
      </x:c>
    </x:row>
    <x:row r="90" ht="40.5">
      <x:c r="A90" s="2">
        <x:v>788</x:v>
      </x:c>
      <x:c r="B90" s="2">
        <x:v>1078429</x:v>
      </x:c>
      <x:c r="C90" s="2">
        <x:v>100481</x:v>
      </x:c>
      <x:c r="D90" s="2">
        <x:v>6045</x:v>
      </x:c>
      <x:c r="E90" s="2" t="s">
        <x:v>39</x:v>
      </x:c>
      <x:c r="F90" s="2" t="s">
        <x:v>193</x:v>
      </x:c>
      <x:c r="G90" s="2" t="s">
        <x:v>134</x:v>
      </x:c>
      <x:c r="H90" s="2" t="s">
        <x:v>135</x:v>
      </x:c>
      <x:c r="I90" s="2" t="s">
        <x:v>125</x:v>
      </x:c>
      <x:c r="J90" s="2">
        <x:v>1</x:v>
      </x:c>
      <x:c r="K90" s="2" t="s">
        <x:v>117</x:v>
      </x:c>
      <x:c r="L90" s="2" t="s">
        <x:v>110</x:v>
      </x:c>
      <x:c r="M90" s="2"/>
      <x:c r="N90" s="2">
        <x:v>3</x:v>
      </x:c>
      <x:c r="O90" s="2"/>
      <x:c r="P90" s="2"/>
      <x:c r="Q90" s="2" t="s">
        <x:v>195</x:v>
      </x:c>
      <x:c r="R90" s="2">
        <x:v>3</x:v>
      </x:c>
      <x:c r="S90" s="2" t="s">
        <x:v>195</x:v>
      </x:c>
      <x:c r="T90" s="2"/>
      <x:c r="U90" s="2"/>
      <x:c r="V90" s="2"/>
      <x:c r="W90" s="2"/>
      <x:c r="X90" s="2" t="s">
        <x:v>196</x:v>
      </x:c>
      <x:c r="Y90" s="2" t="s">
        <x:v>113</x:v>
      </x:c>
      <x:c r="Z90" s="2" t="s">
        <x:v>114</x:v>
      </x:c>
      <x:c r="AA90" s="11" t="n">
        <x:f>IFERROR(VLOOKUP(E90,Harmonization_Rules!$A$2:$B$9,2,FALSE),"")</x:f>
        <x:v>200.592</x:v>
      </x:c>
      <x:c r="AB90" s="2" t="str">
        <x:f t="shared" si="7"/>
        <x:v>ECOTOX_STANDARDIZED_TARGET_METAL</x:v>
      </x:c>
      <x:c r="AC90" s="12">
        <x:f t="shared" si="8"/>
        <x:v>3.0000000000000001E-3</x:v>
      </x:c>
      <x:c r="AD90" s="12">
        <x:f t="shared" si="9"/>
        <x:v>1.4955731036133044E-2</x:v>
      </x:c>
      <x:c r="AE90" s="12">
        <x:f t="shared" si="10"/>
        <x:v>-4.2026607057055596</x:v>
      </x:c>
      <x:c r="AF90" s="2" t="str">
        <x:f t="shared" si="11"/>
        <x:v>HARMONIZED</x:v>
      </x:c>
      <x:c r="AG90" s="2" t="str">
        <x:f>IF(E90="Cr","Cr(VI) chromate/dichromate rows are retained but molar conversion is held until source-specific compound-vs-ion basis is resolved.",IF(D90=2977,"OBrien 1988 reports total dissolved Cu LC138 values in 10^-6 M; the numeric Analysis_Point is therefore treated directly as umol Cu/L.",IF(AND(D90=6825,L90="Formulation"),"Nipper 1993 source check showed the reported concentrations are nominal Zn; formulation coding does not trigger compound-mass conversion.",IF(Y90="PRIMARY_RECOVERED","Source-recovered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0" s="2" t="str">
        <x:f t="shared" si="12"/>
        <x:v>EXPLORATORY</x:v>
      </x:c>
      <x:c r="AI90" s="2" t="str">
        <x:f t="shared" si="13"/>
        <x:v>NO</x:v>
      </x:c>
    </x:row>
    <x:row r="91" ht="40.5">
      <x:c r="A91" s="2">
        <x:v>789</x:v>
      </x:c>
      <x:c r="B91" s="2">
        <x:v>1078428</x:v>
      </x:c>
      <x:c r="C91" s="2">
        <x:v>94768</x:v>
      </x:c>
      <x:c r="D91" s="2">
        <x:v>6045</x:v>
      </x:c>
      <x:c r="E91" s="2" t="s">
        <x:v>39</x:v>
      </x:c>
      <x:c r="F91" s="2" t="s">
        <x:v>193</x:v>
      </x:c>
      <x:c r="G91" s="2" t="s">
        <x:v>134</x:v>
      </x:c>
      <x:c r="H91" s="2" t="s">
        <x:v>135</x:v>
      </x:c>
      <x:c r="I91" s="2" t="s">
        <x:v>108</x:v>
      </x:c>
      <x:c r="J91" s="2">
        <x:v>1</x:v>
      </x:c>
      <x:c r="K91" s="2" t="s">
        <x:v>117</x:v>
      </x:c>
      <x:c r="L91" s="2" t="s">
        <x:v>110</x:v>
      </x:c>
      <x:c r="M91" s="2"/>
      <x:c r="N91" s="2">
        <x:v>34</x:v>
      </x:c>
      <x:c r="O91" s="2"/>
      <x:c r="P91" s="2"/>
      <x:c r="Q91" s="2" t="s">
        <x:v>195</x:v>
      </x:c>
      <x:c r="R91" s="2">
        <x:v>34</x:v>
      </x:c>
      <x:c r="S91" s="2" t="s">
        <x:v>195</x:v>
      </x:c>
      <x:c r="T91" s="2"/>
      <x:c r="U91" s="2"/>
      <x:c r="V91" s="2"/>
      <x:c r="W91" s="2"/>
      <x:c r="X91" s="2" t="s">
        <x:v>196</x:v>
      </x:c>
      <x:c r="Y91" s="2" t="s">
        <x:v>113</x:v>
      </x:c>
      <x:c r="Z91" s="2" t="s">
        <x:v>114</x:v>
      </x:c>
      <x:c r="AA91" s="11" t="n">
        <x:f>IFERROR(VLOOKUP(E91,Harmonization_Rules!$A$2:$B$9,2,FALSE),"")</x:f>
        <x:v>200.592</x:v>
      </x:c>
      <x:c r="AB91" s="2" t="str">
        <x:f t="shared" si="7"/>
        <x:v>ECOTOX_STANDARDIZED_TARGET_METAL</x:v>
      </x:c>
      <x:c r="AC91" s="12">
        <x:f t="shared" si="8"/>
        <x:v>3.4000000000000002E-2</x:v>
      </x:c>
      <x:c r="AD91" s="12">
        <x:f t="shared" si="9"/>
        <x:v>0.16949828507617451</x:v>
      </x:c>
      <x:c r="AE91" s="12">
        <x:f t="shared" si="10"/>
        <x:v>-1.774912469757508</x:v>
      </x:c>
      <x:c r="AF91" s="2" t="str">
        <x:f t="shared" si="11"/>
        <x:v>HARMONIZED</x:v>
      </x:c>
      <x:c r="AG91" s="2" t="str">
        <x:f>IF(E91="Cr","Cr(VI) chromate/dichromate rows are retained but molar conversion is held until source-specific compound-vs-ion basis is resolved.",IF(D91=2977,"OBrien 1988 reports total dissolved Cu LC139 values in 10^-6 M; the numeric Analysis_Point is therefore treated directly as umol Cu/L.",IF(AND(D91=6825,L91="Formulation"),"Nipper 1993 source check showed the reported concentrations are nominal Zn; formulation coding does not trigger compound-mass conversion.",IF(Y91="PRIMARY_RECOVERED","Source-recovered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1" s="2" t="str">
        <x:f t="shared" si="12"/>
        <x:v>EXPLORATORY</x:v>
      </x:c>
      <x:c r="AI91" s="2" t="str">
        <x:f t="shared" si="13"/>
        <x:v>NO</x:v>
      </x:c>
    </x:row>
    <x:row r="92" ht="40.5">
      <x:c r="A92" s="2">
        <x:v>807</x:v>
      </x:c>
      <x:c r="B92" s="2">
        <x:v>1070631</x:v>
      </x:c>
      <x:c r="C92" s="2">
        <x:v>12736</x:v>
      </x:c>
      <x:c r="D92" s="2">
        <x:v>5563</x:v>
      </x:c>
      <x:c r="E92" s="2" t="s">
        <x:v>21</x:v>
      </x:c>
      <x:c r="F92" s="2" t="s">
        <x:v>198</x:v>
      </x:c>
      <x:c r="G92" s="2" t="s">
        <x:v>199</x:v>
      </x:c>
      <x:c r="H92" s="2" t="s">
        <x:v>107</x:v>
      </x:c>
      <x:c r="I92" s="2" t="s">
        <x:v>159</x:v>
      </x:c>
      <x:c r="J92" s="2">
        <x:v>1</x:v>
      </x:c>
      <x:c r="K92" s="2" t="s">
        <x:v>117</x:v>
      </x:c>
      <x:c r="L92" s="2" t="s">
        <x:v>110</x:v>
      </x:c>
      <x:c r="M92" s="2"/>
      <x:c r="N92" s="2">
        <x:v>1090</x:v>
      </x:c>
      <x:c r="O92" s="2">
        <x:v>900</x:v>
      </x:c>
      <x:c r="P92" s="2">
        <x:v>1290</x:v>
      </x:c>
      <x:c r="Q92" s="2" t="s">
        <x:v>111</x:v>
      </x:c>
      <x:c r="R92" s="2">
        <x:v>1090</x:v>
      </x:c>
      <x:c r="S92" s="2" t="s">
        <x:v>111</x:v>
      </x:c>
      <x:c r="T92" s="2">
        <x:v>17</x:v>
      </x:c>
      <x:c r="U92" s="2"/>
      <x:c r="V92" s="2"/>
      <x:c r="W92" s="2"/>
      <x:c r="X92" s="2" t="s">
        <x:v>200</x:v>
      </x:c>
      <x:c r="Y92" s="2" t="s">
        <x:v>113</x:v>
      </x:c>
      <x:c r="Z92" s="2" t="s">
        <x:v>114</x:v>
      </x:c>
      <x:c r="AA92" s="11" t="n">
        <x:f>IFERROR(VLOOKUP(E92,Harmonization_Rules!$A$2:$B$9,2,FALSE),"")</x:f>
        <x:v>65.38</x:v>
      </x:c>
      <x:c r="AB92" s="2" t="str">
        <x:f t="shared" si="7"/>
        <x:v>ECOTOX_STANDARDIZED_TARGET_METAL</x:v>
      </x:c>
      <x:c r="AC92" s="12">
        <x:f t="shared" si="8"/>
        <x:v>1.0900000000000001</x:v>
      </x:c>
      <x:c r="AD92" s="12">
        <x:f t="shared" si="9"/>
        <x:v>16.67176506576935</x:v>
      </x:c>
      <x:c r="AE92" s="12">
        <x:f t="shared" si="10"/>
        <x:v>2.8137165739271248</x:v>
      </x:c>
      <x:c r="AF92" s="2" t="str">
        <x:f t="shared" si="11"/>
        <x:v>HARMONIZED</x:v>
      </x:c>
      <x:c r="AG92" s="2" t="str">
        <x:f>IF(E92="Cr","Cr(VI) chromate/dichromate rows are retained but molar conversion is held until source-specific compound-vs-ion basis is resolved.",IF(D92=2977,"OBrien 1988 reports total dissolved Cu LC140 values in 10^-6 M; the numeric Analysis_Point is therefore treated directly as umol Cu/L.",IF(AND(D92=6825,L92="Formulation"),"Nipper 1993 source check showed the reported concentrations are nominal Zn; formulation coding does not trigger compound-mass conversion.",IF(Y92="PRIMARY_RECOVERED","Source-recovered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2" s="2" t="str">
        <x:f t="shared" si="12"/>
        <x:v>CORE</x:v>
      </x:c>
      <x:c r="AI92" s="2" t="str">
        <x:f t="shared" si="13"/>
        <x:v>YES</x:v>
      </x:c>
    </x:row>
    <x:row r="93" ht="40.5">
      <x:c r="A93" s="2">
        <x:v>818</x:v>
      </x:c>
      <x:c r="B93" s="2">
        <x:v>1053651</x:v>
      </x:c>
      <x:c r="C93" s="2">
        <x:v>133692</x:v>
      </x:c>
      <x:c r="D93" s="2">
        <x:v>3744</x:v>
      </x:c>
      <x:c r="E93" s="2" t="s">
        <x:v>21</x:v>
      </x:c>
      <x:c r="F93" s="2" t="s">
        <x:v>198</x:v>
      </x:c>
      <x:c r="G93" s="2" t="s">
        <x:v>146</x:v>
      </x:c>
      <x:c r="H93" s="2" t="s">
        <x:v>135</x:v>
      </x:c>
      <x:c r="I93" s="2" t="s">
        <x:v>108</x:v>
      </x:c>
      <x:c r="J93" s="2">
        <x:v>3</x:v>
      </x:c>
      <x:c r="K93" s="2" t="s">
        <x:v>117</x:v>
      </x:c>
      <x:c r="L93" s="2" t="s">
        <x:v>110</x:v>
      </x:c>
      <x:c r="M93" s="2"/>
      <x:c r="N93" s="2">
        <x:v>3150</x:v>
      </x:c>
      <x:c r="O93" s="2">
        <x:v>2475</x:v>
      </x:c>
      <x:c r="P93" s="2">
        <x:v>4142</x:v>
      </x:c>
      <x:c r="Q93" s="2" t="s">
        <x:v>111</x:v>
      </x:c>
      <x:c r="R93" s="2">
        <x:v>3150</x:v>
      </x:c>
      <x:c r="S93" s="2" t="s">
        <x:v>111</x:v>
      </x:c>
      <x:c r="T93" s="2">
        <x:v>15</x:v>
      </x:c>
      <x:c r="U93" s="2">
        <x:v>30</x:v>
      </x:c>
      <x:c r="V93" s="2"/>
      <x:c r="W93" s="2"/>
      <x:c r="X93" s="2" t="s">
        <x:v>201</x:v>
      </x:c>
      <x:c r="Y93" s="2" t="s">
        <x:v>113</x:v>
      </x:c>
      <x:c r="Z93" s="2" t="s">
        <x:v>114</x:v>
      </x:c>
      <x:c r="AA93" s="11" t="n">
        <x:f>IFERROR(VLOOKUP(E93,Harmonization_Rules!$A$2:$B$9,2,FALSE),"")</x:f>
        <x:v>65.38</x:v>
      </x:c>
      <x:c r="AB93" s="2" t="str">
        <x:f t="shared" si="7"/>
        <x:v>ECOTOX_STANDARDIZED_TARGET_METAL</x:v>
      </x:c>
      <x:c r="AC93" s="12">
        <x:f t="shared" si="8"/>
        <x:v>3.15</x:v>
      </x:c>
      <x:c r="AD93" s="12">
        <x:f t="shared" si="9"/>
        <x:v>48.179871520342616</x:v>
      </x:c>
      <x:c r="AE93" s="12">
        <x:f t="shared" si="10"/>
        <x:v>3.8749413305236144</x:v>
      </x:c>
      <x:c r="AF93" s="2" t="str">
        <x:f t="shared" si="11"/>
        <x:v>HARMONIZED</x:v>
      </x:c>
      <x:c r="AG93" s="2" t="str">
        <x:f>IF(E93="Cr","Cr(VI) chromate/dichromate rows are retained but molar conversion is held until source-specific compound-vs-ion basis is resolved.",IF(D93=2977,"OBrien 1988 reports total dissolved Cu LC141 values in 10^-6 M; the numeric Analysis_Point is therefore treated directly as umol Cu/L.",IF(AND(D93=6825,L93="Formulation"),"Nipper 1993 source check showed the reported concentrations are nominal Zn; formulation coding does not trigger compound-mass conversion.",IF(Y93="PRIMARY_RECOVERED","Source-recovered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3" s="2" t="str">
        <x:f t="shared" si="12"/>
        <x:v>CORE</x:v>
      </x:c>
      <x:c r="AI93" s="2" t="str">
        <x:f t="shared" si="13"/>
        <x:v>YES</x:v>
      </x:c>
    </x:row>
    <x:row r="94" ht="40.5">
      <x:c r="A94" s="2">
        <x:v>822</x:v>
      </x:c>
      <x:c r="B94" s="2">
        <x:v>1053652</x:v>
      </x:c>
      <x:c r="C94" s="2">
        <x:v>133693</x:v>
      </x:c>
      <x:c r="D94" s="2">
        <x:v>3744</x:v>
      </x:c>
      <x:c r="E94" s="2" t="s">
        <x:v>21</x:v>
      </x:c>
      <x:c r="F94" s="2" t="s">
        <x:v>198</x:v>
      </x:c>
      <x:c r="G94" s="2" t="s">
        <x:v>146</x:v>
      </x:c>
      <x:c r="H94" s="2" t="s">
        <x:v>135</x:v>
      </x:c>
      <x:c r="I94" s="2" t="s">
        <x:v>108</x:v>
      </x:c>
      <x:c r="J94" s="2">
        <x:v>4</x:v>
      </x:c>
      <x:c r="K94" s="2" t="s">
        <x:v>117</x:v>
      </x:c>
      <x:c r="L94" s="2" t="s">
        <x:v>110</x:v>
      </x:c>
      <x:c r="M94" s="2"/>
      <x:c r="N94" s="2">
        <x:v>1783</x:v>
      </x:c>
      <x:c r="O94" s="2"/>
      <x:c r="P94" s="2"/>
      <x:c r="Q94" s="2" t="s">
        <x:v>111</x:v>
      </x:c>
      <x:c r="R94" s="2">
        <x:v>1783</x:v>
      </x:c>
      <x:c r="S94" s="2" t="s">
        <x:v>111</x:v>
      </x:c>
      <x:c r="T94" s="2">
        <x:v>15</x:v>
      </x:c>
      <x:c r="U94" s="2">
        <x:v>30</x:v>
      </x:c>
      <x:c r="V94" s="2"/>
      <x:c r="W94" s="2"/>
      <x:c r="X94" s="2" t="s">
        <x:v>201</x:v>
      </x:c>
      <x:c r="Y94" s="2" t="s">
        <x:v>113</x:v>
      </x:c>
      <x:c r="Z94" s="2" t="s">
        <x:v>114</x:v>
      </x:c>
      <x:c r="AA94" s="11" t="n">
        <x:f>IFERROR(VLOOKUP(E94,Harmonization_Rules!$A$2:$B$9,2,FALSE),"")</x:f>
        <x:v>65.38</x:v>
      </x:c>
      <x:c r="AB94" s="2" t="str">
        <x:f t="shared" si="7"/>
        <x:v>ECOTOX_STANDARDIZED_TARGET_METAL</x:v>
      </x:c>
      <x:c r="AC94" s="12">
        <x:f t="shared" si="8"/>
        <x:v>1.7829999999999999</x:v>
      </x:c>
      <x:c r="AD94" s="12">
        <x:f t="shared" si="9"/>
        <x:v>27.271336800244725</x:v>
      </x:c>
      <x:c r="AE94" s="12">
        <x:f t="shared" si="10"/>
        <x:v>3.305836216567076</x:v>
      </x:c>
      <x:c r="AF94" s="2" t="str">
        <x:f t="shared" si="11"/>
        <x:v>HARMONIZED</x:v>
      </x:c>
      <x:c r="AG94" s="2" t="str">
        <x:f>IF(E94="Cr","Cr(VI) chromate/dichromate rows are retained but molar conversion is held until source-specific compound-vs-ion basis is resolved.",IF(D94=2977,"OBrien 1988 reports total dissolved Cu LC142 values in 10^-6 M; the numeric Analysis_Point is therefore treated directly as umol Cu/L.",IF(AND(D94=6825,L94="Formulation"),"Nipper 1993 source check showed the reported concentrations are nominal Zn; formulation coding does not trigger compound-mass conversion.",IF(Y94="PRIMARY_RECOVERED","Source-recovered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4" s="2" t="str">
        <x:f t="shared" si="12"/>
        <x:v>CORE</x:v>
      </x:c>
      <x:c r="AI94" s="2" t="str">
        <x:f t="shared" si="13"/>
        <x:v>YES</x:v>
      </x:c>
    </x:row>
    <x:row r="95" ht="40.5">
      <x:c r="A95" s="2">
        <x:v>827</x:v>
      </x:c>
      <x:c r="B95" s="2">
        <x:v>1070630</x:v>
      </x:c>
      <x:c r="C95" s="2">
        <x:v>12735</x:v>
      </x:c>
      <x:c r="D95" s="2">
        <x:v>5563</x:v>
      </x:c>
      <x:c r="E95" s="2" t="s">
        <x:v>21</x:v>
      </x:c>
      <x:c r="F95" s="2" t="s">
        <x:v>198</x:v>
      </x:c>
      <x:c r="G95" s="2" t="s">
        <x:v>202</x:v>
      </x:c>
      <x:c r="H95" s="2" t="s">
        <x:v>135</x:v>
      </x:c>
      <x:c r="I95" s="2" t="s">
        <x:v>159</x:v>
      </x:c>
      <x:c r="J95" s="2">
        <x:v>1</x:v>
      </x:c>
      <x:c r="K95" s="2" t="s">
        <x:v>117</x:v>
      </x:c>
      <x:c r="L95" s="2" t="s">
        <x:v>110</x:v>
      </x:c>
      <x:c r="M95" s="2"/>
      <x:c r="N95" s="2">
        <x:v>1380</x:v>
      </x:c>
      <x:c r="O95" s="2">
        <x:v>1060</x:v>
      </x:c>
      <x:c r="P95" s="2">
        <x:v>1750</x:v>
      </x:c>
      <x:c r="Q95" s="2" t="s">
        <x:v>111</x:v>
      </x:c>
      <x:c r="R95" s="2">
        <x:v>1380</x:v>
      </x:c>
      <x:c r="S95" s="2" t="s">
        <x:v>111</x:v>
      </x:c>
      <x:c r="T95" s="2">
        <x:v>17</x:v>
      </x:c>
      <x:c r="U95" s="2"/>
      <x:c r="V95" s="2"/>
      <x:c r="W95" s="2"/>
      <x:c r="X95" s="2" t="s">
        <x:v>200</x:v>
      </x:c>
      <x:c r="Y95" s="2" t="s">
        <x:v>113</x:v>
      </x:c>
      <x:c r="Z95" s="2" t="s">
        <x:v>114</x:v>
      </x:c>
      <x:c r="AA95" s="11" t="n">
        <x:f>IFERROR(VLOOKUP(E95,Harmonization_Rules!$A$2:$B$9,2,FALSE),"")</x:f>
        <x:v>65.38</x:v>
      </x:c>
      <x:c r="AB95" s="2" t="str">
        <x:f t="shared" si="7"/>
        <x:v>ECOTOX_STANDARDIZED_TARGET_METAL</x:v>
      </x:c>
      <x:c r="AC95" s="12">
        <x:f t="shared" si="8"/>
        <x:v>1.38</x:v>
      </x:c>
      <x:c r="AD95" s="12">
        <x:f t="shared" si="9"/>
        <x:v>21.107372285102478</x:v>
      </x:c>
      <x:c r="AE95" s="12">
        <x:f t="shared" si="10"/>
        <x:v>3.049622376855186</x:v>
      </x:c>
      <x:c r="AF95" s="2" t="str">
        <x:f t="shared" si="11"/>
        <x:v>HARMONIZED</x:v>
      </x:c>
      <x:c r="AG95" s="2" t="str">
        <x:f>IF(E95="Cr","Cr(VI) chromate/dichromate rows are retained but molar conversion is held until source-specific compound-vs-ion basis is resolved.",IF(D95=2977,"OBrien 1988 reports total dissolved Cu LC143 values in 10^-6 M; the numeric Analysis_Point is therefore treated directly as umol Cu/L.",IF(AND(D95=6825,L95="Formulation"),"Nipper 1993 source check showed the reported concentrations are nominal Zn; formulation coding does not trigger compound-mass conversion.",IF(Y95="PRIMARY_RECOVERED","Source-recovered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5" s="2" t="str">
        <x:f t="shared" si="12"/>
        <x:v>CORE</x:v>
      </x:c>
      <x:c r="AI95" s="2" t="str">
        <x:f t="shared" si="13"/>
        <x:v>YES</x:v>
      </x:c>
    </x:row>
    <x:row r="96" ht="40.5">
      <x:c r="A96" s="2">
        <x:v>832</x:v>
      </x:c>
      <x:c r="B96" s="2">
        <x:v>1070629</x:v>
      </x:c>
      <x:c r="C96" s="2">
        <x:v>12734</x:v>
      </x:c>
      <x:c r="D96" s="2">
        <x:v>5563</x:v>
      </x:c>
      <x:c r="E96" s="2" t="s">
        <x:v>21</x:v>
      </x:c>
      <x:c r="F96" s="2" t="s">
        <x:v>198</x:v>
      </x:c>
      <x:c r="G96" s="2" t="s">
        <x:v>203</x:v>
      </x:c>
      <x:c r="H96" s="2" t="s">
        <x:v>135</x:v>
      </x:c>
      <x:c r="I96" s="2" t="s">
        <x:v>159</x:v>
      </x:c>
      <x:c r="J96" s="2">
        <x:v>1</x:v>
      </x:c>
      <x:c r="K96" s="2" t="s">
        <x:v>117</x:v>
      </x:c>
      <x:c r="L96" s="2" t="s">
        <x:v>110</x:v>
      </x:c>
      <x:c r="M96" s="2"/>
      <x:c r="N96" s="2">
        <x:v>1860</x:v>
      </x:c>
      <x:c r="O96" s="2">
        <x:v>1470</x:v>
      </x:c>
      <x:c r="P96" s="2">
        <x:v>3880</x:v>
      </x:c>
      <x:c r="Q96" s="2" t="s">
        <x:v>111</x:v>
      </x:c>
      <x:c r="R96" s="2">
        <x:v>1860</x:v>
      </x:c>
      <x:c r="S96" s="2" t="s">
        <x:v>111</x:v>
      </x:c>
      <x:c r="T96" s="2">
        <x:v>17</x:v>
      </x:c>
      <x:c r="U96" s="2"/>
      <x:c r="V96" s="2"/>
      <x:c r="W96" s="2"/>
      <x:c r="X96" s="2" t="s">
        <x:v>200</x:v>
      </x:c>
      <x:c r="Y96" s="2" t="s">
        <x:v>113</x:v>
      </x:c>
      <x:c r="Z96" s="2" t="s">
        <x:v>114</x:v>
      </x:c>
      <x:c r="AA96" s="11" t="n">
        <x:f>IFERROR(VLOOKUP(E96,Harmonization_Rules!$A$2:$B$9,2,FALSE),"")</x:f>
        <x:v>65.38</x:v>
      </x:c>
      <x:c r="AB96" s="2" t="str">
        <x:f t="shared" si="7"/>
        <x:v>ECOTOX_STANDARDIZED_TARGET_METAL</x:v>
      </x:c>
      <x:c r="AC96" s="12">
        <x:f t="shared" si="8"/>
        <x:v>1.86</x:v>
      </x:c>
      <x:c r="AD96" s="12">
        <x:f t="shared" si="9"/>
        <x:v>28.449066992964212</x:v>
      </x:c>
      <x:c r="AE96" s="12">
        <x:f t="shared" si="10"/>
        <x:v>3.3481153654111826</x:v>
      </x:c>
      <x:c r="AF96" s="2" t="str">
        <x:f t="shared" si="11"/>
        <x:v>HARMONIZED</x:v>
      </x:c>
      <x:c r="AG96" s="2" t="str">
        <x:f>IF(E96="Cr","Cr(VI) chromate/dichromate rows are retained but molar conversion is held until source-specific compound-vs-ion basis is resolved.",IF(D96=2977,"OBrien 1988 reports total dissolved Cu LC144 values in 10^-6 M; the numeric Analysis_Point is therefore treated directly as umol Cu/L.",IF(AND(D96=6825,L96="Formulation"),"Nipper 1993 source check showed the reported concentrations are nominal Zn; formulation coding does not trigger compound-mass conversion.",IF(Y96="PRIMARY_RECOVERED","Source-recovered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6" s="2" t="str">
        <x:f t="shared" si="12"/>
        <x:v>CORE</x:v>
      </x:c>
      <x:c r="AI96" s="2" t="str">
        <x:f t="shared" si="13"/>
        <x:v>YES</x:v>
      </x:c>
    </x:row>
    <x:row r="97" ht="40.5">
      <x:c r="A97" s="2">
        <x:v>863</x:v>
      </x:c>
      <x:c r="B97" s="2">
        <x:v>2145457</x:v>
      </x:c>
      <x:c r="C97" s="2">
        <x:v>2274200</x:v>
      </x:c>
      <x:c r="D97" s="2">
        <x:v>169337</x:v>
      </x:c>
      <x:c r="E97" s="2" t="s">
        <x:v>21</x:v>
      </x:c>
      <x:c r="F97" s="2" t="s">
        <x:v>198</x:v>
      </x:c>
      <x:c r="G97" s="2" t="s">
        <x:v>129</x:v>
      </x:c>
      <x:c r="H97" s="2" t="s">
        <x:v>107</x:v>
      </x:c>
      <x:c r="I97" s="2"/>
      <x:c r="J97" s="2">
        <x:v>4</x:v>
      </x:c>
      <x:c r="K97" s="2" t="s">
        <x:v>117</x:v>
      </x:c>
      <x:c r="L97" s="2" t="s">
        <x:v>110</x:v>
      </x:c>
      <x:c r="M97" s="2"/>
      <x:c r="N97" s="2">
        <x:v>890</x:v>
      </x:c>
      <x:c r="O97" s="2">
        <x:v>750</x:v>
      </x:c>
      <x:c r="P97" s="2">
        <x:v>1100</x:v>
      </x:c>
      <x:c r="Q97" s="2" t="s">
        <x:v>111</x:v>
      </x:c>
      <x:c r="R97" s="2">
        <x:v>890</x:v>
      </x:c>
      <x:c r="S97" s="2" t="s">
        <x:v>111</x:v>
      </x:c>
      <x:c r="T97" s="2">
        <x:v>22</x:v>
      </x:c>
      <x:c r="U97" s="2">
        <x:v>7</x:v>
      </x:c>
      <x:c r="V97" s="2">
        <x:v>8.1999999999999993</x:v>
      </x:c>
      <x:c r="W97" s="2"/>
      <x:c r="X97" s="2" t="s">
        <x:v>191</x:v>
      </x:c>
      <x:c r="Y97" s="2" t="s">
        <x:v>113</x:v>
      </x:c>
      <x:c r="Z97" s="2" t="s">
        <x:v>114</x:v>
      </x:c>
      <x:c r="AA97" s="11" t="n">
        <x:f>IFERROR(VLOOKUP(E97,Harmonization_Rules!$A$2:$B$9,2,FALSE),"")</x:f>
        <x:v>65.38</x:v>
      </x:c>
      <x:c r="AB97" s="2" t="str">
        <x:f t="shared" si="7"/>
        <x:v>ECOTOX_STANDARDIZED_TARGET_METAL</x:v>
      </x:c>
      <x:c r="AC97" s="12">
        <x:f t="shared" si="8"/>
        <x:v>0.89</x:v>
      </x:c>
      <x:c r="AD97" s="12">
        <x:f t="shared" si="9"/>
        <x:v>13.612725604160294</x:v>
      </x:c>
      <x:c r="AE97" s="12">
        <x:f t="shared" si="10"/>
        <x:v>2.611005061430121</x:v>
      </x:c>
      <x:c r="AF97" s="2" t="str">
        <x:f t="shared" si="11"/>
        <x:v>HARMONIZED</x:v>
      </x:c>
      <x:c r="AG97" s="2" t="str">
        <x:f>IF(E97="Cr","Cr(VI) chromate/dichromate rows are retained but molar conversion is held until source-specific compound-vs-ion basis is resolved.",IF(D97=2977,"OBrien 1988 reports total dissolved Cu LC145 values in 10^-6 M; the numeric Analysis_Point is therefore treated directly as umol Cu/L.",IF(AND(D97=6825,L97="Formulation"),"Nipper 1993 source check showed the reported concentrations are nominal Zn; formulation coding does not trigger compound-mass conversion.",IF(Y97="PRIMARY_RECOVERED","Source-recovered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7" s="2" t="str">
        <x:f t="shared" si="12"/>
        <x:v>CORE</x:v>
      </x:c>
      <x:c r="AI97" s="2" t="str">
        <x:f t="shared" si="13"/>
        <x:v>YES</x:v>
      </x:c>
    </x:row>
    <x:row r="98" ht="40.5">
      <x:c r="A98" s="2">
        <x:v>871</x:v>
      </x:c>
      <x:c r="B98" s="2">
        <x:v>1053649</x:v>
      </x:c>
      <x:c r="C98" s="2">
        <x:v>133690</x:v>
      </x:c>
      <x:c r="D98" s="2">
        <x:v>3744</x:v>
      </x:c>
      <x:c r="E98" s="2" t="s">
        <x:v>21</x:v>
      </x:c>
      <x:c r="F98" s="2" t="s">
        <x:v>198</x:v>
      </x:c>
      <x:c r="G98" s="2" t="s">
        <x:v>141</x:v>
      </x:c>
      <x:c r="H98" s="2" t="s">
        <x:v>135</x:v>
      </x:c>
      <x:c r="I98" s="2" t="s">
        <x:v>108</x:v>
      </x:c>
      <x:c r="J98" s="2">
        <x:v>4</x:v>
      </x:c>
      <x:c r="K98" s="2" t="s">
        <x:v>117</x:v>
      </x:c>
      <x:c r="L98" s="2" t="s">
        <x:v>110</x:v>
      </x:c>
      <x:c r="M98" s="2"/>
      <x:c r="N98" s="2">
        <x:v>950</x:v>
      </x:c>
      <x:c r="O98" s="2"/>
      <x:c r="P98" s="2"/>
      <x:c r="Q98" s="2" t="s">
        <x:v>111</x:v>
      </x:c>
      <x:c r="R98" s="2">
        <x:v>950</x:v>
      </x:c>
      <x:c r="S98" s="2" t="s">
        <x:v>111</x:v>
      </x:c>
      <x:c r="T98" s="2">
        <x:v>10</x:v>
      </x:c>
      <x:c r="U98" s="2">
        <x:v>30</x:v>
      </x:c>
      <x:c r="V98" s="2"/>
      <x:c r="W98" s="2"/>
      <x:c r="X98" s="2" t="s">
        <x:v>201</x:v>
      </x:c>
      <x:c r="Y98" s="2" t="s">
        <x:v>113</x:v>
      </x:c>
      <x:c r="Z98" s="2" t="s">
        <x:v>114</x:v>
      </x:c>
      <x:c r="AA98" s="11" t="n">
        <x:f>IFERROR(VLOOKUP(E98,Harmonization_Rules!$A$2:$B$9,2,FALSE),"")</x:f>
        <x:v>65.38</x:v>
      </x:c>
      <x:c r="AB98" s="2" t="str">
        <x:f t="shared" si="7"/>
        <x:v>ECOTOX_STANDARDIZED_TARGET_METAL</x:v>
      </x:c>
      <x:c r="AC98" s="12">
        <x:f t="shared" si="8"/>
        <x:v>0.95</x:v>
      </x:c>
      <x:c r="AD98" s="12">
        <x:f t="shared" si="9"/>
        <x:v>14.530437442643011</x:v>
      </x:c>
      <x:c r="AE98" s="12">
        <x:f t="shared" si="10"/>
        <x:v>2.6762455832985221</x:v>
      </x:c>
      <x:c r="AF98" s="2" t="str">
        <x:f t="shared" si="11"/>
        <x:v>HARMONIZED</x:v>
      </x:c>
      <x:c r="AG98" s="2" t="str">
        <x:f>IF(E98="Cr","Cr(VI) chromate/dichromate rows are retained but molar conversion is held until source-specific compound-vs-ion basis is resolved.",IF(D98=2977,"OBrien 1988 reports total dissolved Cu LC146 values in 10^-6 M; the numeric Analysis_Point is therefore treated directly as umol Cu/L.",IF(AND(D98=6825,L98="Formulation"),"Nipper 1993 source check showed the reported concentrations are nominal Zn; formulation coding does not trigger compound-mass conversion.",IF(Y98="PRIMARY_RECOVERED","Source-recovered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8" s="2" t="str">
        <x:f t="shared" si="12"/>
        <x:v>CORE</x:v>
      </x:c>
      <x:c r="AI98" s="2" t="str">
        <x:f t="shared" si="13"/>
        <x:v>YES</x:v>
      </x:c>
    </x:row>
    <x:row r="99" ht="67.5">
      <x:c r="A99" s="2">
        <x:v>875</x:v>
      </x:c>
      <x:c r="B99" s="2">
        <x:v>1295983</x:v>
      </x:c>
      <x:c r="C99" s="2">
        <x:v>751247</x:v>
      </x:c>
      <x:c r="D99" s="2">
        <x:v>111315</x:v>
      </x:c>
      <x:c r="E99" s="2" t="s">
        <x:v>21</x:v>
      </x:c>
      <x:c r="F99" s="2" t="s">
        <x:v>198</x:v>
      </x:c>
      <x:c r="G99" s="2" t="s">
        <x:v>106</x:v>
      </x:c>
      <x:c r="H99" s="2" t="s">
        <x:v>107</x:v>
      </x:c>
      <x:c r="I99" s="2" t="s">
        <x:v>108</x:v>
      </x:c>
      <x:c r="J99" s="2">
        <x:v>4</x:v>
      </x:c>
      <x:c r="K99" s="2" t="s">
        <x:v>126</x:v>
      </x:c>
      <x:c r="L99" s="2" t="s">
        <x:v>110</x:v>
      </x:c>
      <x:c r="M99" s="2"/>
      <x:c r="N99" s="2">
        <x:v>7.8</x:v>
      </x:c>
      <x:c r="O99" s="2">
        <x:v>5.42</x:v>
      </x:c>
      <x:c r="P99" s="2">
        <x:v>11.34</x:v>
      </x:c>
      <x:c r="Q99" s="2" t="s">
        <x:v>121</x:v>
      </x:c>
      <x:c r="R99" s="2">
        <x:v>7.8</x:v>
      </x:c>
      <x:c r="S99" s="2" t="s">
        <x:v>121</x:v>
      </x:c>
      <x:c r="T99" s="2">
        <x:v>20</x:v>
      </x:c>
      <x:c r="U99" s="2">
        <x:v>32</x:v>
      </x:c>
      <x:c r="V99" s="2">
        <x:v>7.9</x:v>
      </x:c>
      <x:c r="W99" s="2"/>
      <x:c r="X99" s="2" t="s">
        <x:v>204</x:v>
      </x:c>
      <x:c r="Y99" s="2" t="s">
        <x:v>113</x:v>
      </x:c>
      <x:c r="Z99" s="2" t="s">
        <x:v>114</x:v>
      </x:c>
      <x:c r="AA99" s="11" t="n">
        <x:f>IFERROR(VLOOKUP(E99,Harmonization_Rules!$A$2:$B$9,2,FALSE),"")</x:f>
        <x:v>65.38</x:v>
      </x:c>
      <x:c r="AB99" s="2" t="str">
        <x:f t="shared" si="7"/>
        <x:v>ECOTOX_STANDARDIZED_TARGET_METAL</x:v>
      </x:c>
      <x:c r="AC99" s="12">
        <x:f t="shared" si="8"/>
        <x:v>7.8</x:v>
      </x:c>
      <x:c r="AD99" s="12">
        <x:f t="shared" si="9"/>
        <x:v>119.30253900275315</x:v>
      </x:c>
      <x:c r="AE99" s="12">
        <x:f t="shared" si="10"/>
        <x:v>4.781662611381619</x:v>
      </x:c>
      <x:c r="AF99" s="2" t="str">
        <x:f t="shared" si="11"/>
        <x:v>HARMONIZED</x:v>
      </x:c>
      <x:c r="AG99" s="2" t="str">
        <x:f>IF(E99="Cr","Cr(VI) chromate/dichromate rows are retained but molar conversion is held until source-specific compound-vs-ion basis is resolved.",IF(D99=2977,"OBrien 1988 reports total dissolved Cu LC147 values in 10^-6 M; the numeric Analysis_Point is therefore treated directly as umol Cu/L.",IF(AND(D99=6825,L99="Formulation"),"Nipper 1993 source check showed the reported concentrations are nominal Zn; formulation coding does not trigger compound-mass conversion.",IF(Y99="PRIMARY_RECOVERED","Source-recovered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99" s="2" t="str">
        <x:f t="shared" si="12"/>
        <x:v>CORE</x:v>
      </x:c>
      <x:c r="AI99" s="2" t="str">
        <x:f t="shared" si="13"/>
        <x:v>YES</x:v>
      </x:c>
    </x:row>
    <x:row r="100" ht="40.5">
      <x:c r="A100" s="2">
        <x:v>876</x:v>
      </x:c>
      <x:c r="B100" s="2">
        <x:v>1035615</x:v>
      </x:c>
      <x:c r="C100" s="2">
        <x:v>41944</x:v>
      </x:c>
      <x:c r="D100" s="2">
        <x:v>2183</x:v>
      </x:c>
      <x:c r="E100" s="2" t="s">
        <x:v>21</x:v>
      </x:c>
      <x:c r="F100" s="2" t="s">
        <x:v>198</x:v>
      </x:c>
      <x:c r="G100" s="2" t="s">
        <x:v>129</x:v>
      </x:c>
      <x:c r="H100" s="2" t="s">
        <x:v>107</x:v>
      </x:c>
      <x:c r="I100" s="2" t="s">
        <x:v>108</x:v>
      </x:c>
      <x:c r="J100" s="2">
        <x:v>4</x:v>
      </x:c>
      <x:c r="K100" s="2" t="s">
        <x:v>117</x:v>
      </x:c>
      <x:c r="L100" s="2" t="s">
        <x:v>110</x:v>
      </x:c>
      <x:c r="M100" s="2"/>
      <x:c r="N100" s="2">
        <x:v>1450</x:v>
      </x:c>
      <x:c r="O100" s="2">
        <x:v>930</x:v>
      </x:c>
      <x:c r="P100" s="2">
        <x:v>2260</x:v>
      </x:c>
      <x:c r="Q100" s="2" t="s">
        <x:v>111</x:v>
      </x:c>
      <x:c r="R100" s="2">
        <x:v>1450</x:v>
      </x:c>
      <x:c r="S100" s="2" t="s">
        <x:v>111</x:v>
      </x:c>
      <x:c r="T100" s="2">
        <x:v>20</x:v>
      </x:c>
      <x:c r="U100" s="2">
        <x:v>7</x:v>
      </x:c>
      <x:c r="V100" s="2"/>
      <x:c r="W100" s="2"/>
      <x:c r="X100" s="2" t="s">
        <x:v>130</x:v>
      </x:c>
      <x:c r="Y100" s="2" t="s">
        <x:v>113</x:v>
      </x:c>
      <x:c r="Z100" s="2" t="s">
        <x:v>114</x:v>
      </x:c>
      <x:c r="AA100" s="11" t="n">
        <x:f>IFERROR(VLOOKUP(E100,Harmonization_Rules!$A$2:$B$9,2,FALSE),"")</x:f>
        <x:v>65.38</x:v>
      </x:c>
      <x:c r="AB100" s="2" t="str">
        <x:f t="shared" si="7"/>
        <x:v>ECOTOX_STANDARDIZED_TARGET_METAL</x:v>
      </x:c>
      <x:c r="AC100" s="12">
        <x:f t="shared" si="8"/>
        <x:v>1.45</x:v>
      </x:c>
      <x:c r="AD100" s="12">
        <x:f t="shared" si="9"/>
        <x:v>22.17803609666565</x:v>
      </x:c>
      <x:c r="AE100" s="12">
        <x:f t="shared" si="10"/>
        <x:v>3.0991024341185556</x:v>
      </x:c>
      <x:c r="AF100" s="2" t="str">
        <x:f t="shared" si="11"/>
        <x:v>HARMONIZED</x:v>
      </x:c>
      <x:c r="AG100" s="2" t="str">
        <x:f>IF(E100="Cr","Cr(VI) chromate/dichromate rows are retained but molar conversion is held until source-specific compound-vs-ion basis is resolved.",IF(D100=2977,"OBrien 1988 reports total dissolved Cu LC148 values in 10^-6 M; the numeric Analysis_Point is therefore treated directly as umol Cu/L.",IF(AND(D100=6825,L100="Formulation"),"Nipper 1993 source check showed the reported concentrations are nominal Zn; formulation coding does not trigger compound-mass conversion.",IF(Y100="PRIMARY_RECOVERED","Source-recovered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0" s="2" t="str">
        <x:f t="shared" si="12"/>
        <x:v>CORE</x:v>
      </x:c>
      <x:c r="AI100" s="2" t="str">
        <x:f t="shared" si="13"/>
        <x:v>YES</x:v>
      </x:c>
    </x:row>
    <x:row r="101" ht="40.5">
      <x:c r="A101" s="2">
        <x:v>878</x:v>
      </x:c>
      <x:c r="B101" s="2">
        <x:v>1053653</x:v>
      </x:c>
      <x:c r="C101" s="2">
        <x:v>133694</x:v>
      </x:c>
      <x:c r="D101" s="2">
        <x:v>3744</x:v>
      </x:c>
      <x:c r="E101" s="2" t="s">
        <x:v>21</x:v>
      </x:c>
      <x:c r="F101" s="2" t="s">
        <x:v>198</x:v>
      </x:c>
      <x:c r="G101" s="2" t="s">
        <x:v>150</x:v>
      </x:c>
      <x:c r="H101" s="2" t="s">
        <x:v>135</x:v>
      </x:c>
      <x:c r="I101" s="2" t="s">
        <x:v>108</x:v>
      </x:c>
      <x:c r="J101" s="2">
        <x:v>4</x:v>
      </x:c>
      <x:c r="K101" s="2" t="s">
        <x:v>117</x:v>
      </x:c>
      <x:c r="L101" s="2" t="s">
        <x:v>110</x:v>
      </x:c>
      <x:c r="M101" s="2"/>
      <x:c r="N101" s="2">
        <x:v>4090</x:v>
      </x:c>
      <x:c r="O101" s="2"/>
      <x:c r="P101" s="2"/>
      <x:c r="Q101" s="2" t="s">
        <x:v>111</x:v>
      </x:c>
      <x:c r="R101" s="2">
        <x:v>4090</x:v>
      </x:c>
      <x:c r="S101" s="2" t="s">
        <x:v>111</x:v>
      </x:c>
      <x:c r="T101" s="2">
        <x:v>15</x:v>
      </x:c>
      <x:c r="U101" s="2">
        <x:v>30</x:v>
      </x:c>
      <x:c r="V101" s="2"/>
      <x:c r="W101" s="2"/>
      <x:c r="X101" s="2" t="s">
        <x:v>201</x:v>
      </x:c>
      <x:c r="Y101" s="2" t="s">
        <x:v>113</x:v>
      </x:c>
      <x:c r="Z101" s="2" t="s">
        <x:v>114</x:v>
      </x:c>
      <x:c r="AA101" s="11" t="n">
        <x:f>IFERROR(VLOOKUP(E101,Harmonization_Rules!$A$2:$B$9,2,FALSE),"")</x:f>
        <x:v>65.38</x:v>
      </x:c>
      <x:c r="AB101" s="2" t="str">
        <x:f t="shared" si="7"/>
        <x:v>ECOTOX_STANDARDIZED_TARGET_METAL</x:v>
      </x:c>
      <x:c r="AC101" s="12">
        <x:f t="shared" si="8"/>
        <x:v>4.09</x:v>
      </x:c>
      <x:c r="AD101" s="12">
        <x:f t="shared" si="9"/>
        <x:v>62.557356989905173</x:v>
      </x:c>
      <x:c r="AE101" s="12">
        <x:f t="shared" si="10"/>
        <x:v>4.1360838477407826</x:v>
      </x:c>
      <x:c r="AF101" s="2" t="str">
        <x:f t="shared" si="11"/>
        <x:v>HARMONIZED</x:v>
      </x:c>
      <x:c r="AG101" s="2" t="str">
        <x:f>IF(E101="Cr","Cr(VI) chromate/dichromate rows are retained but molar conversion is held until source-specific compound-vs-ion basis is resolved.",IF(D101=2977,"OBrien 1988 reports total dissolved Cu LC149 values in 10^-6 M; the numeric Analysis_Point is therefore treated directly as umol Cu/L.",IF(AND(D101=6825,L101="Formulation"),"Nipper 1993 source check showed the reported concentrations are nominal Zn; formulation coding does not trigger compound-mass conversion.",IF(Y101="PRIMARY_RECOVERED","Source-recovered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1" s="2" t="str">
        <x:f t="shared" si="12"/>
        <x:v>CORE</x:v>
      </x:c>
      <x:c r="AI101" s="2" t="str">
        <x:f t="shared" si="13"/>
        <x:v>YES</x:v>
      </x:c>
    </x:row>
    <x:row r="102" ht="40.5">
      <x:c r="A102" s="2">
        <x:v>881</x:v>
      </x:c>
      <x:c r="B102" s="2">
        <x:v>1037878</x:v>
      </x:c>
      <x:c r="C102" s="2">
        <x:v>104483</x:v>
      </x:c>
      <x:c r="D102" s="2">
        <x:v>2332</x:v>
      </x:c>
      <x:c r="E102" s="2" t="s">
        <x:v>21</x:v>
      </x:c>
      <x:c r="F102" s="2" t="s">
        <x:v>198</x:v>
      </x:c>
      <x:c r="G102" s="2" t="s">
        <x:v>129</x:v>
      </x:c>
      <x:c r="H102" s="2" t="s">
        <x:v>107</x:v>
      </x:c>
      <x:c r="I102" s="2"/>
      <x:c r="J102" s="2">
        <x:v>4</x:v>
      </x:c>
      <x:c r="K102" s="2" t="s">
        <x:v>136</x:v>
      </x:c>
      <x:c r="L102" s="2" t="s">
        <x:v>110</x:v>
      </x:c>
      <x:c r="M102" s="2"/>
      <x:c r="N102" s="2">
        <x:v>1300</x:v>
      </x:c>
      <x:c r="O102" s="2">
        <x:v>980</x:v>
      </x:c>
      <x:c r="P102" s="2">
        <x:v>1730</x:v>
      </x:c>
      <x:c r="Q102" s="2" t="s">
        <x:v>111</x:v>
      </x:c>
      <x:c r="R102" s="2">
        <x:v>1300</x:v>
      </x:c>
      <x:c r="S102" s="2" t="s">
        <x:v>111</x:v>
      </x:c>
      <x:c r="T102" s="2"/>
      <x:c r="U102" s="2">
        <x:v>7</x:v>
      </x:c>
      <x:c r="V102" s="2"/>
      <x:c r="W102" s="2"/>
      <x:c r="X102" s="2" t="s">
        <x:v>205</x:v>
      </x:c>
      <x:c r="Y102" s="2" t="s">
        <x:v>113</x:v>
      </x:c>
      <x:c r="Z102" s="2" t="s">
        <x:v>114</x:v>
      </x:c>
      <x:c r="AA102" s="11" t="n">
        <x:f>IFERROR(VLOOKUP(E102,Harmonization_Rules!$A$2:$B$9,2,FALSE),"")</x:f>
        <x:v>65.38</x:v>
      </x:c>
      <x:c r="AB102" s="2" t="str">
        <x:f t="shared" si="7"/>
        <x:v>ECOTOX_STANDARDIZED_TARGET_METAL</x:v>
      </x:c>
      <x:c r="AC102" s="12">
        <x:f t="shared" si="8"/>
        <x:v>1.3</x:v>
      </x:c>
      <x:c r="AD102" s="12">
        <x:f t="shared" si="9"/>
        <x:v>19.883756500458858</x:v>
      </x:c>
      <x:c r="AE102" s="12">
        <x:f t="shared" si="10"/>
        <x:v>2.9899031421535636</x:v>
      </x:c>
      <x:c r="AF102" s="2" t="str">
        <x:f t="shared" si="11"/>
        <x:v>HARMONIZED</x:v>
      </x:c>
      <x:c r="AG102" s="2" t="str">
        <x:f>IF(E102="Cr","Cr(VI) chromate/dichromate rows are retained but molar conversion is held until source-specific compound-vs-ion basis is resolved.",IF(D102=2977,"OBrien 1988 reports total dissolved Cu LC150 values in 10^-6 M; the numeric Analysis_Point is therefore treated directly as umol Cu/L.",IF(AND(D102=6825,L102="Formulation"),"Nipper 1993 source check showed the reported concentrations are nominal Zn; formulation coding does not trigger compound-mass conversion.",IF(Y102="PRIMARY_RECOVERED","Source-recovered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2" s="2" t="str">
        <x:f t="shared" si="12"/>
        <x:v>CORE</x:v>
      </x:c>
      <x:c r="AI102" s="2" t="str">
        <x:f t="shared" si="13"/>
        <x:v>YES</x:v>
      </x:c>
    </x:row>
    <x:row r="103" ht="40.5">
      <x:c r="A103" s="2">
        <x:v>884</x:v>
      </x:c>
      <x:c r="B103" s="2">
        <x:v>1053650</x:v>
      </x:c>
      <x:c r="C103" s="2">
        <x:v>133691</x:v>
      </x:c>
      <x:c r="D103" s="2">
        <x:v>3744</x:v>
      </x:c>
      <x:c r="E103" s="2" t="s">
        <x:v>21</x:v>
      </x:c>
      <x:c r="F103" s="2" t="s">
        <x:v>198</x:v>
      </x:c>
      <x:c r="G103" s="2" t="s">
        <x:v>141</x:v>
      </x:c>
      <x:c r="H103" s="2" t="s">
        <x:v>135</x:v>
      </x:c>
      <x:c r="I103" s="2" t="s">
        <x:v>108</x:v>
      </x:c>
      <x:c r="J103" s="2">
        <x:v>3</x:v>
      </x:c>
      <x:c r="K103" s="2" t="s">
        <x:v>117</x:v>
      </x:c>
      <x:c r="L103" s="2" t="s">
        <x:v>110</x:v>
      </x:c>
      <x:c r="M103" s="2"/>
      <x:c r="N103" s="2">
        <x:v>707.1</x:v>
      </x:c>
      <x:c r="O103" s="2">
        <x:v>591.5</x:v>
      </x:c>
      <x:c r="P103" s="2">
        <x:v>845.3</x:v>
      </x:c>
      <x:c r="Q103" s="2" t="s">
        <x:v>111</x:v>
      </x:c>
      <x:c r="R103" s="2">
        <x:v>707.1</x:v>
      </x:c>
      <x:c r="S103" s="2" t="s">
        <x:v>111</x:v>
      </x:c>
      <x:c r="T103" s="2">
        <x:v>15</x:v>
      </x:c>
      <x:c r="U103" s="2">
        <x:v>30</x:v>
      </x:c>
      <x:c r="V103" s="2"/>
      <x:c r="W103" s="2"/>
      <x:c r="X103" s="2" t="s">
        <x:v>201</x:v>
      </x:c>
      <x:c r="Y103" s="2" t="s">
        <x:v>113</x:v>
      </x:c>
      <x:c r="Z103" s="2" t="s">
        <x:v>114</x:v>
      </x:c>
      <x:c r="AA103" s="11" t="n">
        <x:f>IFERROR(VLOOKUP(E103,Harmonization_Rules!$A$2:$B$9,2,FALSE),"")</x:f>
        <x:v>65.38</x:v>
      </x:c>
      <x:c r="AB103" s="2" t="str">
        <x:f t="shared" si="7"/>
        <x:v>ECOTOX_STANDARDIZED_TARGET_METAL</x:v>
      </x:c>
      <x:c r="AC103" s="12">
        <x:f t="shared" si="8"/>
        <x:v>0.70710000000000006</x:v>
      </x:c>
      <x:c r="AD103" s="12">
        <x:f t="shared" si="9"/>
        <x:v>10.815234016518815</x:v>
      </x:c>
      <x:c r="AE103" s="12">
        <x:f t="shared" si="10"/>
        <x:v>2.3809556973141306</x:v>
      </x:c>
      <x:c r="AF103" s="2" t="str">
        <x:f t="shared" si="11"/>
        <x:v>HARMONIZED</x:v>
      </x:c>
      <x:c r="AG103" s="2" t="str">
        <x:f>IF(E103="Cr","Cr(VI) chromate/dichromate rows are retained but molar conversion is held until source-specific compound-vs-ion basis is resolved.",IF(D103=2977,"OBrien 1988 reports total dissolved Cu LC151 values in 10^-6 M; the numeric Analysis_Point is therefore treated directly as umol Cu/L.",IF(AND(D103=6825,L103="Formulation"),"Nipper 1993 source check showed the reported concentrations are nominal Zn; formulation coding does not trigger compound-mass conversion.",IF(Y103="PRIMARY_RECOVERED","Source-recovered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3" s="2" t="str">
        <x:f t="shared" si="12"/>
        <x:v>CORE</x:v>
      </x:c>
      <x:c r="AI103" s="2" t="str">
        <x:f t="shared" si="13"/>
        <x:v>YES</x:v>
      </x:c>
    </x:row>
    <x:row r="104" ht="40.5">
      <x:c r="A104" s="2">
        <x:v>887</x:v>
      </x:c>
      <x:c r="B104" s="2">
        <x:v>1053654</x:v>
      </x:c>
      <x:c r="C104" s="2">
        <x:v>133695</x:v>
      </x:c>
      <x:c r="D104" s="2">
        <x:v>3744</x:v>
      </x:c>
      <x:c r="E104" s="2" t="s">
        <x:v>21</x:v>
      </x:c>
      <x:c r="F104" s="2" t="s">
        <x:v>198</x:v>
      </x:c>
      <x:c r="G104" s="2" t="s">
        <x:v>134</x:v>
      </x:c>
      <x:c r="H104" s="2" t="s">
        <x:v>135</x:v>
      </x:c>
      <x:c r="I104" s="2" t="s">
        <x:v>108</x:v>
      </x:c>
      <x:c r="J104" s="2">
        <x:v>4</x:v>
      </x:c>
      <x:c r="K104" s="2" t="s">
        <x:v>117</x:v>
      </x:c>
      <x:c r="L104" s="2" t="s">
        <x:v>110</x:v>
      </x:c>
      <x:c r="M104" s="2"/>
      <x:c r="N104" s="2">
        <x:v>294.2</x:v>
      </x:c>
      <x:c r="O104" s="2">
        <x:v>196.1</x:v>
      </x:c>
      <x:c r="P104" s="2">
        <x:v>428</x:v>
      </x:c>
      <x:c r="Q104" s="2" t="s">
        <x:v>111</x:v>
      </x:c>
      <x:c r="R104" s="2">
        <x:v>294.2</x:v>
      </x:c>
      <x:c r="S104" s="2" t="s">
        <x:v>111</x:v>
      </x:c>
      <x:c r="T104" s="2">
        <x:v>20</x:v>
      </x:c>
      <x:c r="U104" s="2">
        <x:v>30</x:v>
      </x:c>
      <x:c r="V104" s="2"/>
      <x:c r="W104" s="2"/>
      <x:c r="X104" s="2" t="s">
        <x:v>201</x:v>
      </x:c>
      <x:c r="Y104" s="2" t="s">
        <x:v>113</x:v>
      </x:c>
      <x:c r="Z104" s="2" t="s">
        <x:v>114</x:v>
      </x:c>
      <x:c r="AA104" s="11" t="n">
        <x:f>IFERROR(VLOOKUP(E104,Harmonization_Rules!$A$2:$B$9,2,FALSE),"")</x:f>
        <x:v>65.38</x:v>
      </x:c>
      <x:c r="AB104" s="2" t="str">
        <x:f t="shared" si="7"/>
        <x:v>ECOTOX_STANDARDIZED_TARGET_METAL</x:v>
      </x:c>
      <x:c r="AC104" s="12">
        <x:f t="shared" si="8"/>
        <x:v>0.29419999999999996</x:v>
      </x:c>
      <x:c r="AD104" s="12">
        <x:f t="shared" si="9"/>
        <x:v>4.4998470480269193</x:v>
      </x:c>
      <x:c r="AE104" s="12">
        <x:f t="shared" si="10"/>
        <x:v>1.5040434068712725</x:v>
      </x:c>
      <x:c r="AF104" s="2" t="str">
        <x:f t="shared" si="11"/>
        <x:v>HARMONIZED</x:v>
      </x:c>
      <x:c r="AG104" s="2" t="str">
        <x:f>IF(E104="Cr","Cr(VI) chromate/dichromate rows are retained but molar conversion is held until source-specific compound-vs-ion basis is resolved.",IF(D104=2977,"OBrien 1988 reports total dissolved Cu LC152 values in 10^-6 M; the numeric Analysis_Point is therefore treated directly as umol Cu/L.",IF(AND(D104=6825,L104="Formulation"),"Nipper 1993 source check showed the reported concentrations are nominal Zn; formulation coding does not trigger compound-mass conversion.",IF(Y104="PRIMARY_RECOVERED","Source-recovered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4" s="2" t="str">
        <x:f t="shared" si="12"/>
        <x:v>CORE</x:v>
      </x:c>
      <x:c r="AI104" s="2" t="str">
        <x:f t="shared" si="13"/>
        <x:v>YES</x:v>
      </x:c>
    </x:row>
    <x:row r="105" ht="40.5">
      <x:c r="A105" s="2">
        <x:v>899</x:v>
      </x:c>
      <x:c r="B105" s="2">
        <x:v>1054979</x:v>
      </x:c>
      <x:c r="C105" s="2">
        <x:v>131353</x:v>
      </x:c>
      <x:c r="D105" s="2">
        <x:v>3826</x:v>
      </x:c>
      <x:c r="E105" s="2" t="s">
        <x:v>45</x:v>
      </x:c>
      <x:c r="F105" s="2" t="s">
        <x:v>206</x:v>
      </x:c>
      <x:c r="G105" s="2" t="s">
        <x:v>146</x:v>
      </x:c>
      <x:c r="H105" s="2" t="s">
        <x:v>135</x:v>
      </x:c>
      <x:c r="I105" s="2" t="s">
        <x:v>108</x:v>
      </x:c>
      <x:c r="J105" s="2">
        <x:v>3</x:v>
      </x:c>
      <x:c r="K105" s="2" t="s">
        <x:v>117</x:v>
      </x:c>
      <x:c r="L105" s="2" t="s">
        <x:v>110</x:v>
      </x:c>
      <x:c r="M105" s="2"/>
      <x:c r="N105" s="2">
        <x:v>14.573</x:v>
      </x:c>
      <x:c r="O105" s="2">
        <x:v>10.85</x:v>
      </x:c>
      <x:c r="P105" s="2">
        <x:v>19.163</x:v>
      </x:c>
      <x:c r="Q105" s="2" t="s">
        <x:v>207</x:v>
      </x:c>
      <x:c r="R105" s="2">
        <x:v>14.573</x:v>
      </x:c>
      <x:c r="S105" s="2" t="s">
        <x:v>207</x:v>
      </x:c>
      <x:c r="T105" s="2">
        <x:v>15</x:v>
      </x:c>
      <x:c r="U105" s="2">
        <x:v>30</x:v>
      </x:c>
      <x:c r="V105" s="2"/>
      <x:c r="W105" s="2"/>
      <x:c r="X105" s="2" t="s">
        <x:v>208</x:v>
      </x:c>
      <x:c r="Y105" s="2" t="s">
        <x:v>113</x:v>
      </x:c>
      <x:c r="Z105" s="2" t="s">
        <x:v>114</x:v>
      </x:c>
      <x:c r="AA105" s="11" t="n">
        <x:f>IFERROR(VLOOKUP(E105,Harmonization_Rules!$A$2:$B$9,2,FALSE),"")</x:f>
        <x:v>58.6934</x:v>
      </x:c>
      <x:c r="AB105" s="2" t="str">
        <x:f t="shared" si="7"/>
        <x:v>ECOTOX_STANDARDIZED_TARGET_METAL</x:v>
      </x:c>
      <x:c r="AC105" s="12">
        <x:f t="shared" si="8"/>
        <x:v>14.573</x:v>
      </x:c>
      <x:c r="AD105" s="12">
        <x:f t="shared" si="9"/>
        <x:v>248.29026773027292</x:v>
      </x:c>
      <x:c r="AE105" s="12">
        <x:f t="shared" si="10"/>
        <x:v>5.5145984961369034</x:v>
      </x:c>
      <x:c r="AF105" s="2" t="str">
        <x:f t="shared" si="11"/>
        <x:v>HARMONIZED</x:v>
      </x:c>
      <x:c r="AG105" s="2" t="str">
        <x:f>IF(E105="Cr","Cr(VI) chromate/dichromate rows are retained but molar conversion is held until source-specific compound-vs-ion basis is resolved.",IF(D105=2977,"OBrien 1988 reports total dissolved Cu LC153 values in 10^-6 M; the numeric Analysis_Point is therefore treated directly as umol Cu/L.",IF(AND(D105=6825,L105="Formulation"),"Nipper 1993 source check showed the reported concentrations are nominal Zn; formulation coding does not trigger compound-mass conversion.",IF(Y105="PRIMARY_RECOVERED","Source-recovered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5" s="2" t="str">
        <x:f t="shared" si="12"/>
        <x:v>DESCRIPTIVE</x:v>
      </x:c>
      <x:c r="AI105" s="2" t="str">
        <x:f t="shared" si="13"/>
        <x:v>NO</x:v>
      </x:c>
    </x:row>
    <x:row r="106" ht="40.5">
      <x:c r="A106" s="2">
        <x:v>913</x:v>
      </x:c>
      <x:c r="B106" s="2">
        <x:v>1054981</x:v>
      </x:c>
      <x:c r="C106" s="2">
        <x:v>131355</x:v>
      </x:c>
      <x:c r="D106" s="2">
        <x:v>3826</x:v>
      </x:c>
      <x:c r="E106" s="2" t="s">
        <x:v>45</x:v>
      </x:c>
      <x:c r="F106" s="2" t="s">
        <x:v>206</x:v>
      </x:c>
      <x:c r="G106" s="2" t="s">
        <x:v>150</x:v>
      </x:c>
      <x:c r="H106" s="2" t="s">
        <x:v>135</x:v>
      </x:c>
      <x:c r="I106" s="2" t="s">
        <x:v>108</x:v>
      </x:c>
      <x:c r="J106" s="2">
        <x:v>4</x:v>
      </x:c>
      <x:c r="K106" s="2" t="s">
        <x:v>117</x:v>
      </x:c>
      <x:c r="L106" s="2" t="s">
        <x:v>110</x:v>
      </x:c>
      <x:c r="M106" s="2"/>
      <x:c r="N106" s="2">
        <x:v>13.182</x:v>
      </x:c>
      <x:c r="O106" s="2">
        <x:v>11.566000000000001</x:v>
      </x:c>
      <x:c r="P106" s="2">
        <x:v>14.981</x:v>
      </x:c>
      <x:c r="Q106" s="2" t="s">
        <x:v>207</x:v>
      </x:c>
      <x:c r="R106" s="2">
        <x:v>13.182</x:v>
      </x:c>
      <x:c r="S106" s="2" t="s">
        <x:v>207</x:v>
      </x:c>
      <x:c r="T106" s="2">
        <x:v>15</x:v>
      </x:c>
      <x:c r="U106" s="2">
        <x:v>30</x:v>
      </x:c>
      <x:c r="V106" s="2"/>
      <x:c r="W106" s="2"/>
      <x:c r="X106" s="2" t="s">
        <x:v>208</x:v>
      </x:c>
      <x:c r="Y106" s="2" t="s">
        <x:v>113</x:v>
      </x:c>
      <x:c r="Z106" s="2" t="s">
        <x:v>114</x:v>
      </x:c>
      <x:c r="AA106" s="11" t="n">
        <x:f>IFERROR(VLOOKUP(E106,Harmonization_Rules!$A$2:$B$9,2,FALSE),"")</x:f>
        <x:v>58.6934</x:v>
      </x:c>
      <x:c r="AB106" s="2" t="str">
        <x:f t="shared" si="7"/>
        <x:v>ECOTOX_STANDARDIZED_TARGET_METAL</x:v>
      </x:c>
      <x:c r="AC106" s="12">
        <x:f t="shared" si="8"/>
        <x:v>13.182</x:v>
      </x:c>
      <x:c r="AD106" s="12">
        <x:f t="shared" si="9"/>
        <x:v>224.59083985592929</x:v>
      </x:c>
      <x:c r="AE106" s="12">
        <x:f t="shared" si="10"/>
        <x:v>5.4142802572158715</x:v>
      </x:c>
      <x:c r="AF106" s="2" t="str">
        <x:f t="shared" si="11"/>
        <x:v>HARMONIZED</x:v>
      </x:c>
      <x:c r="AG106" s="2" t="str">
        <x:f>IF(E106="Cr","Cr(VI) chromate/dichromate rows are retained but molar conversion is held until source-specific compound-vs-ion basis is resolved.",IF(D106=2977,"OBrien 1988 reports total dissolved Cu LC154 values in 10^-6 M; the numeric Analysis_Point is therefore treated directly as umol Cu/L.",IF(AND(D106=6825,L106="Formulation"),"Nipper 1993 source check showed the reported concentrations are nominal Zn; formulation coding does not trigger compound-mass conversion.",IF(Y106="PRIMARY_RECOVERED","Source-recovered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6" s="2" t="str">
        <x:f t="shared" si="12"/>
        <x:v>DESCRIPTIVE</x:v>
      </x:c>
      <x:c r="AI106" s="2" t="str">
        <x:f t="shared" si="13"/>
        <x:v>NO</x:v>
      </x:c>
    </x:row>
    <x:row r="107" ht="40.5">
      <x:c r="A107" s="2">
        <x:v>915</x:v>
      </x:c>
      <x:c r="B107" s="2">
        <x:v>2030265</x:v>
      </x:c>
      <x:c r="C107" s="2">
        <x:v>2047702</x:v>
      </x:c>
      <x:c r="D107" s="2">
        <x:v>3826</x:v>
      </x:c>
      <x:c r="E107" s="2" t="s">
        <x:v>45</x:v>
      </x:c>
      <x:c r="F107" s="2" t="s">
        <x:v>206</x:v>
      </x:c>
      <x:c r="G107" s="2" t="s">
        <x:v>134</x:v>
      </x:c>
      <x:c r="H107" s="2" t="s">
        <x:v>135</x:v>
      </x:c>
      <x:c r="I107" s="2" t="s">
        <x:v>108</x:v>
      </x:c>
      <x:c r="J107" s="2">
        <x:v>3</x:v>
      </x:c>
      <x:c r="K107" s="2" t="s">
        <x:v>117</x:v>
      </x:c>
      <x:c r="L107" s="2" t="s">
        <x:v>110</x:v>
      </x:c>
      <x:c r="M107" s="2"/>
      <x:c r="N107" s="2">
        <x:v>0.747</x:v>
      </x:c>
      <x:c r="O107" s="2">
        <x:v>0.5</x:v>
      </x:c>
      <x:c r="P107" s="2">
        <x:v>1.04</x:v>
      </x:c>
      <x:c r="Q107" s="2" t="s">
        <x:v>207</x:v>
      </x:c>
      <x:c r="R107" s="2">
        <x:v>0.747</x:v>
      </x:c>
      <x:c r="S107" s="2" t="s">
        <x:v>207</x:v>
      </x:c>
      <x:c r="T107" s="2">
        <x:v>20</x:v>
      </x:c>
      <x:c r="U107" s="2">
        <x:v>30</x:v>
      </x:c>
      <x:c r="V107" s="2"/>
      <x:c r="W107" s="2"/>
      <x:c r="X107" s="2" t="s">
        <x:v>208</x:v>
      </x:c>
      <x:c r="Y107" s="2" t="s">
        <x:v>113</x:v>
      </x:c>
      <x:c r="Z107" s="2" t="s">
        <x:v>114</x:v>
      </x:c>
      <x:c r="AA107" s="11" t="n">
        <x:f>IFERROR(VLOOKUP(E107,Harmonization_Rules!$A$2:$B$9,2,FALSE),"")</x:f>
        <x:v>58.6934</x:v>
      </x:c>
      <x:c r="AB107" s="2" t="str">
        <x:f t="shared" si="7"/>
        <x:v>ECOTOX_STANDARDIZED_TARGET_METAL</x:v>
      </x:c>
      <x:c r="AC107" s="12">
        <x:f t="shared" si="8"/>
        <x:v>0.747</x:v>
      </x:c>
      <x:c r="AD107" s="12">
        <x:f t="shared" si="9"/>
        <x:v>12.727155012318251</x:v>
      </x:c>
      <x:c r="AE107" s="12">
        <x:f t="shared" si="10"/>
        <x:v>2.5437379007360237</x:v>
      </x:c>
      <x:c r="AF107" s="2" t="str">
        <x:f t="shared" si="11"/>
        <x:v>HARMONIZED</x:v>
      </x:c>
      <x:c r="AG107" s="2" t="str">
        <x:f>IF(E107="Cr","Cr(VI) chromate/dichromate rows are retained but molar conversion is held until source-specific compound-vs-ion basis is resolved.",IF(D107=2977,"OBrien 1988 reports total dissolved Cu LC155 values in 10^-6 M; the numeric Analysis_Point is therefore treated directly as umol Cu/L.",IF(AND(D107=6825,L107="Formulation"),"Nipper 1993 source check showed the reported concentrations are nominal Zn; formulation coding does not trigger compound-mass conversion.",IF(Y107="PRIMARY_RECOVERED","Source-recovered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7" s="2" t="str">
        <x:f t="shared" si="12"/>
        <x:v>DESCRIPTIVE</x:v>
      </x:c>
      <x:c r="AI107" s="2" t="str">
        <x:f t="shared" si="13"/>
        <x:v>NO</x:v>
      </x:c>
    </x:row>
    <x:row r="108" ht="40.5">
      <x:c r="A108" s="2">
        <x:v>918</x:v>
      </x:c>
      <x:c r="B108" s="2">
        <x:v>2319264</x:v>
      </x:c>
      <x:c r="C108" s="2">
        <x:v>2802768</x:v>
      </x:c>
      <x:c r="D108" s="2">
        <x:v>193873</x:v>
      </x:c>
      <x:c r="E108" s="2" t="s">
        <x:v>45</x:v>
      </x:c>
      <x:c r="F108" s="2" t="s">
        <x:v>206</x:v>
      </x:c>
      <x:c r="G108" s="2" t="s">
        <x:v>106</x:v>
      </x:c>
      <x:c r="H108" s="2" t="s">
        <x:v>107</x:v>
      </x:c>
      <x:c r="I108" s="2" t="s">
        <x:v>209</x:v>
      </x:c>
      <x:c r="J108" s="2">
        <x:v>4</x:v>
      </x:c>
      <x:c r="K108" s="2" t="s">
        <x:v>126</x:v>
      </x:c>
      <x:c r="L108" s="2" t="s">
        <x:v>120</x:v>
      </x:c>
      <x:c r="M108" s="2"/>
      <x:c r="N108" s="2">
        <x:v>4300</x:v>
      </x:c>
      <x:c r="O108" s="2">
        <x:v>3610</x:v>
      </x:c>
      <x:c r="P108" s="2">
        <x:v>5090</x:v>
      </x:c>
      <x:c r="Q108" s="2" t="s">
        <x:v>111</x:v>
      </x:c>
      <x:c r="R108" s="2">
        <x:v>4300</x:v>
      </x:c>
      <x:c r="S108" s="2" t="s">
        <x:v>111</x:v>
      </x:c>
      <x:c r="T108" s="2">
        <x:v>27</x:v>
      </x:c>
      <x:c r="U108" s="2"/>
      <x:c r="V108" s="2"/>
      <x:c r="W108" s="2"/>
      <x:c r="X108" s="2" t="s">
        <x:v>210</x:v>
      </x:c>
      <x:c r="Y108" s="2" t="s">
        <x:v>113</x:v>
      </x:c>
      <x:c r="Z108" s="2" t="s">
        <x:v>114</x:v>
      </x:c>
      <x:c r="AA108" s="11" t="n">
        <x:f>IFERROR(VLOOKUP(E108,Harmonization_Rules!$A$2:$B$9,2,FALSE),"")</x:f>
        <x:v>58.6934</x:v>
      </x:c>
      <x:c r="AB108" s="2" t="str">
        <x:f t="shared" si="7"/>
        <x:v>ECOTOX_STANDARDIZED_TARGET_METAL</x:v>
      </x:c>
      <x:c r="AC108" s="12">
        <x:f t="shared" si="8"/>
        <x:v>4.3</x:v>
      </x:c>
      <x:c r="AD108" s="12">
        <x:f t="shared" si="9"/>
        <x:v>73.262070352032765</x:v>
      </x:c>
      <x:c r="AE108" s="12">
        <x:f t="shared" si="10"/>
        <x:v>4.29404301728486</x:v>
      </x:c>
      <x:c r="AF108" s="2" t="str">
        <x:f t="shared" si="11"/>
        <x:v>HARMONIZED</x:v>
      </x:c>
      <x:c r="AG108" s="2" t="str">
        <x:f>IF(E108="Cr","Cr(VI) chromate/dichromate rows are retained but molar conversion is held until source-specific compound-vs-ion basis is resolved.",IF(D108=2977,"OBrien 1988 reports total dissolved Cu LC156 values in 10^-6 M; the numeric Analysis_Point is therefore treated directly as umol Cu/L.",IF(AND(D108=6825,L108="Formulation"),"Nipper 1993 source check showed the reported concentrations are nominal Zn; formulation coding does not trigger compound-mass conversion.",IF(Y108="PRIMARY_RECOVERED","Source-recovered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8" s="2" t="str">
        <x:f t="shared" si="12"/>
        <x:v>DESCRIPTIVE</x:v>
      </x:c>
      <x:c r="AI108" s="2" t="str">
        <x:f t="shared" si="13"/>
        <x:v>NO</x:v>
      </x:c>
    </x:row>
    <x:row r="109" ht="40.5">
      <x:c r="A109" s="2">
        <x:v>933</x:v>
      </x:c>
      <x:c r="B109" s="2">
        <x:v>1054980</x:v>
      </x:c>
      <x:c r="C109" s="2">
        <x:v>131354</x:v>
      </x:c>
      <x:c r="D109" s="2">
        <x:v>3826</x:v>
      </x:c>
      <x:c r="E109" s="2" t="s">
        <x:v>45</x:v>
      </x:c>
      <x:c r="F109" s="2" t="s">
        <x:v>206</x:v>
      </x:c>
      <x:c r="G109" s="2" t="s">
        <x:v>150</x:v>
      </x:c>
      <x:c r="H109" s="2" t="s">
        <x:v>135</x:v>
      </x:c>
      <x:c r="I109" s="2" t="s">
        <x:v>108</x:v>
      </x:c>
      <x:c r="J109" s="2">
        <x:v>4</x:v>
      </x:c>
      <x:c r="K109" s="2" t="s">
        <x:v>117</x:v>
      </x:c>
      <x:c r="L109" s="2" t="s">
        <x:v>110</x:v>
      </x:c>
      <x:c r="M109" s="2"/>
      <x:c r="N109" s="2">
        <x:v>9.593</x:v>
      </x:c>
      <x:c r="O109" s="2">
        <x:v>7.0979999999999999</x:v>
      </x:c>
      <x:c r="P109" s="2">
        <x:v>13.252000000000001</x:v>
      </x:c>
      <x:c r="Q109" s="2" t="s">
        <x:v>207</x:v>
      </x:c>
      <x:c r="R109" s="2">
        <x:v>9.593</x:v>
      </x:c>
      <x:c r="S109" s="2" t="s">
        <x:v>207</x:v>
      </x:c>
      <x:c r="T109" s="2">
        <x:v>15</x:v>
      </x:c>
      <x:c r="U109" s="2">
        <x:v>30</x:v>
      </x:c>
      <x:c r="V109" s="2"/>
      <x:c r="W109" s="2"/>
      <x:c r="X109" s="2" t="s">
        <x:v>208</x:v>
      </x:c>
      <x:c r="Y109" s="2" t="s">
        <x:v>113</x:v>
      </x:c>
      <x:c r="Z109" s="2" t="s">
        <x:v>114</x:v>
      </x:c>
      <x:c r="AA109" s="11" t="n">
        <x:f>IFERROR(VLOOKUP(E109,Harmonization_Rules!$A$2:$B$9,2,FALSE),"")</x:f>
        <x:v>58.6934</x:v>
      </x:c>
      <x:c r="AB109" s="2" t="str">
        <x:f t="shared" si="7"/>
        <x:v>ECOTOX_STANDARDIZED_TARGET_METAL</x:v>
      </x:c>
      <x:c r="AC109" s="12">
        <x:f t="shared" si="8"/>
        <x:v>9.593</x:v>
      </x:c>
      <x:c r="AD109" s="12">
        <x:f t="shared" si="9"/>
        <x:v>163.44256764815125</x:v>
      </x:c>
      <x:c r="AE109" s="12">
        <x:f t="shared" si="10"/>
        <x:v>5.0964616604211539</x:v>
      </x:c>
      <x:c r="AF109" s="2" t="str">
        <x:f t="shared" si="11"/>
        <x:v>HARMONIZED</x:v>
      </x:c>
      <x:c r="AG109" s="2" t="str">
        <x:f>IF(E109="Cr","Cr(VI) chromate/dichromate rows are retained but molar conversion is held until source-specific compound-vs-ion basis is resolved.",IF(D109=2977,"OBrien 1988 reports total dissolved Cu LC157 values in 10^-6 M; the numeric Analysis_Point is therefore treated directly as umol Cu/L.",IF(AND(D109=6825,L109="Formulation"),"Nipper 1993 source check showed the reported concentrations are nominal Zn; formulation coding does not trigger compound-mass conversion.",IF(Y109="PRIMARY_RECOVERED","Source-recovered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09" s="2" t="str">
        <x:f t="shared" si="12"/>
        <x:v>DESCRIPTIVE</x:v>
      </x:c>
      <x:c r="AI109" s="2" t="str">
        <x:f t="shared" si="13"/>
        <x:v>NO</x:v>
      </x:c>
    </x:row>
    <x:row r="110" ht="40.5">
      <x:c r="A110" s="2">
        <x:v>935</x:v>
      </x:c>
      <x:c r="B110" s="2">
        <x:v>1054977</x:v>
      </x:c>
      <x:c r="C110" s="2">
        <x:v>131351</x:v>
      </x:c>
      <x:c r="D110" s="2">
        <x:v>3826</x:v>
      </x:c>
      <x:c r="E110" s="2" t="s">
        <x:v>45</x:v>
      </x:c>
      <x:c r="F110" s="2" t="s">
        <x:v>206</x:v>
      </x:c>
      <x:c r="G110" s="2" t="s">
        <x:v>141</x:v>
      </x:c>
      <x:c r="H110" s="2" t="s">
        <x:v>135</x:v>
      </x:c>
      <x:c r="I110" s="2" t="s">
        <x:v>108</x:v>
      </x:c>
      <x:c r="J110" s="2">
        <x:v>4</x:v>
      </x:c>
      <x:c r="K110" s="2" t="s">
        <x:v>117</x:v>
      </x:c>
      <x:c r="L110" s="2" t="s">
        <x:v>110</x:v>
      </x:c>
      <x:c r="M110" s="2"/>
      <x:c r="N110" s="2">
        <x:v>3.4660000000000002</x:v>
      </x:c>
      <x:c r="O110" s="2">
        <x:v>2.8210000000000002</x:v>
      </x:c>
      <x:c r="P110" s="2">
        <x:v>4.3170000000000002</x:v>
      </x:c>
      <x:c r="Q110" s="2" t="s">
        <x:v>207</x:v>
      </x:c>
      <x:c r="R110" s="2">
        <x:v>3.4660000000000002</x:v>
      </x:c>
      <x:c r="S110" s="2" t="s">
        <x:v>207</x:v>
      </x:c>
      <x:c r="T110" s="2">
        <x:v>20</x:v>
      </x:c>
      <x:c r="U110" s="2">
        <x:v>30</x:v>
      </x:c>
      <x:c r="V110" s="2"/>
      <x:c r="W110" s="2"/>
      <x:c r="X110" s="2" t="s">
        <x:v>208</x:v>
      </x:c>
      <x:c r="Y110" s="2" t="s">
        <x:v>113</x:v>
      </x:c>
      <x:c r="Z110" s="2" t="s">
        <x:v>114</x:v>
      </x:c>
      <x:c r="AA110" s="11" t="n">
        <x:f>IFERROR(VLOOKUP(E110,Harmonization_Rules!$A$2:$B$9,2,FALSE),"")</x:f>
        <x:v>58.6934</x:v>
      </x:c>
      <x:c r="AB110" s="2" t="str">
        <x:f t="shared" si="7"/>
        <x:v>ECOTOX_STANDARDIZED_TARGET_METAL</x:v>
      </x:c>
      <x:c r="AC110" s="12">
        <x:f t="shared" si="8"/>
        <x:v>3.4660000000000002</x:v>
      </x:c>
      <x:c r="AD110" s="12">
        <x:f t="shared" si="9"/>
        <x:v>59.052636241894319</x:v>
      </x:c>
      <x:c r="AE110" s="12">
        <x:f t="shared" si="10"/>
        <x:v>4.0784291858787576</x:v>
      </x:c>
      <x:c r="AF110" s="2" t="str">
        <x:f t="shared" si="11"/>
        <x:v>HARMONIZED</x:v>
      </x:c>
      <x:c r="AG110" s="2" t="str">
        <x:f>IF(E110="Cr","Cr(VI) chromate/dichromate rows are retained but molar conversion is held until source-specific compound-vs-ion basis is resolved.",IF(D110=2977,"OBrien 1988 reports total dissolved Cu LC158 values in 10^-6 M; the numeric Analysis_Point is therefore treated directly as umol Cu/L.",IF(AND(D110=6825,L110="Formulation"),"Nipper 1993 source check showed the reported concentrations are nominal Zn; formulation coding does not trigger compound-mass conversion.",IF(Y110="PRIMARY_RECOVERED","Source-recovered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0" s="2" t="str">
        <x:f t="shared" si="12"/>
        <x:v>DESCRIPTIVE</x:v>
      </x:c>
      <x:c r="AI110" s="2" t="str">
        <x:f t="shared" si="13"/>
        <x:v>NO</x:v>
      </x:c>
    </x:row>
    <x:row r="111" ht="40.5">
      <x:c r="A111" s="2">
        <x:v>952</x:v>
      </x:c>
      <x:c r="B111" s="2">
        <x:v>1035629</x:v>
      </x:c>
      <x:c r="C111" s="2">
        <x:v>54870</x:v>
      </x:c>
      <x:c r="D111" s="2">
        <x:v>2183</x:v>
      </x:c>
      <x:c r="E111" s="2" t="s">
        <x:v>45</x:v>
      </x:c>
      <x:c r="F111" s="2" t="s">
        <x:v>206</x:v>
      </x:c>
      <x:c r="G111" s="2" t="s">
        <x:v>129</x:v>
      </x:c>
      <x:c r="H111" s="2" t="s">
        <x:v>107</x:v>
      </x:c>
      <x:c r="I111" s="2" t="s">
        <x:v>108</x:v>
      </x:c>
      <x:c r="J111" s="2">
        <x:v>4</x:v>
      </x:c>
      <x:c r="K111" s="2" t="s">
        <x:v>117</x:v>
      </x:c>
      <x:c r="L111" s="2" t="s">
        <x:v>110</x:v>
      </x:c>
      <x:c r="M111" s="2"/>
      <x:c r="N111" s="2">
        <x:v>6000</x:v>
      </x:c>
      <x:c r="O111" s="2">
        <x:v>3900</x:v>
      </x:c>
      <x:c r="P111" s="2">
        <x:v>9100</x:v>
      </x:c>
      <x:c r="Q111" s="2" t="s">
        <x:v>111</x:v>
      </x:c>
      <x:c r="R111" s="2">
        <x:v>6000</x:v>
      </x:c>
      <x:c r="S111" s="2" t="s">
        <x:v>111</x:v>
      </x:c>
      <x:c r="T111" s="2">
        <x:v>20</x:v>
      </x:c>
      <x:c r="U111" s="2">
        <x:v>7</x:v>
      </x:c>
      <x:c r="V111" s="2">
        <x:v>8</x:v>
      </x:c>
      <x:c r="W111" s="2"/>
      <x:c r="X111" s="2" t="s">
        <x:v>130</x:v>
      </x:c>
      <x:c r="Y111" s="2" t="s">
        <x:v>113</x:v>
      </x:c>
      <x:c r="Z111" s="2" t="s">
        <x:v>114</x:v>
      </x:c>
      <x:c r="AA111" s="11" t="n">
        <x:f>IFERROR(VLOOKUP(E111,Harmonization_Rules!$A$2:$B$9,2,FALSE),"")</x:f>
        <x:v>58.6934</x:v>
      </x:c>
      <x:c r="AB111" s="2" t="str">
        <x:f t="shared" si="7"/>
        <x:v>ECOTOX_STANDARDIZED_TARGET_METAL</x:v>
      </x:c>
      <x:c r="AC111" s="12">
        <x:f t="shared" si="8"/>
        <x:v>6</x:v>
      </x:c>
      <x:c r="AD111" s="12">
        <x:f t="shared" si="9"/>
        <x:v>102.22614467725504</x:v>
      </x:c>
      <x:c r="AE111" s="12">
        <x:f t="shared" si="10"/>
        <x:v>4.6271874638133985</x:v>
      </x:c>
      <x:c r="AF111" s="2" t="str">
        <x:f t="shared" si="11"/>
        <x:v>HARMONIZED</x:v>
      </x:c>
      <x:c r="AG111" s="2" t="str">
        <x:f>IF(E111="Cr","Cr(VI) chromate/dichromate rows are retained but molar conversion is held until source-specific compound-vs-ion basis is resolved.",IF(D111=2977,"OBrien 1988 reports total dissolved Cu LC159 values in 10^-6 M; the numeric Analysis_Point is therefore treated directly as umol Cu/L.",IF(AND(D111=6825,L111="Formulation"),"Nipper 1993 source check showed the reported concentrations are nominal Zn; formulation coding does not trigger compound-mass conversion.",IF(Y111="PRIMARY_RECOVERED","Source-recovered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1" s="2" t="str">
        <x:f t="shared" si="12"/>
        <x:v>DESCRIPTIVE</x:v>
      </x:c>
      <x:c r="AI111" s="2" t="str">
        <x:f t="shared" si="13"/>
        <x:v>NO</x:v>
      </x:c>
    </x:row>
    <x:row r="112" ht="40.5">
      <x:c r="A112" s="2">
        <x:v>963</x:v>
      </x:c>
      <x:c r="B112" s="2">
        <x:v>1054978</x:v>
      </x:c>
      <x:c r="C112" s="2">
        <x:v>131352</x:v>
      </x:c>
      <x:c r="D112" s="2">
        <x:v>3826</x:v>
      </x:c>
      <x:c r="E112" s="2" t="s">
        <x:v>45</x:v>
      </x:c>
      <x:c r="F112" s="2" t="s">
        <x:v>206</x:v>
      </x:c>
      <x:c r="G112" s="2" t="s">
        <x:v>141</x:v>
      </x:c>
      <x:c r="H112" s="2" t="s">
        <x:v>135</x:v>
      </x:c>
      <x:c r="I112" s="2" t="s">
        <x:v>108</x:v>
      </x:c>
      <x:c r="J112" s="2">
        <x:v>3</x:v>
      </x:c>
      <x:c r="K112" s="2" t="s">
        <x:v>117</x:v>
      </x:c>
      <x:c r="L112" s="2" t="s">
        <x:v>110</x:v>
      </x:c>
      <x:c r="M112" s="2"/>
      <x:c r="N112" s="2">
        <x:v>6.0060000000000002</x:v>
      </x:c>
      <x:c r="O112" s="2">
        <x:v>4.0949999999999998</x:v>
      </x:c>
      <x:c r="P112" s="2">
        <x:v>8.6959999999999997</x:v>
      </x:c>
      <x:c r="Q112" s="2" t="s">
        <x:v>207</x:v>
      </x:c>
      <x:c r="R112" s="2">
        <x:v>6.0060000000000002</x:v>
      </x:c>
      <x:c r="S112" s="2" t="s">
        <x:v>207</x:v>
      </x:c>
      <x:c r="T112" s="2">
        <x:v>15</x:v>
      </x:c>
      <x:c r="U112" s="2">
        <x:v>30</x:v>
      </x:c>
      <x:c r="V112" s="2"/>
      <x:c r="W112" s="2"/>
      <x:c r="X112" s="2" t="s">
        <x:v>208</x:v>
      </x:c>
      <x:c r="Y112" s="2" t="s">
        <x:v>113</x:v>
      </x:c>
      <x:c r="Z112" s="2" t="s">
        <x:v>114</x:v>
      </x:c>
      <x:c r="AA112" s="11" t="n">
        <x:f>IFERROR(VLOOKUP(E112,Harmonization_Rules!$A$2:$B$9,2,FALSE),"")</x:f>
        <x:v>58.6934</x:v>
      </x:c>
      <x:c r="AB112" s="2" t="str">
        <x:f t="shared" si="7"/>
        <x:v>ECOTOX_STANDARDIZED_TARGET_METAL</x:v>
      </x:c>
      <x:c r="AC112" s="12">
        <x:f t="shared" si="8"/>
        <x:v>6.0060000000000002</x:v>
      </x:c>
      <x:c r="AD112" s="12">
        <x:f t="shared" si="9"/>
        <x:v>102.32837082193228</x:v>
      </x:c>
      <x:c r="AE112" s="12">
        <x:f t="shared" si="10"/>
        <x:v>4.6281869641464821</x:v>
      </x:c>
      <x:c r="AF112" s="2" t="str">
        <x:f t="shared" si="11"/>
        <x:v>HARMONIZED</x:v>
      </x:c>
      <x:c r="AG112" s="2" t="str">
        <x:f>IF(E112="Cr","Cr(VI) chromate/dichromate rows are retained but molar conversion is held until source-specific compound-vs-ion basis is resolved.",IF(D112=2977,"OBrien 1988 reports total dissolved Cu LC160 values in 10^-6 M; the numeric Analysis_Point is therefore treated directly as umol Cu/L.",IF(AND(D112=6825,L112="Formulation"),"Nipper 1993 source check showed the reported concentrations are nominal Zn; formulation coding does not trigger compound-mass conversion.",IF(Y112="PRIMARY_RECOVERED","Source-recovered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2" s="2" t="str">
        <x:f t="shared" si="12"/>
        <x:v>DESCRIPTIVE</x:v>
      </x:c>
      <x:c r="AI112" s="2" t="str">
        <x:f t="shared" si="13"/>
        <x:v>NO</x:v>
      </x:c>
    </x:row>
    <x:row r="113" ht="40.5">
      <x:c r="A113" s="2">
        <x:v>972</x:v>
      </x:c>
      <x:c r="B113" s="2">
        <x:v>1096430</x:v>
      </x:c>
      <x:c r="C113" s="2">
        <x:v>121126</x:v>
      </x:c>
      <x:c r="D113" s="2">
        <x:v>6825</x:v>
      </x:c>
      <x:c r="E113" s="2" t="s">
        <x:v>21</x:v>
      </x:c>
      <x:c r="F113" s="2" t="s">
        <x:v>211</x:v>
      </x:c>
      <x:c r="G113" s="2" t="s">
        <x:v>212</x:v>
      </x:c>
      <x:c r="H113" s="2" t="s">
        <x:v>135</x:v>
      </x:c>
      <x:c r="I113" s="2" t="s">
        <x:v>108</x:v>
      </x:c>
      <x:c r="J113" s="2">
        <x:v>2</x:v>
      </x:c>
      <x:c r="K113" s="2" t="s">
        <x:v>117</x:v>
      </x:c>
      <x:c r="L113" s="2" t="s">
        <x:v>110</x:v>
      </x:c>
      <x:c r="M113" s="2"/>
      <x:c r="N113" s="2">
        <x:v>30</x:v>
      </x:c>
      <x:c r="O113" s="2">
        <x:v>23</x:v>
      </x:c>
      <x:c r="P113" s="2">
        <x:v>35</x:v>
      </x:c>
      <x:c r="Q113" s="2" t="s">
        <x:v>111</x:v>
      </x:c>
      <x:c r="R113" s="2">
        <x:v>30</x:v>
      </x:c>
      <x:c r="S113" s="2" t="s">
        <x:v>111</x:v>
      </x:c>
      <x:c r="T113" s="2">
        <x:v>25</x:v>
      </x:c>
      <x:c r="U113" s="2">
        <x:v>25</x:v>
      </x:c>
      <x:c r="V113" s="2"/>
      <x:c r="W113" s="2"/>
      <x:c r="X113" s="2" t="s">
        <x:v>213</x:v>
      </x:c>
      <x:c r="Y113" s="2" t="s">
        <x:v>113</x:v>
      </x:c>
      <x:c r="Z113" s="2" t="s">
        <x:v>114</x:v>
      </x:c>
      <x:c r="AA113" s="11" t="n">
        <x:f>IFERROR(VLOOKUP(E113,Harmonization_Rules!$A$2:$B$9,2,FALSE),"")</x:f>
        <x:v>65.38</x:v>
      </x:c>
      <x:c r="AB113" s="2" t="str">
        <x:f t="shared" si="7"/>
        <x:v>ECOTOX_STANDARDIZED_TARGET_METAL</x:v>
      </x:c>
      <x:c r="AC113" s="12">
        <x:f t="shared" si="8"/>
        <x:v>0.03</x:v>
      </x:c>
      <x:c r="AD113" s="12">
        <x:f t="shared" si="9"/>
        <x:v>0.45885591924135827</x:v>
      </x:c>
      <x:c r="AE113" s="12">
        <x:f t="shared" si="10"/>
        <x:v>-0.77901901963390907</x:v>
      </x:c>
      <x:c r="AF113" s="2" t="str">
        <x:f t="shared" si="11"/>
        <x:v>HARMONIZED</x:v>
      </x:c>
      <x:c r="AG113" s="2" t="str">
        <x:f>IF(E113="Cr","Cr(VI) chromate/dichromate rows are retained but molar conversion is held until source-specific compound-vs-ion basis is resolved.",IF(D113=2977,"OBrien 1988 reports total dissolved Cu LC161 values in 10^-6 M; the numeric Analysis_Point is therefore treated directly as umol Cu/L.",IF(AND(D113=6825,L113="Formulation"),"Nipper 1993 source check showed the reported concentrations are nominal Zn; formulation coding does not trigger compound-mass conversion.",IF(Y113="PRIMARY_RECOVERED","Source-recovered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3" s="2" t="str">
        <x:f t="shared" si="12"/>
        <x:v>CORE</x:v>
      </x:c>
      <x:c r="AI113" s="2" t="str">
        <x:f t="shared" si="13"/>
        <x:v>YES</x:v>
      </x:c>
    </x:row>
    <x:row r="114" ht="40.5">
      <x:c r="A114" s="2">
        <x:v>983</x:v>
      </x:c>
      <x:c r="B114" s="2">
        <x:v>1096428</x:v>
      </x:c>
      <x:c r="C114" s="2">
        <x:v>121124</x:v>
      </x:c>
      <x:c r="D114" s="2">
        <x:v>6825</x:v>
      </x:c>
      <x:c r="E114" s="2" t="s">
        <x:v>21</x:v>
      </x:c>
      <x:c r="F114" s="2" t="s">
        <x:v>211</x:v>
      </x:c>
      <x:c r="G114" s="2" t="s">
        <x:v>212</x:v>
      </x:c>
      <x:c r="H114" s="2" t="s">
        <x:v>135</x:v>
      </x:c>
      <x:c r="I114" s="2" t="s">
        <x:v>108</x:v>
      </x:c>
      <x:c r="J114" s="2">
        <x:v>2</x:v>
      </x:c>
      <x:c r="K114" s="2" t="s">
        <x:v>117</x:v>
      </x:c>
      <x:c r="L114" s="2" t="s">
        <x:v>110</x:v>
      </x:c>
      <x:c r="M114" s="2"/>
      <x:c r="N114" s="2">
        <x:v>90</x:v>
      </x:c>
      <x:c r="O114" s="2">
        <x:v>60</x:v>
      </x:c>
      <x:c r="P114" s="2">
        <x:v>120</x:v>
      </x:c>
      <x:c r="Q114" s="2" t="s">
        <x:v>111</x:v>
      </x:c>
      <x:c r="R114" s="2">
        <x:v>90</x:v>
      </x:c>
      <x:c r="S114" s="2" t="s">
        <x:v>111</x:v>
      </x:c>
      <x:c r="T114" s="2">
        <x:v>25</x:v>
      </x:c>
      <x:c r="U114" s="2">
        <x:v>33.5</x:v>
      </x:c>
      <x:c r="V114" s="2"/>
      <x:c r="W114" s="2"/>
      <x:c r="X114" s="2" t="s">
        <x:v>213</x:v>
      </x:c>
      <x:c r="Y114" s="2" t="s">
        <x:v>113</x:v>
      </x:c>
      <x:c r="Z114" s="2" t="s">
        <x:v>114</x:v>
      </x:c>
      <x:c r="AA114" s="11" t="n">
        <x:f>IFERROR(VLOOKUP(E114,Harmonization_Rules!$A$2:$B$9,2,FALSE),"")</x:f>
        <x:v>65.38</x:v>
      </x:c>
      <x:c r="AB114" s="2" t="str">
        <x:f t="shared" si="7"/>
        <x:v>ECOTOX_STANDARDIZED_TARGET_METAL</x:v>
      </x:c>
      <x:c r="AC114" s="12">
        <x:f t="shared" si="8"/>
        <x:v>0.09</x:v>
      </x:c>
      <x:c r="AD114" s="12">
        <x:f t="shared" si="9"/>
        <x:v>1.3765677577240747</x:v>
      </x:c>
      <x:c r="AE114" s="12">
        <x:f t="shared" si="10"/>
        <x:v>0.31959326903420054</x:v>
      </x:c>
      <x:c r="AF114" s="2" t="str">
        <x:f t="shared" si="11"/>
        <x:v>HARMONIZED</x:v>
      </x:c>
      <x:c r="AG114" s="2" t="str">
        <x:f>IF(E114="Cr","Cr(VI) chromate/dichromate rows are retained but molar conversion is held until source-specific compound-vs-ion basis is resolved.",IF(D114=2977,"OBrien 1988 reports total dissolved Cu LC162 values in 10^-6 M; the numeric Analysis_Point is therefore treated directly as umol Cu/L.",IF(AND(D114=6825,L114="Formulation"),"Nipper 1993 source check showed the reported concentrations are nominal Zn; formulation coding does not trigger compound-mass conversion.",IF(Y114="PRIMARY_RECOVERED","Source-recovered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4" s="2" t="str">
        <x:f t="shared" si="12"/>
        <x:v>CORE</x:v>
      </x:c>
      <x:c r="AI114" s="2" t="str">
        <x:f t="shared" si="13"/>
        <x:v>YES</x:v>
      </x:c>
    </x:row>
    <x:row r="115" ht="40.5">
      <x:c r="A115" s="2">
        <x:v>997</x:v>
      </x:c>
      <x:c r="B115" s="2">
        <x:v>1096431</x:v>
      </x:c>
      <x:c r="C115" s="2">
        <x:v>121127</x:v>
      </x:c>
      <x:c r="D115" s="2">
        <x:v>6825</x:v>
      </x:c>
      <x:c r="E115" s="2" t="s">
        <x:v>21</x:v>
      </x:c>
      <x:c r="F115" s="2" t="s">
        <x:v>211</x:v>
      </x:c>
      <x:c r="G115" s="2" t="s">
        <x:v>212</x:v>
      </x:c>
      <x:c r="H115" s="2" t="s">
        <x:v>135</x:v>
      </x:c>
      <x:c r="I115" s="2" t="s">
        <x:v>108</x:v>
      </x:c>
      <x:c r="J115" s="2">
        <x:v>2</x:v>
      </x:c>
      <x:c r="K115" s="2" t="s">
        <x:v>117</x:v>
      </x:c>
      <x:c r="L115" s="2" t="s">
        <x:v>110</x:v>
      </x:c>
      <x:c r="M115" s="2"/>
      <x:c r="N115" s="2">
        <x:v>23</x:v>
      </x:c>
      <x:c r="O115" s="2">
        <x:v>4</x:v>
      </x:c>
      <x:c r="P115" s="2">
        <x:v>36</x:v>
      </x:c>
      <x:c r="Q115" s="2" t="s">
        <x:v>111</x:v>
      </x:c>
      <x:c r="R115" s="2">
        <x:v>23</x:v>
      </x:c>
      <x:c r="S115" s="2" t="s">
        <x:v>111</x:v>
      </x:c>
      <x:c r="T115" s="2">
        <x:v>25</x:v>
      </x:c>
      <x:c r="U115" s="2">
        <x:v>28</x:v>
      </x:c>
      <x:c r="V115" s="2"/>
      <x:c r="W115" s="2"/>
      <x:c r="X115" s="2" t="s">
        <x:v>213</x:v>
      </x:c>
      <x:c r="Y115" s="2" t="s">
        <x:v>113</x:v>
      </x:c>
      <x:c r="Z115" s="2" t="s">
        <x:v>114</x:v>
      </x:c>
      <x:c r="AA115" s="11" t="n">
        <x:f>IFERROR(VLOOKUP(E115,Harmonization_Rules!$A$2:$B$9,2,FALSE),"")</x:f>
        <x:v>65.38</x:v>
      </x:c>
      <x:c r="AB115" s="2" t="str">
        <x:f t="shared" si="7"/>
        <x:v>ECOTOX_STANDARDIZED_TARGET_METAL</x:v>
      </x:c>
      <x:c r="AC115" s="12">
        <x:f t="shared" si="8"/>
        <x:v>2.3E-2</x:v>
      </x:c>
      <x:c r="AD115" s="12">
        <x:f t="shared" si="9"/>
        <x:v>0.35178953808504132</x:v>
      </x:c>
      <x:c r="AE115" s="12">
        <x:f t="shared" si="10"/>
        <x:v>-1.0447221853669149</x:v>
      </x:c>
      <x:c r="AF115" s="2" t="str">
        <x:f t="shared" si="11"/>
        <x:v>HARMONIZED</x:v>
      </x:c>
      <x:c r="AG115" s="2" t="str">
        <x:f>IF(E115="Cr","Cr(VI) chromate/dichromate rows are retained but molar conversion is held until source-specific compound-vs-ion basis is resolved.",IF(D115=2977,"OBrien 1988 reports total dissolved Cu LC163 values in 10^-6 M; the numeric Analysis_Point is therefore treated directly as umol Cu/L.",IF(AND(D115=6825,L115="Formulation"),"Nipper 1993 source check showed the reported concentrations are nominal Zn; formulation coding does not trigger compound-mass conversion.",IF(Y115="PRIMARY_RECOVERED","Source-recovered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5" s="2" t="str">
        <x:f t="shared" si="12"/>
        <x:v>CORE</x:v>
      </x:c>
      <x:c r="AI115" s="2" t="str">
        <x:f t="shared" si="13"/>
        <x:v>YES</x:v>
      </x:c>
    </x:row>
    <x:row r="116" ht="40.5">
      <x:c r="A116" s="2">
        <x:v>1006</x:v>
      </x:c>
      <x:c r="B116" s="2">
        <x:v>1340234</x:v>
      </x:c>
      <x:c r="C116" s="2">
        <x:v>801239</x:v>
      </x:c>
      <x:c r="D116" s="2">
        <x:v>111830</x:v>
      </x:c>
      <x:c r="E116" s="2" t="s">
        <x:v>21</x:v>
      </x:c>
      <x:c r="F116" s="2" t="s">
        <x:v>211</x:v>
      </x:c>
      <x:c r="G116" s="2" t="s">
        <x:v>218</x:v>
      </x:c>
      <x:c r="H116" s="2" t="s">
        <x:v>107</x:v>
      </x:c>
      <x:c r="I116" s="2" t="s">
        <x:v>125</x:v>
      </x:c>
      <x:c r="J116" s="2">
        <x:v>4</x:v>
      </x:c>
      <x:c r="K116" s="2" t="s">
        <x:v>117</x:v>
      </x:c>
      <x:c r="L116" s="2" t="s">
        <x:v>110</x:v>
      </x:c>
      <x:c r="M116" s="2"/>
      <x:c r="N116" s="2">
        <x:v>1.7</x:v>
      </x:c>
      <x:c r="O116" s="2">
        <x:v>1.1000000000000001</x:v>
      </x:c>
      <x:c r="P116" s="2">
        <x:v>2.5</x:v>
      </x:c>
      <x:c r="Q116" s="2" t="s">
        <x:v>121</x:v>
      </x:c>
      <x:c r="R116" s="2">
        <x:v>1.7</x:v>
      </x:c>
      <x:c r="S116" s="2" t="s">
        <x:v>121</x:v>
      </x:c>
      <x:c r="T116" s="2">
        <x:v>21</x:v>
      </x:c>
      <x:c r="U116" s="2">
        <x:v>32</x:v>
      </x:c>
      <x:c r="V116" s="2">
        <x:v>8.1999999999999993</x:v>
      </x:c>
      <x:c r="W116" s="2"/>
      <x:c r="X116" s="2" t="s">
        <x:v>219</x:v>
      </x:c>
      <x:c r="Y116" s="2" t="s">
        <x:v>113</x:v>
      </x:c>
      <x:c r="Z116" s="2" t="s">
        <x:v>114</x:v>
      </x:c>
      <x:c r="AA116" s="11" t="n">
        <x:f>IFERROR(VLOOKUP(E116,Harmonization_Rules!$A$2:$B$9,2,FALSE),"")</x:f>
        <x:v>65.38</x:v>
      </x:c>
      <x:c r="AB116" s="2" t="str">
        <x:f t="shared" si="7"/>
        <x:v>ECOTOX_STANDARDIZED_TARGET_METAL</x:v>
      </x:c>
      <x:c r="AC116" s="12">
        <x:f t="shared" si="8"/>
        <x:v>1.7</x:v>
      </x:c>
      <x:c r="AD116" s="12">
        <x:f t="shared" si="9"/>
        <x:v>26.001835423676969</x:v>
      </x:c>
      <x:c r="AE116" s="12">
        <x:f t="shared" si="10"/>
        <x:v>3.258167128748243</x:v>
      </x:c>
      <x:c r="AF116" s="2" t="str">
        <x:f t="shared" si="11"/>
        <x:v>HARMONIZED</x:v>
      </x:c>
      <x:c r="AG116" s="2" t="str">
        <x:f>IF(E116="Cr","Cr(VI) chromate/dichromate rows are retained but molar conversion is held until source-specific compound-vs-ion basis is resolved.",IF(D116=2977,"OBrien 1988 reports total dissolved Cu LC164 values in 10^-6 M; the numeric Analysis_Point is therefore treated directly as umol Cu/L.",IF(AND(D116=6825,L116="Formulation"),"Nipper 1993 source check showed the reported concentrations are nominal Zn; formulation coding does not trigger compound-mass conversion.",IF(Y116="PRIMARY_RECOVERED","Source-recovered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6" s="2" t="str">
        <x:f t="shared" si="12"/>
        <x:v>CORE</x:v>
      </x:c>
      <x:c r="AI116" s="2" t="str">
        <x:f t="shared" si="13"/>
        <x:v>YES</x:v>
      </x:c>
    </x:row>
    <x:row r="117" ht="40.5">
      <x:c r="A117" s="2">
        <x:v>1007</x:v>
      </x:c>
      <x:c r="B117" s="2">
        <x:v>1096427</x:v>
      </x:c>
      <x:c r="C117" s="2">
        <x:v>121123</x:v>
      </x:c>
      <x:c r="D117" s="2">
        <x:v>6825</x:v>
      </x:c>
      <x:c r="E117" s="2" t="s">
        <x:v>21</x:v>
      </x:c>
      <x:c r="F117" s="2" t="s">
        <x:v>211</x:v>
      </x:c>
      <x:c r="G117" s="2" t="s">
        <x:v>212</x:v>
      </x:c>
      <x:c r="H117" s="2" t="s">
        <x:v>135</x:v>
      </x:c>
      <x:c r="I117" s="2" t="s">
        <x:v>108</x:v>
      </x:c>
      <x:c r="J117" s="2">
        <x:v>2</x:v>
      </x:c>
      <x:c r="K117" s="2" t="s">
        <x:v>117</x:v>
      </x:c>
      <x:c r="L117" s="2" t="s">
        <x:v>110</x:v>
      </x:c>
      <x:c r="M117" s="2"/>
      <x:c r="N117" s="2">
        <x:v>14</x:v>
      </x:c>
      <x:c r="O117" s="2">
        <x:v>5</x:v>
      </x:c>
      <x:c r="P117" s="2">
        <x:v>40</x:v>
      </x:c>
      <x:c r="Q117" s="2" t="s">
        <x:v>111</x:v>
      </x:c>
      <x:c r="R117" s="2">
        <x:v>14</x:v>
      </x:c>
      <x:c r="S117" s="2" t="s">
        <x:v>111</x:v>
      </x:c>
      <x:c r="T117" s="2">
        <x:v>25</x:v>
      </x:c>
      <x:c r="U117" s="2">
        <x:v>33.5</x:v>
      </x:c>
      <x:c r="V117" s="2"/>
      <x:c r="W117" s="2"/>
      <x:c r="X117" s="2" t="s">
        <x:v>213</x:v>
      </x:c>
      <x:c r="Y117" s="2" t="s">
        <x:v>113</x:v>
      </x:c>
      <x:c r="Z117" s="2" t="s">
        <x:v>114</x:v>
      </x:c>
      <x:c r="AA117" s="11" t="n">
        <x:f>IFERROR(VLOOKUP(E117,Harmonization_Rules!$A$2:$B$9,2,FALSE),"")</x:f>
        <x:v>65.38</x:v>
      </x:c>
      <x:c r="AB117" s="2" t="str">
        <x:f t="shared" si="7"/>
        <x:v>ECOTOX_STANDARDIZED_TARGET_METAL</x:v>
      </x:c>
      <x:c r="AC117" s="12">
        <x:f t="shared" si="8"/>
        <x:v>1.4E-2</x:v>
      </x:c>
      <x:c r="AD117" s="12">
        <x:f t="shared" si="9"/>
        <x:v>0.21413276231263384</x:v>
      </x:c>
      <x:c r="AE117" s="12">
        <x:f t="shared" si="10"/>
        <x:v>-1.5411590716808059</x:v>
      </x:c>
      <x:c r="AF117" s="2" t="str">
        <x:f t="shared" si="11"/>
        <x:v>HARMONIZED</x:v>
      </x:c>
      <x:c r="AG117" s="2" t="str">
        <x:f>IF(E117="Cr","Cr(VI) chromate/dichromate rows are retained but molar conversion is held until source-specific compound-vs-ion basis is resolved.",IF(D117=2977,"OBrien 1988 reports total dissolved Cu LC165 values in 10^-6 M; the numeric Analysis_Point is therefore treated directly as umol Cu/L.",IF(AND(D117=6825,L117="Formulation"),"Nipper 1993 source check showed the reported concentrations are nominal Zn; formulation coding does not trigger compound-mass conversion.",IF(Y117="PRIMARY_RECOVERED","Source-recovered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7" s="2" t="str">
        <x:f t="shared" si="12"/>
        <x:v>CORE</x:v>
      </x:c>
      <x:c r="AI117" s="2" t="str">
        <x:f t="shared" si="13"/>
        <x:v>YES</x:v>
      </x:c>
    </x:row>
    <x:row r="118" ht="40.5">
      <x:c r="A118" s="2">
        <x:v>1010</x:v>
      </x:c>
      <x:c r="B118" s="2">
        <x:v>1096445</x:v>
      </x:c>
      <x:c r="C118" s="2">
        <x:v>130165</x:v>
      </x:c>
      <x:c r="D118" s="2">
        <x:v>6825</x:v>
      </x:c>
      <x:c r="E118" s="2" t="s">
        <x:v>21</x:v>
      </x:c>
      <x:c r="F118" s="2" t="s">
        <x:v>211</x:v>
      </x:c>
      <x:c r="G118" s="2" t="s">
        <x:v>214</x:v>
      </x:c>
      <x:c r="H118" s="2" t="s">
        <x:v>135</x:v>
      </x:c>
      <x:c r="I118" s="2" t="s">
        <x:v>108</x:v>
      </x:c>
      <x:c r="J118" s="2">
        <x:v>2</x:v>
      </x:c>
      <x:c r="K118" s="2" t="s">
        <x:v>117</x:v>
      </x:c>
      <x:c r="L118" s="2" t="s">
        <x:v>110</x:v>
      </x:c>
      <x:c r="M118" s="2"/>
      <x:c r="N118" s="2">
        <x:v>320</x:v>
      </x:c>
      <x:c r="O118" s="2">
        <x:v>110</x:v>
      </x:c>
      <x:c r="P118" s="2">
        <x:v>940</x:v>
      </x:c>
      <x:c r="Q118" s="2" t="s">
        <x:v>111</x:v>
      </x:c>
      <x:c r="R118" s="2">
        <x:v>320</x:v>
      </x:c>
      <x:c r="S118" s="2" t="s">
        <x:v>111</x:v>
      </x:c>
      <x:c r="T118" s="2">
        <x:v>25</x:v>
      </x:c>
      <x:c r="U118" s="2">
        <x:v>33.5</x:v>
      </x:c>
      <x:c r="V118" s="2"/>
      <x:c r="W118" s="2"/>
      <x:c r="X118" s="2" t="s">
        <x:v>213</x:v>
      </x:c>
      <x:c r="Y118" s="2" t="s">
        <x:v>113</x:v>
      </x:c>
      <x:c r="Z118" s="2" t="s">
        <x:v>114</x:v>
      </x:c>
      <x:c r="AA118" s="11" t="n">
        <x:f>IFERROR(VLOOKUP(E118,Harmonization_Rules!$A$2:$B$9,2,FALSE),"")</x:f>
        <x:v>65.38</x:v>
      </x:c>
      <x:c r="AB118" s="2" t="str">
        <x:f t="shared" si="7"/>
        <x:v>ECOTOX_STANDARDIZED_TARGET_METAL</x:v>
      </x:c>
      <x:c r="AC118" s="12">
        <x:f t="shared" si="8"/>
        <x:v>0.32</x:v>
      </x:c>
      <x:c r="AD118" s="12">
        <x:f t="shared" si="9"/>
        <x:v>4.8944631385744879</x:v>
      </x:c>
      <x:c r="AE118" s="12">
        <x:f t="shared" si="10"/>
        <x:v>1.5881045944977077</x:v>
      </x:c>
      <x:c r="AF118" s="2" t="str">
        <x:f t="shared" si="11"/>
        <x:v>HARMONIZED</x:v>
      </x:c>
      <x:c r="AG118" s="2" t="str">
        <x:f>IF(E118="Cr","Cr(VI) chromate/dichromate rows are retained but molar conversion is held until source-specific compound-vs-ion basis is resolved.",IF(D118=2977,"OBrien 1988 reports total dissolved Cu LC166 values in 10^-6 M; the numeric Analysis_Point is therefore treated directly as umol Cu/L.",IF(AND(D118=6825,L118="Formulation"),"Nipper 1993 source check showed the reported concentrations are nominal Zn; formulation coding does not trigger compound-mass conversion.",IF(Y118="PRIMARY_RECOVERED","Source-recovered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8" s="2" t="str">
        <x:f t="shared" si="12"/>
        <x:v>CORE</x:v>
      </x:c>
      <x:c r="AI118" s="2" t="str">
        <x:f t="shared" si="13"/>
        <x:v>YES</x:v>
      </x:c>
    </x:row>
    <x:row r="119" ht="40.5">
      <x:c r="A119" s="2">
        <x:v>1019</x:v>
      </x:c>
      <x:c r="B119" s="2">
        <x:v>1340235</x:v>
      </x:c>
      <x:c r="C119" s="2">
        <x:v>801240</x:v>
      </x:c>
      <x:c r="D119" s="2">
        <x:v>111830</x:v>
      </x:c>
      <x:c r="E119" s="2" t="s">
        <x:v>21</x:v>
      </x:c>
      <x:c r="F119" s="2" t="s">
        <x:v>211</x:v>
      </x:c>
      <x:c r="G119" s="2" t="s">
        <x:v>218</x:v>
      </x:c>
      <x:c r="H119" s="2" t="s">
        <x:v>107</x:v>
      </x:c>
      <x:c r="I119" s="2" t="s">
        <x:v>108</x:v>
      </x:c>
      <x:c r="J119" s="2">
        <x:v>4</x:v>
      </x:c>
      <x:c r="K119" s="2" t="s">
        <x:v>117</x:v>
      </x:c>
      <x:c r="L119" s="2" t="s">
        <x:v>110</x:v>
      </x:c>
      <x:c r="M119" s="2"/>
      <x:c r="N119" s="2">
        <x:v>2.7</x:v>
      </x:c>
      <x:c r="O119" s="2">
        <x:v>1.7</x:v>
      </x:c>
      <x:c r="P119" s="2">
        <x:v>4.2</x:v>
      </x:c>
      <x:c r="Q119" s="2" t="s">
        <x:v>121</x:v>
      </x:c>
      <x:c r="R119" s="2">
        <x:v>2.7</x:v>
      </x:c>
      <x:c r="S119" s="2" t="s">
        <x:v>121</x:v>
      </x:c>
      <x:c r="T119" s="2">
        <x:v>21</x:v>
      </x:c>
      <x:c r="U119" s="2">
        <x:v>32</x:v>
      </x:c>
      <x:c r="V119" s="2">
        <x:v>8.1999999999999993</x:v>
      </x:c>
      <x:c r="W119" s="2"/>
      <x:c r="X119" s="2" t="s">
        <x:v>219</x:v>
      </x:c>
      <x:c r="Y119" s="2" t="s">
        <x:v>113</x:v>
      </x:c>
      <x:c r="Z119" s="2" t="s">
        <x:v>114</x:v>
      </x:c>
      <x:c r="AA119" s="11" t="n">
        <x:f>IFERROR(VLOOKUP(E119,Harmonization_Rules!$A$2:$B$9,2,FALSE),"")</x:f>
        <x:v>65.38</x:v>
      </x:c>
      <x:c r="AB119" s="2" t="str">
        <x:f t="shared" si="7"/>
        <x:v>ECOTOX_STANDARDIZED_TARGET_METAL</x:v>
      </x:c>
      <x:c r="AC119" s="12">
        <x:f t="shared" si="8"/>
        <x:v>2.7</x:v>
      </x:c>
      <x:c r="AD119" s="12">
        <x:f t="shared" si="9"/>
        <x:v>41.29703273172224</x:v>
      </x:c>
      <x:c r="AE119" s="12">
        <x:f t="shared" si="10"/>
        <x:v>3.720790650696356</x:v>
      </x:c>
      <x:c r="AF119" s="2" t="str">
        <x:f t="shared" si="11"/>
        <x:v>HARMONIZED</x:v>
      </x:c>
      <x:c r="AG119" s="2" t="str">
        <x:f>IF(E119="Cr","Cr(VI) chromate/dichromate rows are retained but molar conversion is held until source-specific compound-vs-ion basis is resolved.",IF(D119=2977,"OBrien 1988 reports total dissolved Cu LC167 values in 10^-6 M; the numeric Analysis_Point is therefore treated directly as umol Cu/L.",IF(AND(D119=6825,L119="Formulation"),"Nipper 1993 source check showed the reported concentrations are nominal Zn; formulation coding does not trigger compound-mass conversion.",IF(Y119="PRIMARY_RECOVERED","Source-recovered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19" s="2" t="str">
        <x:f t="shared" si="12"/>
        <x:v>CORE</x:v>
      </x:c>
      <x:c r="AI119" s="2" t="str">
        <x:f t="shared" si="13"/>
        <x:v>YES</x:v>
      </x:c>
    </x:row>
    <x:row r="120" ht="40.5">
      <x:c r="A120" s="2">
        <x:v>1022</x:v>
      </x:c>
      <x:c r="B120" s="2">
        <x:v>1096448</x:v>
      </x:c>
      <x:c r="C120" s="2">
        <x:v>130168</x:v>
      </x:c>
      <x:c r="D120" s="2">
        <x:v>6825</x:v>
      </x:c>
      <x:c r="E120" s="2" t="s">
        <x:v>21</x:v>
      </x:c>
      <x:c r="F120" s="2" t="s">
        <x:v>211</x:v>
      </x:c>
      <x:c r="G120" s="2" t="s">
        <x:v>214</x:v>
      </x:c>
      <x:c r="H120" s="2" t="s">
        <x:v>135</x:v>
      </x:c>
      <x:c r="I120" s="2" t="s">
        <x:v>108</x:v>
      </x:c>
      <x:c r="J120" s="2">
        <x:v>2</x:v>
      </x:c>
      <x:c r="K120" s="2" t="s">
        <x:v>117</x:v>
      </x:c>
      <x:c r="L120" s="2" t="s">
        <x:v>215</x:v>
      </x:c>
      <x:c r="M120" s="2"/>
      <x:c r="N120" s="2">
        <x:v>700</x:v>
      </x:c>
      <x:c r="O120" s="2">
        <x:v>10</x:v>
      </x:c>
      <x:c r="P120" s="2">
        <x:v>940</x:v>
      </x:c>
      <x:c r="Q120" s="2" t="s">
        <x:v>111</x:v>
      </x:c>
      <x:c r="R120" s="2">
        <x:v>700</x:v>
      </x:c>
      <x:c r="S120" s="2" t="s">
        <x:v>111</x:v>
      </x:c>
      <x:c r="T120" s="2">
        <x:v>25</x:v>
      </x:c>
      <x:c r="U120" s="2">
        <x:v>25</x:v>
      </x:c>
      <x:c r="V120" s="2"/>
      <x:c r="W120" s="2"/>
      <x:c r="X120" s="2" t="s">
        <x:v>213</x:v>
      </x:c>
      <x:c r="Y120" s="2" t="s">
        <x:v>220</x:v>
      </x:c>
      <x:c r="Z120" s="2" t="s">
        <x:v>221</x:v>
      </x:c>
      <x:c r="AA120" s="11" t="n">
        <x:f>IFERROR(VLOOKUP(E120,Harmonization_Rules!$A$2:$B$9,2,FALSE),"")</x:f>
        <x:v>65.38</x:v>
      </x:c>
      <x:c r="AB120" s="2" t="str">
        <x:f t="shared" si="7"/>
        <x:v>SOURCE_VERIFIED_TARGET_ZN</x:v>
      </x:c>
      <x:c r="AC120" s="12">
        <x:f t="shared" si="8"/>
        <x:v>0.7</x:v>
      </x:c>
      <x:c r="AD120" s="12">
        <x:f t="shared" si="9"/>
        <x:v>10.706638115631693</x:v>
      </x:c>
      <x:c r="AE120" s="12">
        <x:f t="shared" si="10"/>
        <x:v>2.3708639337473403</x:v>
      </x:c>
      <x:c r="AF120" s="2" t="str">
        <x:f t="shared" si="11"/>
        <x:v>HARMONIZED</x:v>
      </x:c>
      <x:c r="AG120" s="2" t="str">
        <x:f>IF(E120="Cr","Cr(VI) chromate/dichromate rows are retained but molar conversion is held until source-specific compound-vs-ion basis is resolved.",IF(D120=2977,"OBrien 1988 reports total dissolved Cu LC168 values in 10^-6 M; the numeric Analysis_Point is therefore treated directly as umol Cu/L.",IF(AND(D120=6825,L120="Formulation"),"Nipper 1993 source check showed the reported concentrations are nominal Zn; formulation coding does not trigger compound-mass conversion.",IF(Y120="PRIMARY_RECOVERED","Source-recovered point estimate retained, then converted on the target-metal scale.","ECOTOX standardized concentration used; for metal salts ECOTOX generally expresses concentration as active ionic form."))))</x:f>
        <x:v>Nipper 1993 source check showed the reported concentrations are nominal Zn; formulation coding does not trigger compound-mass conversion.</x:v>
      </x:c>
      <x:c r="AH120" s="2" t="str">
        <x:f t="shared" si="12"/>
        <x:v>CORE</x:v>
      </x:c>
      <x:c r="AI120" s="2" t="str">
        <x:f t="shared" si="13"/>
        <x:v>YES</x:v>
      </x:c>
    </x:row>
    <x:row r="121" ht="40.5">
      <x:c r="A121" s="2">
        <x:v>1027</x:v>
      </x:c>
      <x:c r="B121" s="2">
        <x:v>2095611</x:v>
      </x:c>
      <x:c r="C121" s="2">
        <x:v>2175506</x:v>
      </x:c>
      <x:c r="D121" s="2">
        <x:v>161986</x:v>
      </x:c>
      <x:c r="E121" s="2" t="s">
        <x:v>21</x:v>
      </x:c>
      <x:c r="F121" s="2" t="s">
        <x:v>211</x:v>
      </x:c>
      <x:c r="G121" s="2" t="s">
        <x:v>222</x:v>
      </x:c>
      <x:c r="H121" s="2" t="s">
        <x:v>107</x:v>
      </x:c>
      <x:c r="I121" s="2" t="s">
        <x:v>108</x:v>
      </x:c>
      <x:c r="J121" s="2">
        <x:v>4</x:v>
      </x:c>
      <x:c r="K121" s="2" t="s">
        <x:v>117</x:v>
      </x:c>
      <x:c r="L121" s="2" t="s">
        <x:v>110</x:v>
      </x:c>
      <x:c r="M121" s="2"/>
      <x:c r="N121" s="2">
        <x:v>0.38</x:v>
      </x:c>
      <x:c r="O121" s="2">
        <x:v>0.32</x:v>
      </x:c>
      <x:c r="P121" s="2">
        <x:v>0.46</x:v>
      </x:c>
      <x:c r="Q121" s="2" t="s">
        <x:v>121</x:v>
      </x:c>
      <x:c r="R121" s="2">
        <x:v>0.38</x:v>
      </x:c>
      <x:c r="S121" s="2" t="s">
        <x:v>121</x:v>
      </x:c>
      <x:c r="T121" s="2">
        <x:v>20</x:v>
      </x:c>
      <x:c r="U121" s="2">
        <x:v>30</x:v>
      </x:c>
      <x:c r="V121" s="2"/>
      <x:c r="W121" s="2"/>
      <x:c r="X121" s="2" t="s">
        <x:v>223</x:v>
      </x:c>
      <x:c r="Y121" s="2" t="s">
        <x:v>113</x:v>
      </x:c>
      <x:c r="Z121" s="2" t="s">
        <x:v>114</x:v>
      </x:c>
      <x:c r="AA121" s="11" t="n">
        <x:f>IFERROR(VLOOKUP(E121,Harmonization_Rules!$A$2:$B$9,2,FALSE),"")</x:f>
        <x:v>65.38</x:v>
      </x:c>
      <x:c r="AB121" s="2" t="str">
        <x:f t="shared" si="7"/>
        <x:v>ECOTOX_STANDARDIZED_TARGET_METAL</x:v>
      </x:c>
      <x:c r="AC121" s="12">
        <x:f t="shared" si="8"/>
        <x:v>0.38</x:v>
      </x:c>
      <x:c r="AD121" s="12">
        <x:f t="shared" si="9"/>
        <x:v>5.8121749770572047</x:v>
      </x:c>
      <x:c r="AE121" s="12">
        <x:f t="shared" si="10"/>
        <x:v>1.759954851424367</x:v>
      </x:c>
      <x:c r="AF121" s="2" t="str">
        <x:f t="shared" si="11"/>
        <x:v>HARMONIZED</x:v>
      </x:c>
      <x:c r="AG121" s="2" t="str">
        <x:f>IF(E121="Cr","Cr(VI) chromate/dichromate rows are retained but molar conversion is held until source-specific compound-vs-ion basis is resolved.",IF(D121=2977,"OBrien 1988 reports total dissolved Cu LC169 values in 10^-6 M; the numeric Analysis_Point is therefore treated directly as umol Cu/L.",IF(AND(D121=6825,L121="Formulation"),"Nipper 1993 source check showed the reported concentrations are nominal Zn; formulation coding does not trigger compound-mass conversion.",IF(Y121="PRIMARY_RECOVERED","Source-recovered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21" s="2" t="str">
        <x:f t="shared" si="12"/>
        <x:v>CORE</x:v>
      </x:c>
      <x:c r="AI121" s="2" t="str">
        <x:f t="shared" si="13"/>
        <x:v>YES</x:v>
      </x:c>
    </x:row>
    <x:row r="122" ht="40.5">
      <x:c r="A122" s="2">
        <x:v>1028</x:v>
      </x:c>
      <x:c r="B122" s="2">
        <x:v>2095611</x:v>
      </x:c>
      <x:c r="C122" s="2">
        <x:v>2175507</x:v>
      </x:c>
      <x:c r="D122" s="2">
        <x:v>161986</x:v>
      </x:c>
      <x:c r="E122" s="2" t="s">
        <x:v>21</x:v>
      </x:c>
      <x:c r="F122" s="2" t="s">
        <x:v>211</x:v>
      </x:c>
      <x:c r="G122" s="2" t="s">
        <x:v>222</x:v>
      </x:c>
      <x:c r="H122" s="2" t="s">
        <x:v>107</x:v>
      </x:c>
      <x:c r="I122" s="2" t="s">
        <x:v>108</x:v>
      </x:c>
      <x:c r="J122" s="2">
        <x:v>4</x:v>
      </x:c>
      <x:c r="K122" s="2" t="s">
        <x:v>117</x:v>
      </x:c>
      <x:c r="L122" s="2" t="s">
        <x:v>110</x:v>
      </x:c>
      <x:c r="M122" s="2"/>
      <x:c r="N122" s="2">
        <x:v>1.1000000000000001</x:v>
      </x:c>
      <x:c r="O122" s="2">
        <x:v>0.81</x:v>
      </x:c>
      <x:c r="P122" s="2">
        <x:v>1.47</x:v>
      </x:c>
      <x:c r="Q122" s="2" t="s">
        <x:v>121</x:v>
      </x:c>
      <x:c r="R122" s="2">
        <x:v>1.1000000000000001</x:v>
      </x:c>
      <x:c r="S122" s="2" t="s">
        <x:v>121</x:v>
      </x:c>
      <x:c r="T122" s="2">
        <x:v>20</x:v>
      </x:c>
      <x:c r="U122" s="2">
        <x:v>30</x:v>
      </x:c>
      <x:c r="V122" s="2"/>
      <x:c r="W122" s="2"/>
      <x:c r="X122" s="2" t="s">
        <x:v>223</x:v>
      </x:c>
      <x:c r="Y122" s="2" t="s">
        <x:v>113</x:v>
      </x:c>
      <x:c r="Z122" s="2" t="s">
        <x:v>114</x:v>
      </x:c>
      <x:c r="AA122" s="11" t="n">
        <x:f>IFERROR(VLOOKUP(E122,Harmonization_Rules!$A$2:$B$9,2,FALSE),"")</x:f>
        <x:v>65.38</x:v>
      </x:c>
      <x:c r="AB122" s="2" t="str">
        <x:f t="shared" si="7"/>
        <x:v>ECOTOX_STANDARDIZED_TARGET_METAL</x:v>
      </x:c>
      <x:c r="AC122" s="12">
        <x:f t="shared" si="8"/>
        <x:v>1.1000000000000001</x:v>
      </x:c>
      <x:c r="AD122" s="12">
        <x:f t="shared" si="9"/>
        <x:v>16.824717038849801</x:v>
      </x:c>
      <x:c r="AE122" s="12">
        <x:f t="shared" si="10"/>
        <x:v>2.8228490574903975</x:v>
      </x:c>
      <x:c r="AF122" s="2" t="str">
        <x:f t="shared" si="11"/>
        <x:v>HARMONIZED</x:v>
      </x:c>
      <x:c r="AG122" s="2" t="str">
        <x:f>IF(E122="Cr","Cr(VI) chromate/dichromate rows are retained but molar conversion is held until source-specific compound-vs-ion basis is resolved.",IF(D122=2977,"OBrien 1988 reports total dissolved Cu LC170 values in 10^-6 M; the numeric Analysis_Point is therefore treated directly as umol Cu/L.",IF(AND(D122=6825,L122="Formulation"),"Nipper 1993 source check showed the reported concentrations are nominal Zn; formulation coding does not trigger compound-mass conversion.",IF(Y122="PRIMARY_RECOVERED","Source-recovered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22" s="2" t="str">
        <x:f t="shared" si="12"/>
        <x:v>CORE</x:v>
      </x:c>
      <x:c r="AI122" s="2" t="str">
        <x:f t="shared" si="13"/>
        <x:v>YES</x:v>
      </x:c>
    </x:row>
    <x:row r="123" ht="40.5">
      <x:c r="A123" s="2">
        <x:v>1029</x:v>
      </x:c>
      <x:c r="B123" s="2">
        <x:v>2095611</x:v>
      </x:c>
      <x:c r="C123" s="2">
        <x:v>2175498</x:v>
      </x:c>
      <x:c r="D123" s="2">
        <x:v>161986</x:v>
      </x:c>
      <x:c r="E123" s="2" t="s">
        <x:v>21</x:v>
      </x:c>
      <x:c r="F123" s="2" t="s">
        <x:v>211</x:v>
      </x:c>
      <x:c r="G123" s="2" t="s">
        <x:v>222</x:v>
      </x:c>
      <x:c r="H123" s="2" t="s">
        <x:v>107</x:v>
      </x:c>
      <x:c r="I123" s="2" t="s">
        <x:v>108</x:v>
      </x:c>
      <x:c r="J123" s="2">
        <x:v>4</x:v>
      </x:c>
      <x:c r="K123" s="2" t="s">
        <x:v>117</x:v>
      </x:c>
      <x:c r="L123" s="2" t="s">
        <x:v>110</x:v>
      </x:c>
      <x:c r="M123" s="2"/>
      <x:c r="N123" s="2">
        <x:v>0.64</x:v>
      </x:c>
      <x:c r="O123" s="2">
        <x:v>0.51</x:v>
      </x:c>
      <x:c r="P123" s="2">
        <x:v>0.82</x:v>
      </x:c>
      <x:c r="Q123" s="2" t="s">
        <x:v>121</x:v>
      </x:c>
      <x:c r="R123" s="2">
        <x:v>0.64</x:v>
      </x:c>
      <x:c r="S123" s="2" t="s">
        <x:v>121</x:v>
      </x:c>
      <x:c r="T123" s="2">
        <x:v>20</x:v>
      </x:c>
      <x:c r="U123" s="2">
        <x:v>30</x:v>
      </x:c>
      <x:c r="V123" s="2"/>
      <x:c r="W123" s="2"/>
      <x:c r="X123" s="2" t="s">
        <x:v>223</x:v>
      </x:c>
      <x:c r="Y123" s="2" t="s">
        <x:v>113</x:v>
      </x:c>
      <x:c r="Z123" s="2" t="s">
        <x:v>114</x:v>
      </x:c>
      <x:c r="AA123" s="11" t="n">
        <x:f>IFERROR(VLOOKUP(E123,Harmonization_Rules!$A$2:$B$9,2,FALSE),"")</x:f>
        <x:v>65.38</x:v>
      </x:c>
      <x:c r="AB123" s="2" t="str">
        <x:f t="shared" si="7"/>
        <x:v>ECOTOX_STANDARDIZED_TARGET_METAL</x:v>
      </x:c>
      <x:c r="AC123" s="12">
        <x:f t="shared" si="8"/>
        <x:v>0.64</x:v>
      </x:c>
      <x:c r="AD123" s="12">
        <x:f t="shared" si="9"/>
        <x:v>9.7889262771489758</x:v>
      </x:c>
      <x:c r="AE123" s="12">
        <x:f t="shared" si="10"/>
        <x:v>2.2812517750576529</x:v>
      </x:c>
      <x:c r="AF123" s="2" t="str">
        <x:f t="shared" si="11"/>
        <x:v>HARMONIZED</x:v>
      </x:c>
      <x:c r="AG123" s="2" t="str">
        <x:f>IF(E123="Cr","Cr(VI) chromate/dichromate rows are retained but molar conversion is held until source-specific compound-vs-ion basis is resolved.",IF(D123=2977,"OBrien 1988 reports total dissolved Cu LC171 values in 10^-6 M; the numeric Analysis_Point is therefore treated directly as umol Cu/L.",IF(AND(D123=6825,L123="Formulation"),"Nipper 1993 source check showed the reported concentrations are nominal Zn; formulation coding does not trigger compound-mass conversion.",IF(Y123="PRIMARY_RECOVERED","Source-recovered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23" s="2" t="str">
        <x:f t="shared" si="12"/>
        <x:v>CORE</x:v>
      </x:c>
      <x:c r="AI123" s="2" t="str">
        <x:f t="shared" si="13"/>
        <x:v>YES</x:v>
      </x:c>
    </x:row>
    <x:row r="124" ht="40.5">
      <x:c r="A124" s="2">
        <x:v>1037</x:v>
      </x:c>
      <x:c r="B124" s="2">
        <x:v>1096426</x:v>
      </x:c>
      <x:c r="C124" s="2">
        <x:v>121122</x:v>
      </x:c>
      <x:c r="D124" s="2">
        <x:v>6825</x:v>
      </x:c>
      <x:c r="E124" s="2" t="s">
        <x:v>21</x:v>
      </x:c>
      <x:c r="F124" s="2" t="s">
        <x:v>211</x:v>
      </x:c>
      <x:c r="G124" s="2" t="s">
        <x:v>212</x:v>
      </x:c>
      <x:c r="H124" s="2" t="s">
        <x:v>135</x:v>
      </x:c>
      <x:c r="I124" s="2" t="s">
        <x:v>108</x:v>
      </x:c>
      <x:c r="J124" s="2">
        <x:v>2</x:v>
      </x:c>
      <x:c r="K124" s="2" t="s">
        <x:v>117</x:v>
      </x:c>
      <x:c r="L124" s="2" t="s">
        <x:v>215</x:v>
      </x:c>
      <x:c r="M124" s="2"/>
      <x:c r="N124" s="2">
        <x:v>40</x:v>
      </x:c>
      <x:c r="O124" s="2">
        <x:v>20</x:v>
      </x:c>
      <x:c r="P124" s="2">
        <x:v>80</x:v>
      </x:c>
      <x:c r="Q124" s="2" t="s">
        <x:v>111</x:v>
      </x:c>
      <x:c r="R124" s="2">
        <x:v>40</x:v>
      </x:c>
      <x:c r="S124" s="2" t="s">
        <x:v>111</x:v>
      </x:c>
      <x:c r="T124" s="2">
        <x:v>25</x:v>
      </x:c>
      <x:c r="U124" s="2">
        <x:v>33.5</x:v>
      </x:c>
      <x:c r="V124" s="2"/>
      <x:c r="W124" s="2"/>
      <x:c r="X124" s="2" t="s">
        <x:v>213</x:v>
      </x:c>
      <x:c r="Y124" s="2" t="s">
        <x:v>220</x:v>
      </x:c>
      <x:c r="Z124" s="2" t="s">
        <x:v>221</x:v>
      </x:c>
      <x:c r="AA124" s="11" t="n">
        <x:f>IFERROR(VLOOKUP(E124,Harmonization_Rules!$A$2:$B$9,2,FALSE),"")</x:f>
        <x:v>65.38</x:v>
      </x:c>
      <x:c r="AB124" s="2" t="str">
        <x:f t="shared" si="7"/>
        <x:v>SOURCE_VERIFIED_TARGET_ZN</x:v>
      </x:c>
      <x:c r="AC124" s="12">
        <x:f t="shared" si="8"/>
        <x:v>0.04</x:v>
      </x:c>
      <x:c r="AD124" s="12">
        <x:f t="shared" si="9"/>
        <x:v>0.61180789232181099</x:v>
      </x:c>
      <x:c r="AE124" s="12">
        <x:f t="shared" si="10"/>
        <x:v>-0.49133694718212823</x:v>
      </x:c>
      <x:c r="AF124" s="2" t="str">
        <x:f t="shared" si="11"/>
        <x:v>HARMONIZED</x:v>
      </x:c>
      <x:c r="AG124" s="2" t="str">
        <x:f>IF(E124="Cr","Cr(VI) chromate/dichromate rows are retained but molar conversion is held until source-specific compound-vs-ion basis is resolved.",IF(D124=2977,"OBrien 1988 reports total dissolved Cu LC172 values in 10^-6 M; the numeric Analysis_Point is therefore treated directly as umol Cu/L.",IF(AND(D124=6825,L124="Formulation"),"Nipper 1993 source check showed the reported concentrations are nominal Zn; formulation coding does not trigger compound-mass conversion.",IF(Y124="PRIMARY_RECOVERED","Source-recovered point estimate retained, then converted on the target-metal scale.","ECOTOX standardized concentration used; for metal salts ECOTOX generally expresses concentration as active ionic form."))))</x:f>
        <x:v>Nipper 1993 source check showed the reported concentrations are nominal Zn; formulation coding does not trigger compound-mass conversion.</x:v>
      </x:c>
      <x:c r="AH124" s="2" t="str">
        <x:f t="shared" si="12"/>
        <x:v>CORE</x:v>
      </x:c>
      <x:c r="AI124" s="2" t="str">
        <x:f t="shared" si="13"/>
        <x:v>YES</x:v>
      </x:c>
    </x:row>
    <x:row r="125" ht="40.5">
      <x:c r="A125" s="2">
        <x:v>1048</x:v>
      </x:c>
      <x:c r="B125" s="2">
        <x:v>1096450</x:v>
      </x:c>
      <x:c r="C125" s="2">
        <x:v>130170</x:v>
      </x:c>
      <x:c r="D125" s="2">
        <x:v>6825</x:v>
      </x:c>
      <x:c r="E125" s="2" t="s">
        <x:v>21</x:v>
      </x:c>
      <x:c r="F125" s="2" t="s">
        <x:v>211</x:v>
      </x:c>
      <x:c r="G125" s="2" t="s">
        <x:v>214</x:v>
      </x:c>
      <x:c r="H125" s="2" t="s">
        <x:v>135</x:v>
      </x:c>
      <x:c r="I125" s="2" t="s">
        <x:v>108</x:v>
      </x:c>
      <x:c r="J125" s="2">
        <x:v>2</x:v>
      </x:c>
      <x:c r="K125" s="2" t="s">
        <x:v>117</x:v>
      </x:c>
      <x:c r="L125" s="2" t="s">
        <x:v>215</x:v>
      </x:c>
      <x:c r="M125" s="2"/>
      <x:c r="N125" s="2">
        <x:v>890</x:v>
      </x:c>
      <x:c r="O125" s="2">
        <x:v>600</x:v>
      </x:c>
      <x:c r="P125" s="2">
        <x:v>1020</x:v>
      </x:c>
      <x:c r="Q125" s="2" t="s">
        <x:v>111</x:v>
      </x:c>
      <x:c r="R125" s="2">
        <x:v>890</x:v>
      </x:c>
      <x:c r="S125" s="2" t="s">
        <x:v>111</x:v>
      </x:c>
      <x:c r="T125" s="2">
        <x:v>25</x:v>
      </x:c>
      <x:c r="U125" s="2">
        <x:v>32</x:v>
      </x:c>
      <x:c r="V125" s="2"/>
      <x:c r="W125" s="2"/>
      <x:c r="X125" s="2" t="s">
        <x:v>213</x:v>
      </x:c>
      <x:c r="Y125" s="2" t="s">
        <x:v>220</x:v>
      </x:c>
      <x:c r="Z125" s="2" t="s">
        <x:v>221</x:v>
      </x:c>
      <x:c r="AA125" s="11" t="n">
        <x:f>IFERROR(VLOOKUP(E125,Harmonization_Rules!$A$2:$B$9,2,FALSE),"")</x:f>
        <x:v>65.38</x:v>
      </x:c>
      <x:c r="AB125" s="2" t="str">
        <x:f t="shared" si="7"/>
        <x:v>SOURCE_VERIFIED_TARGET_ZN</x:v>
      </x:c>
      <x:c r="AC125" s="12">
        <x:f t="shared" si="8"/>
        <x:v>0.89</x:v>
      </x:c>
      <x:c r="AD125" s="12">
        <x:f t="shared" si="9"/>
        <x:v>13.612725604160294</x:v>
      </x:c>
      <x:c r="AE125" s="12">
        <x:f t="shared" si="10"/>
        <x:v>2.611005061430121</x:v>
      </x:c>
      <x:c r="AF125" s="2" t="str">
        <x:f t="shared" si="11"/>
        <x:v>HARMONIZED</x:v>
      </x:c>
      <x:c r="AG125" s="2" t="str">
        <x:f>IF(E125="Cr","Cr(VI) chromate/dichromate rows are retained but molar conversion is held until source-specific compound-vs-ion basis is resolved.",IF(D125=2977,"OBrien 1988 reports total dissolved Cu LC173 values in 10^-6 M; the numeric Analysis_Point is therefore treated directly as umol Cu/L.",IF(AND(D125=6825,L125="Formulation"),"Nipper 1993 source check showed the reported concentrations are nominal Zn; formulation coding does not trigger compound-mass conversion.",IF(Y125="PRIMARY_RECOVERED","Source-recovered point estimate retained, then converted on the target-metal scale.","ECOTOX standardized concentration used; for metal salts ECOTOX generally expresses concentration as active ionic form."))))</x:f>
        <x:v>Nipper 1993 source check showed the reported concentrations are nominal Zn; formulation coding does not trigger compound-mass conversion.</x:v>
      </x:c>
      <x:c r="AH125" s="2" t="str">
        <x:f t="shared" si="12"/>
        <x:v>CORE</x:v>
      </x:c>
      <x:c r="AI125" s="2" t="str">
        <x:f t="shared" si="13"/>
        <x:v>YES</x:v>
      </x:c>
    </x:row>
    <x:row r="126" ht="40.5">
      <x:c r="A126" s="2">
        <x:v>1054</x:v>
      </x:c>
      <x:c r="B126" s="2">
        <x:v>1096425</x:v>
      </x:c>
      <x:c r="C126" s="2">
        <x:v>121121</x:v>
      </x:c>
      <x:c r="D126" s="2">
        <x:v>6825</x:v>
      </x:c>
      <x:c r="E126" s="2" t="s">
        <x:v>21</x:v>
      </x:c>
      <x:c r="F126" s="2" t="s">
        <x:v>211</x:v>
      </x:c>
      <x:c r="G126" s="2" t="s">
        <x:v>212</x:v>
      </x:c>
      <x:c r="H126" s="2" t="s">
        <x:v>135</x:v>
      </x:c>
      <x:c r="I126" s="2" t="s">
        <x:v>108</x:v>
      </x:c>
      <x:c r="J126" s="2">
        <x:v>2</x:v>
      </x:c>
      <x:c r="K126" s="2" t="s">
        <x:v>117</x:v>
      </x:c>
      <x:c r="L126" s="2" t="s">
        <x:v>215</x:v>
      </x:c>
      <x:c r="M126" s="2"/>
      <x:c r="N126" s="2">
        <x:v>31</x:v>
      </x:c>
      <x:c r="O126" s="2">
        <x:v>10</x:v>
      </x:c>
      <x:c r="P126" s="2">
        <x:v>46</x:v>
      </x:c>
      <x:c r="Q126" s="2" t="s">
        <x:v>111</x:v>
      </x:c>
      <x:c r="R126" s="2">
        <x:v>31</x:v>
      </x:c>
      <x:c r="S126" s="2" t="s">
        <x:v>111</x:v>
      </x:c>
      <x:c r="T126" s="2">
        <x:v>25</x:v>
      </x:c>
      <x:c r="U126" s="2">
        <x:v>33.5</x:v>
      </x:c>
      <x:c r="V126" s="2"/>
      <x:c r="W126" s="2"/>
      <x:c r="X126" s="2" t="s">
        <x:v>213</x:v>
      </x:c>
      <x:c r="Y126" s="2" t="s">
        <x:v>220</x:v>
      </x:c>
      <x:c r="Z126" s="2" t="s">
        <x:v>221</x:v>
      </x:c>
      <x:c r="AA126" s="11" t="n">
        <x:f>IFERROR(VLOOKUP(E126,Harmonization_Rules!$A$2:$B$9,2,FALSE),"")</x:f>
        <x:v>65.38</x:v>
      </x:c>
      <x:c r="AB126" s="2" t="str">
        <x:f t="shared" si="7"/>
        <x:v>SOURCE_VERIFIED_TARGET_ZN</x:v>
      </x:c>
      <x:c r="AC126" s="12">
        <x:f t="shared" si="8"/>
        <x:v>3.1E-2</x:v>
      </x:c>
      <x:c r="AD126" s="12">
        <x:f t="shared" si="9"/>
        <x:v>0.47415111654940351</x:v>
      </x:c>
      <x:c r="AE126" s="12">
        <x:f t="shared" si="10"/>
        <x:v>-0.74622919681091826</x:v>
      </x:c>
      <x:c r="AF126" s="2" t="str">
        <x:f t="shared" si="11"/>
        <x:v>HARMONIZED</x:v>
      </x:c>
      <x:c r="AG126" s="2" t="str">
        <x:f>IF(E126="Cr","Cr(VI) chromate/dichromate rows are retained but molar conversion is held until source-specific compound-vs-ion basis is resolved.",IF(D126=2977,"OBrien 1988 reports total dissolved Cu LC174 values in 10^-6 M; the numeric Analysis_Point is therefore treated directly as umol Cu/L.",IF(AND(D126=6825,L126="Formulation"),"Nipper 1993 source check showed the reported concentrations are nominal Zn; formulation coding does not trigger compound-mass conversion.",IF(Y126="PRIMARY_RECOVERED","Source-recovered point estimate retained, then converted on the target-metal scale.","ECOTOX standardized concentration used; for metal salts ECOTOX generally expresses concentration as active ionic form."))))</x:f>
        <x:v>Nipper 1993 source check showed the reported concentrations are nominal Zn; formulation coding does not trigger compound-mass conversion.</x:v>
      </x:c>
      <x:c r="AH126" s="2" t="str">
        <x:f t="shared" si="12"/>
        <x:v>CORE</x:v>
      </x:c>
      <x:c r="AI126" s="2" t="str">
        <x:f t="shared" si="13"/>
        <x:v>YES</x:v>
      </x:c>
    </x:row>
    <x:row r="127" ht="40.5">
      <x:c r="A127" s="2">
        <x:v>1064</x:v>
      </x:c>
      <x:c r="B127" s="2">
        <x:v>1096449</x:v>
      </x:c>
      <x:c r="C127" s="2">
        <x:v>130169</x:v>
      </x:c>
      <x:c r="D127" s="2">
        <x:v>6825</x:v>
      </x:c>
      <x:c r="E127" s="2" t="s">
        <x:v>21</x:v>
      </x:c>
      <x:c r="F127" s="2" t="s">
        <x:v>211</x:v>
      </x:c>
      <x:c r="G127" s="2" t="s">
        <x:v>214</x:v>
      </x:c>
      <x:c r="H127" s="2" t="s">
        <x:v>135</x:v>
      </x:c>
      <x:c r="I127" s="2" t="s">
        <x:v>108</x:v>
      </x:c>
      <x:c r="J127" s="2">
        <x:v>2</x:v>
      </x:c>
      <x:c r="K127" s="2" t="s">
        <x:v>117</x:v>
      </x:c>
      <x:c r="L127" s="2" t="s">
        <x:v>215</x:v>
      </x:c>
      <x:c r="M127" s="2"/>
      <x:c r="N127" s="2">
        <x:v>550</x:v>
      </x:c>
      <x:c r="O127" s="2">
        <x:v>0</x:v>
      </x:c>
      <x:c r="P127" s="2">
        <x:v>860</x:v>
      </x:c>
      <x:c r="Q127" s="2" t="s">
        <x:v>111</x:v>
      </x:c>
      <x:c r="R127" s="2">
        <x:v>550</x:v>
      </x:c>
      <x:c r="S127" s="2" t="s">
        <x:v>111</x:v>
      </x:c>
      <x:c r="T127" s="2">
        <x:v>25</x:v>
      </x:c>
      <x:c r="U127" s="2">
        <x:v>28</x:v>
      </x:c>
      <x:c r="V127" s="2"/>
      <x:c r="W127" s="2"/>
      <x:c r="X127" s="2" t="s">
        <x:v>213</x:v>
      </x:c>
      <x:c r="Y127" s="2" t="s">
        <x:v>220</x:v>
      </x:c>
      <x:c r="Z127" s="2" t="s">
        <x:v>221</x:v>
      </x:c>
      <x:c r="AA127" s="11" t="n">
        <x:f>IFERROR(VLOOKUP(E127,Harmonization_Rules!$A$2:$B$9,2,FALSE),"")</x:f>
        <x:v>65.38</x:v>
      </x:c>
      <x:c r="AB127" s="2" t="str">
        <x:f t="shared" si="7"/>
        <x:v>SOURCE_VERIFIED_TARGET_ZN</x:v>
      </x:c>
      <x:c r="AC127" s="12">
        <x:f t="shared" si="8"/>
        <x:v>0.55000000000000004</x:v>
      </x:c>
      <x:c r="AD127" s="12">
        <x:f t="shared" si="9"/>
        <x:v>8.4123585194249006</x:v>
      </x:c>
      <x:c r="AE127" s="12">
        <x:f t="shared" si="10"/>
        <x:v>2.1297018769304521</x:v>
      </x:c>
      <x:c r="AF127" s="2" t="str">
        <x:f t="shared" si="11"/>
        <x:v>HARMONIZED</x:v>
      </x:c>
      <x:c r="AG127" s="2" t="str">
        <x:f>IF(E127="Cr","Cr(VI) chromate/dichromate rows are retained but molar conversion is held until source-specific compound-vs-ion basis is resolved.",IF(D127=2977,"OBrien 1988 reports total dissolved Cu LC175 values in 10^-6 M; the numeric Analysis_Point is therefore treated directly as umol Cu/L.",IF(AND(D127=6825,L127="Formulation"),"Nipper 1993 source check showed the reported concentrations are nominal Zn; formulation coding does not trigger compound-mass conversion.",IF(Y127="PRIMARY_RECOVERED","Source-recovered point estimate retained, then converted on the target-metal scale.","ECOTOX standardized concentration used; for metal salts ECOTOX generally expresses concentration as active ionic form."))))</x:f>
        <x:v>Nipper 1993 source check showed the reported concentrations are nominal Zn; formulation coding does not trigger compound-mass conversion.</x:v>
      </x:c>
      <x:c r="AH127" s="2" t="str">
        <x:f t="shared" si="12"/>
        <x:v>CORE</x:v>
      </x:c>
      <x:c r="AI127" s="2" t="str">
        <x:f t="shared" si="13"/>
        <x:v>YES</x:v>
      </x:c>
    </x:row>
    <x:row r="128" ht="40.5">
      <x:c r="A128" s="2">
        <x:v>1068</x:v>
      </x:c>
      <x:c r="B128" s="2">
        <x:v>1096446</x:v>
      </x:c>
      <x:c r="C128" s="2">
        <x:v>130166</x:v>
      </x:c>
      <x:c r="D128" s="2">
        <x:v>6825</x:v>
      </x:c>
      <x:c r="E128" s="2" t="s">
        <x:v>21</x:v>
      </x:c>
      <x:c r="F128" s="2" t="s">
        <x:v>211</x:v>
      </x:c>
      <x:c r="G128" s="2" t="s">
        <x:v>214</x:v>
      </x:c>
      <x:c r="H128" s="2" t="s">
        <x:v>135</x:v>
      </x:c>
      <x:c r="I128" s="2" t="s">
        <x:v>108</x:v>
      </x:c>
      <x:c r="J128" s="2">
        <x:v>2</x:v>
      </x:c>
      <x:c r="K128" s="2" t="s">
        <x:v>117</x:v>
      </x:c>
      <x:c r="L128" s="2" t="s">
        <x:v>110</x:v>
      </x:c>
      <x:c r="M128" s="2"/>
      <x:c r="N128" s="2">
        <x:v>420</x:v>
      </x:c>
      <x:c r="O128" s="2">
        <x:v>310</x:v>
      </x:c>
      <x:c r="P128" s="2">
        <x:v>560</x:v>
      </x:c>
      <x:c r="Q128" s="2" t="s">
        <x:v>111</x:v>
      </x:c>
      <x:c r="R128" s="2">
        <x:v>420</x:v>
      </x:c>
      <x:c r="S128" s="2" t="s">
        <x:v>111</x:v>
      </x:c>
      <x:c r="T128" s="2">
        <x:v>25</x:v>
      </x:c>
      <x:c r="U128" s="2">
        <x:v>33.5</x:v>
      </x:c>
      <x:c r="V128" s="2"/>
      <x:c r="W128" s="2"/>
      <x:c r="X128" s="2" t="s">
        <x:v>213</x:v>
      </x:c>
      <x:c r="Y128" s="2" t="s">
        <x:v>113</x:v>
      </x:c>
      <x:c r="Z128" s="2" t="s">
        <x:v>114</x:v>
      </x:c>
      <x:c r="AA128" s="11" t="n">
        <x:f>IFERROR(VLOOKUP(E128,Harmonization_Rules!$A$2:$B$9,2,FALSE),"")</x:f>
        <x:v>65.38</x:v>
      </x:c>
      <x:c r="AB128" s="2" t="str">
        <x:f t="shared" si="7"/>
        <x:v>ECOTOX_STANDARDIZED_TARGET_METAL</x:v>
      </x:c>
      <x:c r="AC128" s="12">
        <x:f t="shared" si="8"/>
        <x:v>0.42</x:v>
      </x:c>
      <x:c r="AD128" s="12">
        <x:f t="shared" si="9"/>
        <x:v>6.4239828693790155</x:v>
      </x:c>
      <x:c r="AE128" s="12">
        <x:f t="shared" si="10"/>
        <x:v>1.8600383099813496</x:v>
      </x:c>
      <x:c r="AF128" s="2" t="str">
        <x:f t="shared" si="11"/>
        <x:v>HARMONIZED</x:v>
      </x:c>
      <x:c r="AG128" s="2" t="str">
        <x:f>IF(E128="Cr","Cr(VI) chromate/dichromate rows are retained but molar conversion is held until source-specific compound-vs-ion basis is resolved.",IF(D128=2977,"OBrien 1988 reports total dissolved Cu LC176 values in 10^-6 M; the numeric Analysis_Point is therefore treated directly as umol Cu/L.",IF(AND(D128=6825,L128="Formulation"),"Nipper 1993 source check showed the reported concentrations are nominal Zn; formulation coding does not trigger compound-mass conversion.",IF(Y128="PRIMARY_RECOVERED","Source-recovered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28" s="2" t="str">
        <x:f t="shared" si="12"/>
        <x:v>CORE</x:v>
      </x:c>
      <x:c r="AI128" s="2" t="str">
        <x:f t="shared" si="13"/>
        <x:v>YES</x:v>
      </x:c>
    </x:row>
    <x:row r="129" ht="40.5">
      <x:c r="A129" s="2">
        <x:v>1087</x:v>
      </x:c>
      <x:c r="B129" s="2">
        <x:v>1096432</x:v>
      </x:c>
      <x:c r="C129" s="2">
        <x:v>121128</x:v>
      </x:c>
      <x:c r="D129" s="2">
        <x:v>6825</x:v>
      </x:c>
      <x:c r="E129" s="2" t="s">
        <x:v>21</x:v>
      </x:c>
      <x:c r="F129" s="2" t="s">
        <x:v>211</x:v>
      </x:c>
      <x:c r="G129" s="2" t="s">
        <x:v>212</x:v>
      </x:c>
      <x:c r="H129" s="2" t="s">
        <x:v>135</x:v>
      </x:c>
      <x:c r="I129" s="2" t="s">
        <x:v>108</x:v>
      </x:c>
      <x:c r="J129" s="2">
        <x:v>2</x:v>
      </x:c>
      <x:c r="K129" s="2" t="s">
        <x:v>117</x:v>
      </x:c>
      <x:c r="L129" s="2" t="s">
        <x:v>215</x:v>
      </x:c>
      <x:c r="M129" s="2"/>
      <x:c r="N129" s="2">
        <x:v>31</x:v>
      </x:c>
      <x:c r="O129" s="2">
        <x:v>10</x:v>
      </x:c>
      <x:c r="P129" s="2">
        <x:v>46</x:v>
      </x:c>
      <x:c r="Q129" s="2" t="s">
        <x:v>111</x:v>
      </x:c>
      <x:c r="R129" s="2">
        <x:v>31</x:v>
      </x:c>
      <x:c r="S129" s="2" t="s">
        <x:v>111</x:v>
      </x:c>
      <x:c r="T129" s="2">
        <x:v>25</x:v>
      </x:c>
      <x:c r="U129" s="2">
        <x:v>32</x:v>
      </x:c>
      <x:c r="V129" s="2"/>
      <x:c r="W129" s="2"/>
      <x:c r="X129" s="2" t="s">
        <x:v>213</x:v>
      </x:c>
      <x:c r="Y129" s="2" t="s">
        <x:v>220</x:v>
      </x:c>
      <x:c r="Z129" s="2" t="s">
        <x:v>221</x:v>
      </x:c>
      <x:c r="AA129" s="11" t="n">
        <x:f>IFERROR(VLOOKUP(E129,Harmonization_Rules!$A$2:$B$9,2,FALSE),"")</x:f>
        <x:v>65.38</x:v>
      </x:c>
      <x:c r="AB129" s="2" t="str">
        <x:f t="shared" si="7"/>
        <x:v>SOURCE_VERIFIED_TARGET_ZN</x:v>
      </x:c>
      <x:c r="AC129" s="12">
        <x:f t="shared" si="8"/>
        <x:v>3.1E-2</x:v>
      </x:c>
      <x:c r="AD129" s="12">
        <x:f t="shared" si="9"/>
        <x:v>0.47415111654940351</x:v>
      </x:c>
      <x:c r="AE129" s="12">
        <x:f t="shared" si="10"/>
        <x:v>-0.74622919681091826</x:v>
      </x:c>
      <x:c r="AF129" s="2" t="str">
        <x:f t="shared" si="11"/>
        <x:v>HARMONIZED</x:v>
      </x:c>
      <x:c r="AG129" s="2" t="str">
        <x:f>IF(E129="Cr","Cr(VI) chromate/dichromate rows are retained but molar conversion is held until source-specific compound-vs-ion basis is resolved.",IF(D129=2977,"OBrien 1988 reports total dissolved Cu LC177 values in 10^-6 M; the numeric Analysis_Point is therefore treated directly as umol Cu/L.",IF(AND(D129=6825,L129="Formulation"),"Nipper 1993 source check showed the reported concentrations are nominal Zn; formulation coding does not trigger compound-mass conversion.",IF(Y129="PRIMARY_RECOVERED","Source-recovered point estimate retained, then converted on the target-metal scale.","ECOTOX standardized concentration used; for metal salts ECOTOX generally expresses concentration as active ionic form."))))</x:f>
        <x:v>Nipper 1993 source check showed the reported concentrations are nominal Zn; formulation coding does not trigger compound-mass conversion.</x:v>
      </x:c>
      <x:c r="AH129" s="2" t="str">
        <x:f t="shared" si="12"/>
        <x:v>CORE</x:v>
      </x:c>
      <x:c r="AI129" s="2" t="str">
        <x:f t="shared" si="13"/>
        <x:v>YES</x:v>
      </x:c>
    </x:row>
    <x:row r="130" ht="40.5">
      <x:c r="A130" s="2">
        <x:v>1106</x:v>
      </x:c>
      <x:c r="B130" s="2">
        <x:v>2095567</x:v>
      </x:c>
      <x:c r="C130" s="2">
        <x:v>2175478</x:v>
      </x:c>
      <x:c r="D130" s="2">
        <x:v>161986</x:v>
      </x:c>
      <x:c r="E130" s="2" t="s">
        <x:v>21</x:v>
      </x:c>
      <x:c r="F130" s="2" t="s">
        <x:v>211</x:v>
      </x:c>
      <x:c r="G130" s="2" t="s">
        <x:v>218</x:v>
      </x:c>
      <x:c r="H130" s="2" t="s">
        <x:v>107</x:v>
      </x:c>
      <x:c r="I130" s="2" t="s">
        <x:v>108</x:v>
      </x:c>
      <x:c r="J130" s="2">
        <x:v>4</x:v>
      </x:c>
      <x:c r="K130" s="2" t="s">
        <x:v>117</x:v>
      </x:c>
      <x:c r="L130" s="2" t="s">
        <x:v>110</x:v>
      </x:c>
      <x:c r="M130" s="2"/>
      <x:c r="N130" s="2">
        <x:v>2</x:v>
      </x:c>
      <x:c r="O130" s="2">
        <x:v>1.56</x:v>
      </x:c>
      <x:c r="P130" s="2">
        <x:v>2.25</x:v>
      </x:c>
      <x:c r="Q130" s="2" t="s">
        <x:v>121</x:v>
      </x:c>
      <x:c r="R130" s="2">
        <x:v>2</x:v>
      </x:c>
      <x:c r="S130" s="2" t="s">
        <x:v>121</x:v>
      </x:c>
      <x:c r="T130" s="2">
        <x:v>20</x:v>
      </x:c>
      <x:c r="U130" s="2">
        <x:v>30</x:v>
      </x:c>
      <x:c r="V130" s="2"/>
      <x:c r="W130" s="2"/>
      <x:c r="X130" s="2" t="s">
        <x:v>223</x:v>
      </x:c>
      <x:c r="Y130" s="2" t="s">
        <x:v>113</x:v>
      </x:c>
      <x:c r="Z130" s="2" t="s">
        <x:v>114</x:v>
      </x:c>
      <x:c r="AA130" s="11" t="n">
        <x:f>IFERROR(VLOOKUP(E130,Harmonization_Rules!$A$2:$B$9,2,FALSE),"")</x:f>
        <x:v>65.38</x:v>
      </x:c>
      <x:c r="AB130" s="2" t="str">
        <x:f t="shared" ref="AB130:AB193" si="14">IF(E130="Cr","PENDING_SOURCE_BASIS",IF(D130=2977,"SOURCE_VERIFIED_MICROMOLAR",IF(AND(D130=6825,L130="Formulation"),"SOURCE_VERIFIED_TARGET_ZN",IF(Y130="PRIMARY_RECOVERED","SOURCE_RECOVERED_TARGET_METAL","ECOTOX_STANDARDIZED_TARGET_METAL"))))</x:f>
        <x:v>ECOTOX_STANDARDIZED_TARGET_METAL</x:v>
      </x:c>
      <x:c r="AC130" s="12" t="n">
        <x:f t="shared" ref="AC130:AC193" si="15">IF(E130="Cr","",IF(D130=2977,R130*AA130/1000,IF(OR(S130="mg/L",S130="ppm"),R130,IF(OR(S130="ug/L",S130="ppb"),R130/1000,IF(S130="nM",R130*AA130/1000000,IF(S130="M",R130*AA130*1000,""))))))</x:f>
        <x:v>2</x:v>
      </x:c>
      <x:c r="AD130" s="12" t="n">
        <x:f t="shared" ref="AD130:AD193" si="16">IF(E130="Cr","",IF(D130=2977,R130,IF(S130="nM",R130/1000,IF(AC130&lt;&gt;"",AC130*1000/AA130,""))))</x:f>
        <x:v>30.59039461609055</x:v>
      </x:c>
      <x:c r="AE130" s="12" t="n">
        <x:f t="shared" ref="AE130:AE193" si="17">IF(AND(ISNUMBER(AD130),AD130&gt;0),LN(AD130),"")</x:f>
        <x:v>3.4206860582460177</x:v>
      </x:c>
      <x:c r="AF130" s="2" t="str">
        <x:f t="shared" ref="AF130:AF193" si="18">IF(E130="Cr","PENDING_CR_SOURCE_BASIS",IF(OR(S130="ug/L",S130="mg/L",S130="ppb",S130="ppm",S130="nM",AND(S130="M",D130=2977)),"HARMONIZED","NEEDS_REVIEW"))</x:f>
        <x:v>HARMONIZED</x:v>
      </x:c>
      <x:c r="AG130" s="2" t="str">
        <x:f>IF(E130="Cr","Cr(VI) chromate/dichromate rows are retained but molar conversion is held until source-specific compound-vs-ion basis is resolved.",IF(D130=2977,"OBrien 1988 reports total dissolved Cu LC178 values in 10^-6 M; the numeric Analysis_Point is therefore treated directly as umol Cu/L.",IF(AND(D130=6825,L130="Formulation"),"Nipper 1993 source check showed the reported concentrations are nominal Zn; formulation coding does not trigger compound-mass conversion.",IF(Y130="PRIMARY_RECOVERED","Source-recovered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0" s="2" t="str">
        <x:f t="shared" ref="AH130:AH193" si="19">IF(OR(E130="Cu",E130="Cd",E130="Zn"),"CORE",IF(E130="Ag","SECONDARY",IF(E130="Cr","SECONDARY",IF(E130="Hg","EXPLORATORY","DESCRIPTIVE"))))</x:f>
        <x:v>CORE</x:v>
      </x:c>
      <x:c r="AI130" s="2" t="str">
        <x:f t="shared" ref="AI130:AI193" si="20">IF(AND(AH130="CORE",AF130="HARMONIZED"),"YES","NO")</x:f>
        <x:v>YES</x:v>
      </x:c>
    </x:row>
    <x:row r="131" ht="40.5">
      <x:c r="A131" s="2">
        <x:v>1125</x:v>
      </x:c>
      <x:c r="B131" s="2">
        <x:v>1037874</x:v>
      </x:c>
      <x:c r="C131" s="2">
        <x:v>104479</x:v>
      </x:c>
      <x:c r="D131" s="2">
        <x:v>2332</x:v>
      </x:c>
      <x:c r="E131" s="2" t="s">
        <x:v>21</x:v>
      </x:c>
      <x:c r="F131" s="2" t="s">
        <x:v>211</x:v>
      </x:c>
      <x:c r="G131" s="2" t="s">
        <x:v>129</x:v>
      </x:c>
      <x:c r="H131" s="2" t="s">
        <x:v>107</x:v>
      </x:c>
      <x:c r="I131" s="2"/>
      <x:c r="J131" s="2">
        <x:v>4</x:v>
      </x:c>
      <x:c r="K131" s="2" t="s">
        <x:v>136</x:v>
      </x:c>
      <x:c r="L131" s="2" t="s">
        <x:v>110</x:v>
      </x:c>
      <x:c r="M131" s="2"/>
      <x:c r="N131" s="2">
        <x:v>2800</x:v>
      </x:c>
      <x:c r="O131" s="2">
        <x:v>2000</x:v>
      </x:c>
      <x:c r="P131" s="2">
        <x:v>3900</x:v>
      </x:c>
      <x:c r="Q131" s="2" t="s">
        <x:v>111</x:v>
      </x:c>
      <x:c r="R131" s="2">
        <x:v>2800</x:v>
      </x:c>
      <x:c r="S131" s="2" t="s">
        <x:v>111</x:v>
      </x:c>
      <x:c r="T131" s="2"/>
      <x:c r="U131" s="2">
        <x:v>25</x:v>
      </x:c>
      <x:c r="V131" s="2"/>
      <x:c r="W131" s="2"/>
      <x:c r="X131" s="2" t="s">
        <x:v>205</x:v>
      </x:c>
      <x:c r="Y131" s="2" t="s">
        <x:v>113</x:v>
      </x:c>
      <x:c r="Z131" s="2" t="s">
        <x:v>114</x:v>
      </x:c>
      <x:c r="AA131" s="11" t="n">
        <x:f>IFERROR(VLOOKUP(E131,Harmonization_Rules!$A$2:$B$9,2,FALSE),"")</x:f>
        <x:v>65.38</x:v>
      </x:c>
      <x:c r="AB131" s="2" t="str">
        <x:f t="shared" si="14"/>
        <x:v>ECOTOX_STANDARDIZED_TARGET_METAL</x:v>
      </x:c>
      <x:c r="AC131" s="12">
        <x:f t="shared" si="15"/>
        <x:v>2.8</x:v>
      </x:c>
      <x:c r="AD131" s="12">
        <x:f t="shared" si="16"/>
        <x:v>42.82655246252677</x:v>
      </x:c>
      <x:c r="AE131" s="12">
        <x:f t="shared" si="17"/>
        <x:v>3.7571582948672306</x:v>
      </x:c>
      <x:c r="AF131" s="2" t="str">
        <x:f t="shared" si="18"/>
        <x:v>HARMONIZED</x:v>
      </x:c>
      <x:c r="AG131" s="2" t="str">
        <x:f>IF(E131="Cr","Cr(VI) chromate/dichromate rows are retained but molar conversion is held until source-specific compound-vs-ion basis is resolved.",IF(D131=2977,"OBrien 1988 reports total dissolved Cu LC179 values in 10^-6 M; the numeric Analysis_Point is therefore treated directly as umol Cu/L.",IF(AND(D131=6825,L131="Formulation"),"Nipper 1993 source check showed the reported concentrations are nominal Zn; formulation coding does not trigger compound-mass conversion.",IF(Y131="PRIMARY_RECOVERED","Source-recovered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1" s="2" t="str">
        <x:f t="shared" si="19"/>
        <x:v>CORE</x:v>
      </x:c>
      <x:c r="AI131" s="2" t="str">
        <x:f t="shared" si="20"/>
        <x:v>YES</x:v>
      </x:c>
    </x:row>
    <x:row r="132" ht="54">
      <x:c r="A132" s="2">
        <x:v>1144</x:v>
      </x:c>
      <x:c r="B132" s="2">
        <x:v>2299150</x:v>
      </x:c>
      <x:c r="C132" s="2">
        <x:v>2706689</x:v>
      </x:c>
      <x:c r="D132" s="2">
        <x:v>5185</x:v>
      </x:c>
      <x:c r="E132" s="2" t="s">
        <x:v>21</x:v>
      </x:c>
      <x:c r="F132" s="2" t="s">
        <x:v>211</x:v>
      </x:c>
      <x:c r="G132" s="2" t="s">
        <x:v>129</x:v>
      </x:c>
      <x:c r="H132" s="2" t="s">
        <x:v>107</x:v>
      </x:c>
      <x:c r="I132" s="2" t="s">
        <x:v>108</x:v>
      </x:c>
      <x:c r="J132" s="2">
        <x:v>4</x:v>
      </x:c>
      <x:c r="K132" s="2" t="s">
        <x:v>117</x:v>
      </x:c>
      <x:c r="L132" s="2" t="s">
        <x:v>110</x:v>
      </x:c>
      <x:c r="M132" s="2"/>
      <x:c r="N132" s="2">
        <x:v>4.3</x:v>
      </x:c>
      <x:c r="O132" s="2">
        <x:v>3.6</x:v>
      </x:c>
      <x:c r="P132" s="2">
        <x:v>5.0999999999999996</x:v>
      </x:c>
      <x:c r="Q132" s="2" t="s">
        <x:v>121</x:v>
      </x:c>
      <x:c r="R132" s="2">
        <x:v>4.3</x:v>
      </x:c>
      <x:c r="S132" s="2" t="s">
        <x:v>121</x:v>
      </x:c>
      <x:c r="T132" s="2">
        <x:v>21</x:v>
      </x:c>
      <x:c r="U132" s="2">
        <x:v>7</x:v>
      </x:c>
      <x:c r="V132" s="2">
        <x:v>7.8</x:v>
      </x:c>
      <x:c r="W132" s="2"/>
      <x:c r="X132" s="2" t="s">
        <x:v>225</x:v>
      </x:c>
      <x:c r="Y132" s="2" t="s">
        <x:v>113</x:v>
      </x:c>
      <x:c r="Z132" s="2" t="s">
        <x:v>114</x:v>
      </x:c>
      <x:c r="AA132" s="11" t="n">
        <x:f>IFERROR(VLOOKUP(E132,Harmonization_Rules!$A$2:$B$9,2,FALSE),"")</x:f>
        <x:v>65.38</x:v>
      </x:c>
      <x:c r="AB132" s="2" t="str">
        <x:f t="shared" si="14"/>
        <x:v>ECOTOX_STANDARDIZED_TARGET_METAL</x:v>
      </x:c>
      <x:c r="AC132" s="12">
        <x:f t="shared" si="15"/>
        <x:v>4.3</x:v>
      </x:c>
      <x:c r="AD132" s="12">
        <x:f t="shared" si="16"/>
        <x:v>65.769348424594682</x:v>
      </x:c>
      <x:c r="AE132" s="12">
        <x:f t="shared" si="17"/>
        <x:v>4.1861539003855892</x:v>
      </x:c>
      <x:c r="AF132" s="2" t="str">
        <x:f t="shared" si="18"/>
        <x:v>HARMONIZED</x:v>
      </x:c>
      <x:c r="AG132" s="2" t="str">
        <x:f>IF(E132="Cr","Cr(VI) chromate/dichromate rows are retained but molar conversion is held until source-specific compound-vs-ion basis is resolved.",IF(D132=2977,"OBrien 1988 reports total dissolved Cu LC180 values in 10^-6 M; the numeric Analysis_Point is therefore treated directly as umol Cu/L.",IF(AND(D132=6825,L132="Formulation"),"Nipper 1993 source check showed the reported concentrations are nominal Zn; formulation coding does not trigger compound-mass conversion.",IF(Y132="PRIMARY_RECOVERED","Source-recovered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2" s="2" t="str">
        <x:f t="shared" si="19"/>
        <x:v>CORE</x:v>
      </x:c>
      <x:c r="AI132" s="2" t="str">
        <x:f t="shared" si="20"/>
        <x:v>YES</x:v>
      </x:c>
    </x:row>
    <x:row r="133" ht="40.5">
      <x:c r="A133" s="2">
        <x:v>1145</x:v>
      </x:c>
      <x:c r="B133" s="2">
        <x:v>2101666</x:v>
      </x:c>
      <x:c r="C133" s="2">
        <x:v>2186591</x:v>
      </x:c>
      <x:c r="D133" s="2">
        <x:v>150008</x:v>
      </x:c>
      <x:c r="E133" s="2" t="s">
        <x:v>21</x:v>
      </x:c>
      <x:c r="F133" s="2" t="s">
        <x:v>211</x:v>
      </x:c>
      <x:c r="G133" s="2" t="s">
        <x:v>106</x:v>
      </x:c>
      <x:c r="H133" s="2" t="s">
        <x:v>107</x:v>
      </x:c>
      <x:c r="I133" s="2" t="s">
        <x:v>125</x:v>
      </x:c>
      <x:c r="J133" s="2">
        <x:v>4</x:v>
      </x:c>
      <x:c r="K133" s="2" t="s">
        <x:v>126</x:v>
      </x:c>
      <x:c r="L133" s="2" t="s">
        <x:v>120</x:v>
      </x:c>
      <x:c r="M133" s="2"/>
      <x:c r="N133" s="2">
        <x:v>1.1399999999999999</x:v>
      </x:c>
      <x:c r="O133" s="2">
        <x:v>0.86</x:v>
      </x:c>
      <x:c r="P133" s="2">
        <x:v>1.5</x:v>
      </x:c>
      <x:c r="Q133" s="2" t="s">
        <x:v>121</x:v>
      </x:c>
      <x:c r="R133" s="2">
        <x:v>1.1399999999999999</x:v>
      </x:c>
      <x:c r="S133" s="2" t="s">
        <x:v>121</x:v>
      </x:c>
      <x:c r="T133" s="2">
        <x:v>25</x:v>
      </x:c>
      <x:c r="U133" s="2"/>
      <x:c r="V133" s="2"/>
      <x:c r="W133" s="2"/>
      <x:c r="X133" s="2" t="s">
        <x:v>127</x:v>
      </x:c>
      <x:c r="Y133" s="2" t="s">
        <x:v>113</x:v>
      </x:c>
      <x:c r="Z133" s="2" t="s">
        <x:v>114</x:v>
      </x:c>
      <x:c r="AA133" s="11" t="n">
        <x:f>IFERROR(VLOOKUP(E133,Harmonization_Rules!$A$2:$B$9,2,FALSE),"")</x:f>
        <x:v>65.38</x:v>
      </x:c>
      <x:c r="AB133" s="2" t="str">
        <x:f t="shared" si="14"/>
        <x:v>ECOTOX_STANDARDIZED_TARGET_METAL</x:v>
      </x:c>
      <x:c r="AC133" s="12">
        <x:f t="shared" si="15"/>
        <x:v>1.1399999999999999</x:v>
      </x:c>
      <x:c r="AD133" s="12">
        <x:f t="shared" si="16"/>
        <x:v>17.436524931171615</x:v>
      </x:c>
      <x:c r="AE133" s="12">
        <x:f t="shared" si="17"/>
        <x:v>2.8585671400924766</x:v>
      </x:c>
      <x:c r="AF133" s="2" t="str">
        <x:f t="shared" si="18"/>
        <x:v>HARMONIZED</x:v>
      </x:c>
      <x:c r="AG133" s="2" t="str">
        <x:f>IF(E133="Cr","Cr(VI) chromate/dichromate rows are retained but molar conversion is held until source-specific compound-vs-ion basis is resolved.",IF(D133=2977,"OBrien 1988 reports total dissolved Cu LC181 values in 10^-6 M; the numeric Analysis_Point is therefore treated directly as umol Cu/L.",IF(AND(D133=6825,L133="Formulation"),"Nipper 1993 source check showed the reported concentrations are nominal Zn; formulation coding does not trigger compound-mass conversion.",IF(Y133="PRIMARY_RECOVERED","Source-recovered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3" s="2" t="str">
        <x:f t="shared" si="19"/>
        <x:v>CORE</x:v>
      </x:c>
      <x:c r="AI133" s="2" t="str">
        <x:f t="shared" si="20"/>
        <x:v>YES</x:v>
      </x:c>
    </x:row>
    <x:row r="134" ht="40.5">
      <x:c r="A134" s="2">
        <x:v>1150</x:v>
      </x:c>
      <x:c r="B134" s="2">
        <x:v>1037871</x:v>
      </x:c>
      <x:c r="C134" s="2">
        <x:v>104476</x:v>
      </x:c>
      <x:c r="D134" s="2">
        <x:v>2332</x:v>
      </x:c>
      <x:c r="E134" s="2" t="s">
        <x:v>21</x:v>
      </x:c>
      <x:c r="F134" s="2" t="s">
        <x:v>211</x:v>
      </x:c>
      <x:c r="G134" s="2" t="s">
        <x:v>129</x:v>
      </x:c>
      <x:c r="H134" s="2" t="s">
        <x:v>107</x:v>
      </x:c>
      <x:c r="I134" s="2"/>
      <x:c r="J134" s="2">
        <x:v>4</x:v>
      </x:c>
      <x:c r="K134" s="2" t="s">
        <x:v>136</x:v>
      </x:c>
      <x:c r="L134" s="2" t="s">
        <x:v>110</x:v>
      </x:c>
      <x:c r="M134" s="2"/>
      <x:c r="N134" s="2">
        <x:v>2400</x:v>
      </x:c>
      <x:c r="O134" s="2">
        <x:v>2000</x:v>
      </x:c>
      <x:c r="P134" s="2">
        <x:v>2900</x:v>
      </x:c>
      <x:c r="Q134" s="2" t="s">
        <x:v>111</x:v>
      </x:c>
      <x:c r="R134" s="2">
        <x:v>2400</x:v>
      </x:c>
      <x:c r="S134" s="2" t="s">
        <x:v>111</x:v>
      </x:c>
      <x:c r="T134" s="2"/>
      <x:c r="U134" s="2">
        <x:v>15</x:v>
      </x:c>
      <x:c r="V134" s="2"/>
      <x:c r="W134" s="2"/>
      <x:c r="X134" s="2" t="s">
        <x:v>205</x:v>
      </x:c>
      <x:c r="Y134" s="2" t="s">
        <x:v>113</x:v>
      </x:c>
      <x:c r="Z134" s="2" t="s">
        <x:v>114</x:v>
      </x:c>
      <x:c r="AA134" s="11" t="n">
        <x:f>IFERROR(VLOOKUP(E134,Harmonization_Rules!$A$2:$B$9,2,FALSE),"")</x:f>
        <x:v>65.38</x:v>
      </x:c>
      <x:c r="AB134" s="2" t="str">
        <x:f t="shared" si="14"/>
        <x:v>ECOTOX_STANDARDIZED_TARGET_METAL</x:v>
      </x:c>
      <x:c r="AC134" s="12">
        <x:f t="shared" si="15"/>
        <x:v>2.4</x:v>
      </x:c>
      <x:c r="AD134" s="12">
        <x:f t="shared" si="16"/>
        <x:v>36.708473539308656</x:v>
      </x:c>
      <x:c r="AE134" s="12">
        <x:f t="shared" si="17"/>
        <x:v>3.6030076150399726</x:v>
      </x:c>
      <x:c r="AF134" s="2" t="str">
        <x:f t="shared" si="18"/>
        <x:v>HARMONIZED</x:v>
      </x:c>
      <x:c r="AG134" s="2" t="str">
        <x:f>IF(E134="Cr","Cr(VI) chromate/dichromate rows are retained but molar conversion is held until source-specific compound-vs-ion basis is resolved.",IF(D134=2977,"OBrien 1988 reports total dissolved Cu LC182 values in 10^-6 M; the numeric Analysis_Point is therefore treated directly as umol Cu/L.",IF(AND(D134=6825,L134="Formulation"),"Nipper 1993 source check showed the reported concentrations are nominal Zn; formulation coding does not trigger compound-mass conversion.",IF(Y134="PRIMARY_RECOVERED","Source-recovered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4" s="2" t="str">
        <x:f t="shared" si="19"/>
        <x:v>CORE</x:v>
      </x:c>
      <x:c r="AI134" s="2" t="str">
        <x:f t="shared" si="20"/>
        <x:v>YES</x:v>
      </x:c>
    </x:row>
    <x:row r="135" ht="40.5">
      <x:c r="A135" s="2">
        <x:v>1156</x:v>
      </x:c>
      <x:c r="B135" s="2">
        <x:v>1278692</x:v>
      </x:c>
      <x:c r="C135" s="2">
        <x:v>731972</x:v>
      </x:c>
      <x:c r="D135" s="2">
        <x:v>62291</x:v>
      </x:c>
      <x:c r="E135" s="2" t="s">
        <x:v>21</x:v>
      </x:c>
      <x:c r="F135" s="2" t="s">
        <x:v>211</x:v>
      </x:c>
      <x:c r="G135" s="2" t="s">
        <x:v>226</x:v>
      </x:c>
      <x:c r="H135" s="2" t="s">
        <x:v>107</x:v>
      </x:c>
      <x:c r="I135" s="2" t="s">
        <x:v>108</x:v>
      </x:c>
      <x:c r="J135" s="2">
        <x:v>4</x:v>
      </x:c>
      <x:c r="K135" s="2" t="s">
        <x:v>126</x:v>
      </x:c>
      <x:c r="L135" s="2" t="s">
        <x:v>110</x:v>
      </x:c>
      <x:c r="M135" s="2"/>
      <x:c r="N135" s="2">
        <x:v>715.2</x:v>
      </x:c>
      <x:c r="O135" s="2">
        <x:v>666.4</x:v>
      </x:c>
      <x:c r="P135" s="2">
        <x:v>764</x:v>
      </x:c>
      <x:c r="Q135" s="2" t="s">
        <x:v>111</x:v>
      </x:c>
      <x:c r="R135" s="2">
        <x:v>715.2</x:v>
      </x:c>
      <x:c r="S135" s="2" t="s">
        <x:v>111</x:v>
      </x:c>
      <x:c r="T135" s="2">
        <x:v>20</x:v>
      </x:c>
      <x:c r="U135" s="2"/>
      <x:c r="V135" s="2"/>
      <x:c r="W135" s="2"/>
      <x:c r="X135" s="2" t="s">
        <x:v>227</x:v>
      </x:c>
      <x:c r="Y135" s="2" t="s">
        <x:v>113</x:v>
      </x:c>
      <x:c r="Z135" s="2" t="s">
        <x:v>114</x:v>
      </x:c>
      <x:c r="AA135" s="11" t="n">
        <x:f>IFERROR(VLOOKUP(E135,Harmonization_Rules!$A$2:$B$9,2,FALSE),"")</x:f>
        <x:v>65.38</x:v>
      </x:c>
      <x:c r="AB135" s="2" t="str">
        <x:f t="shared" si="14"/>
        <x:v>ECOTOX_STANDARDIZED_TARGET_METAL</x:v>
      </x:c>
      <x:c r="AC135" s="12">
        <x:f t="shared" si="15"/>
        <x:v>0.71520000000000006</x:v>
      </x:c>
      <x:c r="AD135" s="12">
        <x:f t="shared" si="16"/>
        <x:v>10.939125114713981</x:v>
      </x:c>
      <x:c r="AE135" s="12">
        <x:f t="shared" si="17"/>
        <x:v>2.3923458225632399</x:v>
      </x:c>
      <x:c r="AF135" s="2" t="str">
        <x:f t="shared" si="18"/>
        <x:v>HARMONIZED</x:v>
      </x:c>
      <x:c r="AG135" s="2" t="str">
        <x:f>IF(E135="Cr","Cr(VI) chromate/dichromate rows are retained but molar conversion is held until source-specific compound-vs-ion basis is resolved.",IF(D135=2977,"OBrien 1988 reports total dissolved Cu LC183 values in 10^-6 M; the numeric Analysis_Point is therefore treated directly as umol Cu/L.",IF(AND(D135=6825,L135="Formulation"),"Nipper 1993 source check showed the reported concentrations are nominal Zn; formulation coding does not trigger compound-mass conversion.",IF(Y135="PRIMARY_RECOVERED","Source-recovered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5" s="2" t="str">
        <x:f t="shared" si="19"/>
        <x:v>CORE</x:v>
      </x:c>
      <x:c r="AI135" s="2" t="str">
        <x:f t="shared" si="20"/>
        <x:v>YES</x:v>
      </x:c>
    </x:row>
    <x:row r="136" ht="40.5">
      <x:c r="A136" s="2">
        <x:v>1163</x:v>
      </x:c>
      <x:c r="B136" s="2">
        <x:v>1053489</x:v>
      </x:c>
      <x:c r="C136" s="2">
        <x:v>5143</x:v>
      </x:c>
      <x:c r="D136" s="2">
        <x:v>3735</x:v>
      </x:c>
      <x:c r="E136" s="2" t="s">
        <x:v>10</x:v>
      </x:c>
      <x:c r="F136" s="2" t="s">
        <x:v>228</x:v>
      </x:c>
      <x:c r="G136" s="2" t="s">
        <x:v>146</x:v>
      </x:c>
      <x:c r="H136" s="2" t="s">
        <x:v>135</x:v>
      </x:c>
      <x:c r="I136" s="2" t="s">
        <x:v>108</x:v>
      </x:c>
      <x:c r="J136" s="2">
        <x:v>4</x:v>
      </x:c>
      <x:c r="K136" s="2" t="s">
        <x:v>117</x:v>
      </x:c>
      <x:c r="L136" s="2" t="s">
        <x:v>110</x:v>
      </x:c>
      <x:c r="M136" s="2"/>
      <x:c r="N136" s="2">
        <x:v>235.4</x:v>
      </x:c>
      <x:c r="O136" s="2">
        <x:v>188.7</x:v>
      </x:c>
      <x:c r="P136" s="2">
        <x:v>299.2</x:v>
      </x:c>
      <x:c r="Q136" s="2" t="s">
        <x:v>195</x:v>
      </x:c>
      <x:c r="R136" s="2">
        <x:v>235.4</x:v>
      </x:c>
      <x:c r="S136" s="2" t="s">
        <x:v>195</x:v>
      </x:c>
      <x:c r="T136" s="2">
        <x:v>15</x:v>
      </x:c>
      <x:c r="U136" s="2">
        <x:v>30</x:v>
      </x:c>
      <x:c r="V136" s="2"/>
      <x:c r="W136" s="2"/>
      <x:c r="X136" s="2" t="s">
        <x:v>229</x:v>
      </x:c>
      <x:c r="Y136" s="2" t="s">
        <x:v>113</x:v>
      </x:c>
      <x:c r="Z136" s="2" t="s">
        <x:v>114</x:v>
      </x:c>
      <x:c r="AA136" s="11" t="n">
        <x:f>IFERROR(VLOOKUP(E136,Harmonization_Rules!$A$2:$B$9,2,FALSE),"")</x:f>
        <x:v>63.546</x:v>
      </x:c>
      <x:c r="AB136" s="2" t="str">
        <x:f t="shared" si="14"/>
        <x:v>ECOTOX_STANDARDIZED_TARGET_METAL</x:v>
      </x:c>
      <x:c r="AC136" s="12">
        <x:f t="shared" si="15"/>
        <x:v>0.2354</x:v>
      </x:c>
      <x:c r="AD136" s="12">
        <x:f t="shared" si="16"/>
        <x:v>3.7044031095584304</x:v>
      </x:c>
      <x:c r="AE136" s="12">
        <x:f t="shared" si="17"/>
        <x:v>1.3095221417365892</x:v>
      </x:c>
      <x:c r="AF136" s="2" t="str">
        <x:f t="shared" si="18"/>
        <x:v>HARMONIZED</x:v>
      </x:c>
      <x:c r="AG136" s="2" t="str">
        <x:f>IF(E136="Cr","Cr(VI) chromate/dichromate rows are retained but molar conversion is held until source-specific compound-vs-ion basis is resolved.",IF(D136=2977,"OBrien 1988 reports total dissolved Cu LC184 values in 10^-6 M; the numeric Analysis_Point is therefore treated directly as umol Cu/L.",IF(AND(D136=6825,L136="Formulation"),"Nipper 1993 source check showed the reported concentrations are nominal Zn; formulation coding does not trigger compound-mass conversion.",IF(Y136="PRIMARY_RECOVERED","Source-recovered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6" s="2" t="str">
        <x:f t="shared" si="19"/>
        <x:v>CORE</x:v>
      </x:c>
      <x:c r="AI136" s="2" t="str">
        <x:f t="shared" si="20"/>
        <x:v>YES</x:v>
      </x:c>
    </x:row>
    <x:row r="137" ht="40.5">
      <x:c r="A137" s="2">
        <x:v>1164</x:v>
      </x:c>
      <x:c r="B137" s="2">
        <x:v>1053490</x:v>
      </x:c>
      <x:c r="C137" s="2">
        <x:v>5144</x:v>
      </x:c>
      <x:c r="D137" s="2">
        <x:v>3735</x:v>
      </x:c>
      <x:c r="E137" s="2" t="s">
        <x:v>10</x:v>
      </x:c>
      <x:c r="F137" s="2" t="s">
        <x:v>228</x:v>
      </x:c>
      <x:c r="G137" s="2" t="s">
        <x:v>150</x:v>
      </x:c>
      <x:c r="H137" s="2" t="s">
        <x:v>135</x:v>
      </x:c>
      <x:c r="I137" s="2" t="s">
        <x:v>108</x:v>
      </x:c>
      <x:c r="J137" s="2">
        <x:v>4</x:v>
      </x:c>
      <x:c r="K137" s="2" t="s">
        <x:v>117</x:v>
      </x:c>
      <x:c r="L137" s="2" t="s">
        <x:v>110</x:v>
      </x:c>
      <x:c r="M137" s="2"/>
      <x:c r="N137" s="2">
        <x:v>0.92800000000000005</x:v>
      </x:c>
      <x:c r="O137" s="2">
        <x:v>0.76100000000000001</x:v>
      </x:c>
      <x:c r="P137" s="2">
        <x:v>1.119</x:v>
      </x:c>
      <x:c r="Q137" s="2" t="s">
        <x:v>207</x:v>
      </x:c>
      <x:c r="R137" s="2">
        <x:v>0.92800000000000005</x:v>
      </x:c>
      <x:c r="S137" s="2" t="s">
        <x:v>207</x:v>
      </x:c>
      <x:c r="T137" s="2">
        <x:v>15</x:v>
      </x:c>
      <x:c r="U137" s="2">
        <x:v>30</x:v>
      </x:c>
      <x:c r="V137" s="2"/>
      <x:c r="W137" s="2"/>
      <x:c r="X137" s="2" t="s">
        <x:v>229</x:v>
      </x:c>
      <x:c r="Y137" s="2" t="s">
        <x:v>113</x:v>
      </x:c>
      <x:c r="Z137" s="2" t="s">
        <x:v>114</x:v>
      </x:c>
      <x:c r="AA137" s="11" t="n">
        <x:f>IFERROR(VLOOKUP(E137,Harmonization_Rules!$A$2:$B$9,2,FALSE),"")</x:f>
        <x:v>63.546</x:v>
      </x:c>
      <x:c r="AB137" s="2" t="str">
        <x:f t="shared" si="14"/>
        <x:v>ECOTOX_STANDARDIZED_TARGET_METAL</x:v>
      </x:c>
      <x:c r="AC137" s="12">
        <x:f t="shared" si="15"/>
        <x:v>0.92800000000000005</x:v>
      </x:c>
      <x:c r="AD137" s="12">
        <x:f t="shared" si="16"/>
        <x:v>14.60359424668744</x:v>
      </x:c>
      <x:c r="AE137" s="12">
        <x:f t="shared" si="17"/>
        <x:v>2.6812676796966133</x:v>
      </x:c>
      <x:c r="AF137" s="2" t="str">
        <x:f t="shared" si="18"/>
        <x:v>HARMONIZED</x:v>
      </x:c>
      <x:c r="AG137" s="2" t="str">
        <x:f>IF(E137="Cr","Cr(VI) chromate/dichromate rows are retained but molar conversion is held until source-specific compound-vs-ion basis is resolved.",IF(D137=2977,"OBrien 1988 reports total dissolved Cu LC185 values in 10^-6 M; the numeric Analysis_Point is therefore treated directly as umol Cu/L.",IF(AND(D137=6825,L137="Formulation"),"Nipper 1993 source check showed the reported concentrations are nominal Zn; formulation coding does not trigger compound-mass conversion.",IF(Y137="PRIMARY_RECOVERED","Source-recovered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7" s="2" t="str">
        <x:f t="shared" si="19"/>
        <x:v>CORE</x:v>
      </x:c>
      <x:c r="AI137" s="2" t="str">
        <x:f t="shared" si="20"/>
        <x:v>YES</x:v>
      </x:c>
    </x:row>
    <x:row r="138" ht="40.5">
      <x:c r="A138" s="2">
        <x:v>1165</x:v>
      </x:c>
      <x:c r="B138" s="2">
        <x:v>1053488</x:v>
      </x:c>
      <x:c r="C138" s="2">
        <x:v>5142</x:v>
      </x:c>
      <x:c r="D138" s="2">
        <x:v>3735</x:v>
      </x:c>
      <x:c r="E138" s="2" t="s">
        <x:v>10</x:v>
      </x:c>
      <x:c r="F138" s="2" t="s">
        <x:v>228</x:v>
      </x:c>
      <x:c r="G138" s="2" t="s">
        <x:v>134</x:v>
      </x:c>
      <x:c r="H138" s="2" t="s">
        <x:v>135</x:v>
      </x:c>
      <x:c r="I138" s="2" t="s">
        <x:v>108</x:v>
      </x:c>
      <x:c r="J138" s="2">
        <x:v>3</x:v>
      </x:c>
      <x:c r="K138" s="2" t="s">
        <x:v>117</x:v>
      </x:c>
      <x:c r="L138" s="2" t="s">
        <x:v>110</x:v>
      </x:c>
      <x:c r="M138" s="2"/>
      <x:c r="N138" s="2">
        <x:v>58.1</x:v>
      </x:c>
      <x:c r="O138" s="2">
        <x:v>40.200000000000003</x:v>
      </x:c>
      <x:c r="P138" s="2">
        <x:v>82.9</x:v>
      </x:c>
      <x:c r="Q138" s="2" t="s">
        <x:v>195</x:v>
      </x:c>
      <x:c r="R138" s="2">
        <x:v>58.1</x:v>
      </x:c>
      <x:c r="S138" s="2" t="s">
        <x:v>195</x:v>
      </x:c>
      <x:c r="T138" s="2">
        <x:v>10</x:v>
      </x:c>
      <x:c r="U138" s="2">
        <x:v>30</x:v>
      </x:c>
      <x:c r="V138" s="2"/>
      <x:c r="W138" s="2"/>
      <x:c r="X138" s="2" t="s">
        <x:v>229</x:v>
      </x:c>
      <x:c r="Y138" s="2" t="s">
        <x:v>113</x:v>
      </x:c>
      <x:c r="Z138" s="2" t="s">
        <x:v>114</x:v>
      </x:c>
      <x:c r="AA138" s="11" t="n">
        <x:f>IFERROR(VLOOKUP(E138,Harmonization_Rules!$A$2:$B$9,2,FALSE),"")</x:f>
        <x:v>63.546</x:v>
      </x:c>
      <x:c r="AB138" s="2" t="str">
        <x:f t="shared" si="14"/>
        <x:v>ECOTOX_STANDARDIZED_TARGET_METAL</x:v>
      </x:c>
      <x:c r="AC138" s="12">
        <x:f t="shared" si="15"/>
        <x:v>5.8099999999999999E-2</x:v>
      </x:c>
      <x:c r="AD138" s="12">
        <x:f t="shared" si="16"/>
        <x:v>0.91429830359109943</x:v>
      </x:c>
      <x:c r="AE138" s="12">
        <x:f t="shared" si="17"/>
        <x:v>-8.9598389231721559E-2</x:v>
      </x:c>
      <x:c r="AF138" s="2" t="str">
        <x:f t="shared" si="18"/>
        <x:v>HARMONIZED</x:v>
      </x:c>
      <x:c r="AG138" s="2" t="str">
        <x:f>IF(E138="Cr","Cr(VI) chromate/dichromate rows are retained but molar conversion is held until source-specific compound-vs-ion basis is resolved.",IF(D138=2977,"OBrien 1988 reports total dissolved Cu LC186 values in 10^-6 M; the numeric Analysis_Point is therefore treated directly as umol Cu/L.",IF(AND(D138=6825,L138="Formulation"),"Nipper 1993 source check showed the reported concentrations are nominal Zn; formulation coding does not trigger compound-mass conversion.",IF(Y138="PRIMARY_RECOVERED","Source-recovered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8" s="2" t="str">
        <x:f t="shared" si="19"/>
        <x:v>CORE</x:v>
      </x:c>
      <x:c r="AI138" s="2" t="str">
        <x:f t="shared" si="20"/>
        <x:v>YES</x:v>
      </x:c>
    </x:row>
    <x:row r="139" ht="54">
      <x:c r="A139" s="2">
        <x:v>1166</x:v>
      </x:c>
      <x:c r="B139" s="2">
        <x:v>1301502</x:v>
      </x:c>
      <x:c r="C139" s="2">
        <x:v>757396</x:v>
      </x:c>
      <x:c r="D139" s="2">
        <x:v>115854</x:v>
      </x:c>
      <x:c r="E139" s="2" t="s">
        <x:v>10</x:v>
      </x:c>
      <x:c r="F139" s="2" t="s">
        <x:v>228</x:v>
      </x:c>
      <x:c r="G139" s="2" t="s">
        <x:v>106</x:v>
      </x:c>
      <x:c r="H139" s="2" t="s">
        <x:v>107</x:v>
      </x:c>
      <x:c r="I139" s="2" t="s">
        <x:v>108</x:v>
      </x:c>
      <x:c r="J139" s="2">
        <x:v>4</x:v>
      </x:c>
      <x:c r="K139" s="2" t="s">
        <x:v>109</x:v>
      </x:c>
      <x:c r="L139" s="2" t="s">
        <x:v>110</x:v>
      </x:c>
      <x:c r="M139" s="2"/>
      <x:c r="N139" s="2">
        <x:v>1175</x:v>
      </x:c>
      <x:c r="O139" s="2"/>
      <x:c r="P139" s="2"/>
      <x:c r="Q139" s="2" t="s">
        <x:v>111</x:v>
      </x:c>
      <x:c r="R139" s="2">
        <x:v>1175</x:v>
      </x:c>
      <x:c r="S139" s="2" t="s">
        <x:v>111</x:v>
      </x:c>
      <x:c r="T139" s="2">
        <x:v>25</x:v>
      </x:c>
      <x:c r="U139" s="2">
        <x:v>33</x:v>
      </x:c>
      <x:c r="V139" s="2"/>
      <x:c r="W139" s="2"/>
      <x:c r="X139" s="2" t="s">
        <x:v>112</x:v>
      </x:c>
      <x:c r="Y139" s="2" t="s">
        <x:v>113</x:v>
      </x:c>
      <x:c r="Z139" s="2" t="s">
        <x:v>114</x:v>
      </x:c>
      <x:c r="AA139" s="11" t="n">
        <x:f>IFERROR(VLOOKUP(E139,Harmonization_Rules!$A$2:$B$9,2,FALSE),"")</x:f>
        <x:v>63.546</x:v>
      </x:c>
      <x:c r="AB139" s="2" t="str">
        <x:f t="shared" si="14"/>
        <x:v>ECOTOX_STANDARDIZED_TARGET_METAL</x:v>
      </x:c>
      <x:c r="AC139" s="12">
        <x:f t="shared" si="15"/>
        <x:v>1.175</x:v>
      </x:c>
      <x:c r="AD139" s="12">
        <x:f t="shared" si="16"/>
        <x:v>18.490542284329461</x:v>
      </x:c>
      <x:c r="AE139" s="12">
        <x:f t="shared" si="17"/>
        <x:v>2.917259373488672</x:v>
      </x:c>
      <x:c r="AF139" s="2" t="str">
        <x:f t="shared" si="18"/>
        <x:v>HARMONIZED</x:v>
      </x:c>
      <x:c r="AG139" s="2" t="str">
        <x:f>IF(E139="Cr","Cr(VI) chromate/dichromate rows are retained but molar conversion is held until source-specific compound-vs-ion basis is resolved.",IF(D139=2977,"OBrien 1988 reports total dissolved Cu LC187 values in 10^-6 M; the numeric Analysis_Point is therefore treated directly as umol Cu/L.",IF(AND(D139=6825,L139="Formulation"),"Nipper 1993 source check showed the reported concentrations are nominal Zn; formulation coding does not trigger compound-mass conversion.",IF(Y139="PRIMARY_RECOVERED","Source-recovered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39" s="2" t="str">
        <x:f t="shared" si="19"/>
        <x:v>CORE</x:v>
      </x:c>
      <x:c r="AI139" s="2" t="str">
        <x:f t="shared" si="20"/>
        <x:v>YES</x:v>
      </x:c>
    </x:row>
    <x:row r="140" ht="40.5">
      <x:c r="A140" s="2">
        <x:v>1167</x:v>
      </x:c>
      <x:c r="B140" s="2">
        <x:v>1053487</x:v>
      </x:c>
      <x:c r="C140" s="2">
        <x:v>5141</x:v>
      </x:c>
      <x:c r="D140" s="2">
        <x:v>3735</x:v>
      </x:c>
      <x:c r="E140" s="2" t="s">
        <x:v>10</x:v>
      </x:c>
      <x:c r="F140" s="2" t="s">
        <x:v>228</x:v>
      </x:c>
      <x:c r="G140" s="2" t="s">
        <x:v>141</x:v>
      </x:c>
      <x:c r="H140" s="2" t="s">
        <x:v>135</x:v>
      </x:c>
      <x:c r="I140" s="2" t="s">
        <x:v>108</x:v>
      </x:c>
      <x:c r="J140" s="2">
        <x:v>4</x:v>
      </x:c>
      <x:c r="K140" s="2" t="s">
        <x:v>117</x:v>
      </x:c>
      <x:c r="L140" s="2" t="s">
        <x:v>110</x:v>
      </x:c>
      <x:c r="M140" s="2"/>
      <x:c r="N140" s="2">
        <x:v>4.9000000000000002E-2</x:v>
      </x:c>
      <x:c r="O140" s="2">
        <x:v>0.04</x:v>
      </x:c>
      <x:c r="P140" s="2">
        <x:v>0.06</x:v>
      </x:c>
      <x:c r="Q140" s="2" t="s">
        <x:v>207</x:v>
      </x:c>
      <x:c r="R140" s="2">
        <x:v>4.9000000000000002E-2</x:v>
      </x:c>
      <x:c r="S140" s="2" t="s">
        <x:v>207</x:v>
      </x:c>
      <x:c r="T140" s="2">
        <x:v>10</x:v>
      </x:c>
      <x:c r="U140" s="2">
        <x:v>30</x:v>
      </x:c>
      <x:c r="V140" s="2"/>
      <x:c r="W140" s="2"/>
      <x:c r="X140" s="2" t="s">
        <x:v>229</x:v>
      </x:c>
      <x:c r="Y140" s="2" t="s">
        <x:v>113</x:v>
      </x:c>
      <x:c r="Z140" s="2" t="s">
        <x:v>114</x:v>
      </x:c>
      <x:c r="AA140" s="11" t="n">
        <x:f>IFERROR(VLOOKUP(E140,Harmonization_Rules!$A$2:$B$9,2,FALSE),"")</x:f>
        <x:v>63.546</x:v>
      </x:c>
      <x:c r="AB140" s="2" t="str">
        <x:f t="shared" si="14"/>
        <x:v>ECOTOX_STANDARDIZED_TARGET_METAL</x:v>
      </x:c>
      <x:c r="AC140" s="12">
        <x:f t="shared" si="15"/>
        <x:v>4.9000000000000002E-2</x:v>
      </x:c>
      <x:c r="AD140" s="12">
        <x:f t="shared" si="16"/>
        <x:v>0.77109495483586699</x:v>
      </x:c>
      <x:c r="AE140" s="12">
        <x:f t="shared" si="17"/>
        <x:v>-0.2599437549789605</x:v>
      </x:c>
      <x:c r="AF140" s="2" t="str">
        <x:f t="shared" si="18"/>
        <x:v>HARMONIZED</x:v>
      </x:c>
      <x:c r="AG140" s="2" t="str">
        <x:f>IF(E140="Cr","Cr(VI) chromate/dichromate rows are retained but molar conversion is held until source-specific compound-vs-ion basis is resolved.",IF(D140=2977,"OBrien 1988 reports total dissolved Cu LC188 values in 10^-6 M; the numeric Analysis_Point is therefore treated directly as umol Cu/L.",IF(AND(D140=6825,L140="Formulation"),"Nipper 1993 source check showed the reported concentrations are nominal Zn; formulation coding does not trigger compound-mass conversion.",IF(Y140="PRIMARY_RECOVERED","Source-recovered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0" s="2" t="str">
        <x:f t="shared" si="19"/>
        <x:v>CORE</x:v>
      </x:c>
      <x:c r="AI140" s="2" t="str">
        <x:f t="shared" si="20"/>
        <x:v>YES</x:v>
      </x:c>
    </x:row>
    <x:row r="141" ht="40.5">
      <x:c r="A141" s="2">
        <x:v>1168</x:v>
      </x:c>
      <x:c r="B141" s="2">
        <x:v>2307797</x:v>
      </x:c>
      <x:c r="C141" s="2">
        <x:v>2748544</x:v>
      </x:c>
      <x:c r="D141" s="2">
        <x:v>192310</x:v>
      </x:c>
      <x:c r="E141" s="2" t="s">
        <x:v>51</x:v>
      </x:c>
      <x:c r="F141" s="2" t="s">
        <x:v>230</x:v>
      </x:c>
      <x:c r="G141" s="2" t="s">
        <x:v>231</x:v>
      </x:c>
      <x:c r="H141" s="2" t="s">
        <x:v>135</x:v>
      </x:c>
      <x:c r="I141" s="2" t="s">
        <x:v>108</x:v>
      </x:c>
      <x:c r="J141" s="2">
        <x:v>4</x:v>
      </x:c>
      <x:c r="K141" s="2" t="s">
        <x:v>126</x:v>
      </x:c>
      <x:c r="L141" s="2" t="s">
        <x:v>120</x:v>
      </x:c>
      <x:c r="M141" s="2"/>
      <x:c r="N141" s="2">
        <x:v>0.1</x:v>
      </x:c>
      <x:c r="O141" s="2"/>
      <x:c r="P141" s="2"/>
      <x:c r="Q141" s="2" t="s">
        <x:v>121</x:v>
      </x:c>
      <x:c r="R141" s="2">
        <x:v>0.1</x:v>
      </x:c>
      <x:c r="S141" s="2" t="s">
        <x:v>121</x:v>
      </x:c>
      <x:c r="T141" s="2">
        <x:v>26</x:v>
      </x:c>
      <x:c r="U141" s="2">
        <x:v>29.5</x:v>
      </x:c>
      <x:c r="V141" s="2">
        <x:v>7.8</x:v>
      </x:c>
      <x:c r="W141" s="2"/>
      <x:c r="X141" s="2" t="s">
        <x:v>232</x:v>
      </x:c>
      <x:c r="Y141" s="2" t="s">
        <x:v>113</x:v>
      </x:c>
      <x:c r="Z141" s="2" t="s">
        <x:v>114</x:v>
      </x:c>
      <x:c r="AA141" s="11" t="n">
        <x:f>IFERROR(VLOOKUP(E141,Harmonization_Rules!$A$2:$B$9,2,FALSE),"")</x:f>
        <x:v>207.2</x:v>
      </x:c>
      <x:c r="AB141" s="2" t="str">
        <x:f t="shared" si="14"/>
        <x:v>ECOTOX_STANDARDIZED_TARGET_METAL</x:v>
      </x:c>
      <x:c r="AC141" s="12">
        <x:f t="shared" si="15"/>
        <x:v>0.1</x:v>
      </x:c>
      <x:c r="AD141" s="12">
        <x:f t="shared" si="16"/>
        <x:v>0.48262548262548266</x:v>
      </x:c>
      <x:c r="AE141" s="12">
        <x:f t="shared" si="17"/>
        <x:v>-0.72851432439723651</x:v>
      </x:c>
      <x:c r="AF141" s="2" t="str">
        <x:f t="shared" si="18"/>
        <x:v>HARMONIZED</x:v>
      </x:c>
      <x:c r="AG141" s="2" t="str">
        <x:f>IF(E141="Cr","Cr(VI) chromate/dichromate rows are retained but molar conversion is held until source-specific compound-vs-ion basis is resolved.",IF(D141=2977,"OBrien 1988 reports total dissolved Cu LC189 values in 10^-6 M; the numeric Analysis_Point is therefore treated directly as umol Cu/L.",IF(AND(D141=6825,L141="Formulation"),"Nipper 1993 source check showed the reported concentrations are nominal Zn; formulation coding does not trigger compound-mass conversion.",IF(Y141="PRIMARY_RECOVERED","Source-recovered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1" s="2" t="str">
        <x:f t="shared" si="19"/>
        <x:v>DESCRIPTIVE</x:v>
      </x:c>
      <x:c r="AI141" s="2" t="str">
        <x:f t="shared" si="20"/>
        <x:v>NO</x:v>
      </x:c>
    </x:row>
    <x:row r="142" ht="40.5">
      <x:c r="A142" s="2">
        <x:v>1172</x:v>
      </x:c>
      <x:c r="B142" s="2">
        <x:v>2307792</x:v>
      </x:c>
      <x:c r="C142" s="2">
        <x:v>2748535</x:v>
      </x:c>
      <x:c r="D142" s="2">
        <x:v>192310</x:v>
      </x:c>
      <x:c r="E142" s="2" t="s">
        <x:v>51</x:v>
      </x:c>
      <x:c r="F142" s="2" t="s">
        <x:v>230</x:v>
      </x:c>
      <x:c r="G142" s="2" t="s">
        <x:v>233</x:v>
      </x:c>
      <x:c r="H142" s="2" t="s">
        <x:v>234</x:v>
      </x:c>
      <x:c r="I142" s="2" t="s">
        <x:v>108</x:v>
      </x:c>
      <x:c r="J142" s="2">
        <x:v>4</x:v>
      </x:c>
      <x:c r="K142" s="2" t="s">
        <x:v>126</x:v>
      </x:c>
      <x:c r="L142" s="2" t="s">
        <x:v>120</x:v>
      </x:c>
      <x:c r="M142" s="2"/>
      <x:c r="N142" s="2">
        <x:v>0.05</x:v>
      </x:c>
      <x:c r="O142" s="2"/>
      <x:c r="P142" s="2"/>
      <x:c r="Q142" s="2" t="s">
        <x:v>121</x:v>
      </x:c>
      <x:c r="R142" s="2">
        <x:v>0.05</x:v>
      </x:c>
      <x:c r="S142" s="2" t="s">
        <x:v>121</x:v>
      </x:c>
      <x:c r="T142" s="2">
        <x:v>26</x:v>
      </x:c>
      <x:c r="U142" s="2">
        <x:v>29.5</x:v>
      </x:c>
      <x:c r="V142" s="2">
        <x:v>7.8</x:v>
      </x:c>
      <x:c r="W142" s="2"/>
      <x:c r="X142" s="2" t="s">
        <x:v>232</x:v>
      </x:c>
      <x:c r="Y142" s="2" t="s">
        <x:v>113</x:v>
      </x:c>
      <x:c r="Z142" s="2" t="s">
        <x:v>114</x:v>
      </x:c>
      <x:c r="AA142" s="11" t="n">
        <x:f>IFERROR(VLOOKUP(E142,Harmonization_Rules!$A$2:$B$9,2,FALSE),"")</x:f>
        <x:v>207.2</x:v>
      </x:c>
      <x:c r="AB142" s="2" t="str">
        <x:f t="shared" si="14"/>
        <x:v>ECOTOX_STANDARDIZED_TARGET_METAL</x:v>
      </x:c>
      <x:c r="AC142" s="12">
        <x:f t="shared" si="15"/>
        <x:v>0.05</x:v>
      </x:c>
      <x:c r="AD142" s="12">
        <x:f t="shared" si="16"/>
        <x:v>0.24131274131274133</x:v>
      </x:c>
      <x:c r="AE142" s="12">
        <x:f t="shared" si="17"/>
        <x:v>-1.4216615049571819</x:v>
      </x:c>
      <x:c r="AF142" s="2" t="str">
        <x:f t="shared" si="18"/>
        <x:v>HARMONIZED</x:v>
      </x:c>
      <x:c r="AG142" s="2" t="str">
        <x:f>IF(E142="Cr","Cr(VI) chromate/dichromate rows are retained but molar conversion is held until source-specific compound-vs-ion basis is resolved.",IF(D142=2977,"OBrien 1988 reports total dissolved Cu LC190 values in 10^-6 M; the numeric Analysis_Point is therefore treated directly as umol Cu/L.",IF(AND(D142=6825,L142="Formulation"),"Nipper 1993 source check showed the reported concentrations are nominal Zn; formulation coding does not trigger compound-mass conversion.",IF(Y142="PRIMARY_RECOVERED","Source-recovered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2" s="2" t="str">
        <x:f t="shared" si="19"/>
        <x:v>DESCRIPTIVE</x:v>
      </x:c>
      <x:c r="AI142" s="2" t="str">
        <x:f t="shared" si="20"/>
        <x:v>NO</x:v>
      </x:c>
    </x:row>
    <x:row r="143" ht="40.5">
      <x:c r="A143" s="2">
        <x:v>1191</x:v>
      </x:c>
      <x:c r="B143" s="2">
        <x:v>2146952</x:v>
      </x:c>
      <x:c r="C143" s="2">
        <x:v>2279335</x:v>
      </x:c>
      <x:c r="D143" s="2">
        <x:v>166028</x:v>
      </x:c>
      <x:c r="E143" s="2" t="s">
        <x:v>10</x:v>
      </x:c>
      <x:c r="F143" s="2" t="s">
        <x:v>235</x:v>
      </x:c>
      <x:c r="G143" s="2" t="s">
        <x:v>182</x:v>
      </x:c>
      <x:c r="H143" s="2" t="s">
        <x:v>107</x:v>
      </x:c>
      <x:c r="I143" s="2" t="s">
        <x:v>125</x:v>
      </x:c>
      <x:c r="J143" s="2">
        <x:v>2</x:v>
      </x:c>
      <x:c r="K143" s="2" t="s">
        <x:v>117</x:v>
      </x:c>
      <x:c r="L143" s="2" t="s">
        <x:v>110</x:v>
      </x:c>
      <x:c r="M143" s="2"/>
      <x:c r="N143" s="2">
        <x:v>0.23</x:v>
      </x:c>
      <x:c r="O143" s="2"/>
      <x:c r="P143" s="2"/>
      <x:c r="Q143" s="2" t="s">
        <x:v>121</x:v>
      </x:c>
      <x:c r="R143" s="2">
        <x:v>0.23</x:v>
      </x:c>
      <x:c r="S143" s="2" t="s">
        <x:v>121</x:v>
      </x:c>
      <x:c r="T143" s="2">
        <x:v>20</x:v>
      </x:c>
      <x:c r="U143" s="2">
        <x:v>38</x:v>
      </x:c>
      <x:c r="V143" s="2">
        <x:v>8</x:v>
      </x:c>
      <x:c r="W143" s="2"/>
      <x:c r="X143" s="2" t="s">
        <x:v>236</x:v>
      </x:c>
      <x:c r="Y143" s="2" t="s">
        <x:v>113</x:v>
      </x:c>
      <x:c r="Z143" s="2" t="s">
        <x:v>114</x:v>
      </x:c>
      <x:c r="AA143" s="11" t="n">
        <x:f>IFERROR(VLOOKUP(E143,Harmonization_Rules!$A$2:$B$9,2,FALSE),"")</x:f>
        <x:v>63.546</x:v>
      </x:c>
      <x:c r="AB143" s="2" t="str">
        <x:f t="shared" si="14"/>
        <x:v>ECOTOX_STANDARDIZED_TARGET_METAL</x:v>
      </x:c>
      <x:c r="AC143" s="12">
        <x:f t="shared" si="15"/>
        <x:v>0.23</x:v>
      </x:c>
      <x:c r="AD143" s="12">
        <x:f t="shared" si="16"/>
        <x:v>3.6194252982091712</x:v>
      </x:c>
      <x:c r="AE143" s="12">
        <x:f t="shared" si="17"/>
        <x:v>1.2863152558336082</x:v>
      </x:c>
      <x:c r="AF143" s="2" t="str">
        <x:f t="shared" si="18"/>
        <x:v>HARMONIZED</x:v>
      </x:c>
      <x:c r="AG143" s="2" t="str">
        <x:f>IF(E143="Cr","Cr(VI) chromate/dichromate rows are retained but molar conversion is held until source-specific compound-vs-ion basis is resolved.",IF(D143=2977,"OBrien 1988 reports total dissolved Cu LC191 values in 10^-6 M; the numeric Analysis_Point is therefore treated directly as umol Cu/L.",IF(AND(D143=6825,L143="Formulation"),"Nipper 1993 source check showed the reported concentrations are nominal Zn; formulation coding does not trigger compound-mass conversion.",IF(Y143="PRIMARY_RECOVERED","Source-recovered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3" s="2" t="str">
        <x:f t="shared" si="19"/>
        <x:v>CORE</x:v>
      </x:c>
      <x:c r="AI143" s="2" t="str">
        <x:f t="shared" si="20"/>
        <x:v>YES</x:v>
      </x:c>
    </x:row>
    <x:row r="144" ht="40.5">
      <x:c r="A144" s="2">
        <x:v>1198</x:v>
      </x:c>
      <x:c r="B144" s="2">
        <x:v>1070626</x:v>
      </x:c>
      <x:c r="C144" s="2">
        <x:v>12731</x:v>
      </x:c>
      <x:c r="D144" s="2">
        <x:v>5563</x:v>
      </x:c>
      <x:c r="E144" s="2" t="s">
        <x:v>10</x:v>
      </x:c>
      <x:c r="F144" s="2" t="s">
        <x:v>235</x:v>
      </x:c>
      <x:c r="G144" s="2" t="s">
        <x:v>203</x:v>
      </x:c>
      <x:c r="H144" s="2" t="s">
        <x:v>135</x:v>
      </x:c>
      <x:c r="I144" s="2" t="s">
        <x:v>159</x:v>
      </x:c>
      <x:c r="J144" s="2">
        <x:v>1</x:v>
      </x:c>
      <x:c r="K144" s="2" t="s">
        <x:v>117</x:v>
      </x:c>
      <x:c r="L144" s="2" t="s">
        <x:v>110</x:v>
      </x:c>
      <x:c r="M144" s="2"/>
      <x:c r="N144" s="2">
        <x:v>200</x:v>
      </x:c>
      <x:c r="O144" s="2">
        <x:v>80</x:v>
      </x:c>
      <x:c r="P144" s="2">
        <x:v>310</x:v>
      </x:c>
      <x:c r="Q144" s="2" t="s">
        <x:v>111</x:v>
      </x:c>
      <x:c r="R144" s="2">
        <x:v>200</x:v>
      </x:c>
      <x:c r="S144" s="2" t="s">
        <x:v>111</x:v>
      </x:c>
      <x:c r="T144" s="2">
        <x:v>17</x:v>
      </x:c>
      <x:c r="U144" s="2"/>
      <x:c r="V144" s="2"/>
      <x:c r="W144" s="2"/>
      <x:c r="X144" s="2" t="s">
        <x:v>200</x:v>
      </x:c>
      <x:c r="Y144" s="2" t="s">
        <x:v>113</x:v>
      </x:c>
      <x:c r="Z144" s="2" t="s">
        <x:v>114</x:v>
      </x:c>
      <x:c r="AA144" s="11" t="n">
        <x:f>IFERROR(VLOOKUP(E144,Harmonization_Rules!$A$2:$B$9,2,FALSE),"")</x:f>
        <x:v>63.546</x:v>
      </x:c>
      <x:c r="AB144" s="2" t="str">
        <x:f t="shared" si="14"/>
        <x:v>ECOTOX_STANDARDIZED_TARGET_METAL</x:v>
      </x:c>
      <x:c r="AC144" s="12">
        <x:f t="shared" si="15"/>
        <x:v>0.2</x:v>
      </x:c>
      <x:c r="AD144" s="12">
        <x:f t="shared" si="16"/>
        <x:v>3.1473263462688448</x:v>
      </x:c>
      <x:c r="AE144" s="12">
        <x:f t="shared" si="17"/>
        <x:v>1.1465533134584496</x:v>
      </x:c>
      <x:c r="AF144" s="2" t="str">
        <x:f t="shared" si="18"/>
        <x:v>HARMONIZED</x:v>
      </x:c>
      <x:c r="AG144" s="2" t="str">
        <x:f>IF(E144="Cr","Cr(VI) chromate/dichromate rows are retained but molar conversion is held until source-specific compound-vs-ion basis is resolved.",IF(D144=2977,"OBrien 1988 reports total dissolved Cu LC192 values in 10^-6 M; the numeric Analysis_Point is therefore treated directly as umol Cu/L.",IF(AND(D144=6825,L144="Formulation"),"Nipper 1993 source check showed the reported concentrations are nominal Zn; formulation coding does not trigger compound-mass conversion.",IF(Y144="PRIMARY_RECOVERED","Source-recovered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4" s="2" t="str">
        <x:f t="shared" si="19"/>
        <x:v>CORE</x:v>
      </x:c>
      <x:c r="AI144" s="2" t="str">
        <x:f t="shared" si="20"/>
        <x:v>YES</x:v>
      </x:c>
    </x:row>
    <x:row r="145" ht="40.5">
      <x:c r="A145" s="2">
        <x:v>1201</x:v>
      </x:c>
      <x:c r="B145" s="2">
        <x:v>1155887</x:v>
      </x:c>
      <x:c r="C145" s="2">
        <x:v>159531</x:v>
      </x:c>
      <x:c r="D145" s="2">
        <x:v>13507</x:v>
      </x:c>
      <x:c r="E145" s="2" t="s">
        <x:v>10</x:v>
      </x:c>
      <x:c r="F145" s="2" t="s">
        <x:v>235</x:v>
      </x:c>
      <x:c r="G145" s="2" t="s">
        <x:v>237</x:v>
      </x:c>
      <x:c r="H145" s="2" t="s">
        <x:v>107</x:v>
      </x:c>
      <x:c r="I145" s="2"/>
      <x:c r="J145" s="2">
        <x:v>4</x:v>
      </x:c>
      <x:c r="K145" s="2" t="s">
        <x:v>126</x:v>
      </x:c>
      <x:c r="L145" s="2" t="s">
        <x:v>120</x:v>
      </x:c>
      <x:c r="M145" s="2"/>
      <x:c r="N145" s="2">
        <x:v>178</x:v>
      </x:c>
      <x:c r="O145" s="2"/>
      <x:c r="P145" s="2"/>
      <x:c r="Q145" s="2" t="s">
        <x:v>111</x:v>
      </x:c>
      <x:c r="R145" s="2">
        <x:v>178</x:v>
      </x:c>
      <x:c r="S145" s="2" t="s">
        <x:v>111</x:v>
      </x:c>
      <x:c r="T145" s="2"/>
      <x:c r="U145" s="2">
        <x:v>34</x:v>
      </x:c>
      <x:c r="V145" s="2">
        <x:v>8</x:v>
      </x:c>
      <x:c r="W145" s="2"/>
      <x:c r="X145" s="2" t="s">
        <x:v>238</x:v>
      </x:c>
      <x:c r="Y145" s="2" t="s">
        <x:v>113</x:v>
      </x:c>
      <x:c r="Z145" s="2" t="s">
        <x:v>114</x:v>
      </x:c>
      <x:c r="AA145" s="11" t="n">
        <x:f>IFERROR(VLOOKUP(E145,Harmonization_Rules!$A$2:$B$9,2,FALSE),"")</x:f>
        <x:v>63.546</x:v>
      </x:c>
      <x:c r="AB145" s="2" t="str">
        <x:f t="shared" si="14"/>
        <x:v>ECOTOX_STANDARDIZED_TARGET_METAL</x:v>
      </x:c>
      <x:c r="AC145" s="12">
        <x:f t="shared" si="15"/>
        <x:v>0.17799999999999999</x:v>
      </x:c>
      <x:c r="AD145" s="12">
        <x:f t="shared" si="16"/>
        <x:v>2.8011204481792715</x:v>
      </x:c>
      <x:c r="AE145" s="12">
        <x:f t="shared" si="17"/>
        <x:v>1.0300194972024979</x:v>
      </x:c>
      <x:c r="AF145" s="2" t="str">
        <x:f t="shared" si="18"/>
        <x:v>HARMONIZED</x:v>
      </x:c>
      <x:c r="AG145" s="2" t="str">
        <x:f>IF(E145="Cr","Cr(VI) chromate/dichromate rows are retained but molar conversion is held until source-specific compound-vs-ion basis is resolved.",IF(D145=2977,"OBrien 1988 reports total dissolved Cu LC193 values in 10^-6 M; the numeric Analysis_Point is therefore treated directly as umol Cu/L.",IF(AND(D145=6825,L145="Formulation"),"Nipper 1993 source check showed the reported concentrations are nominal Zn; formulation coding does not trigger compound-mass conversion.",IF(Y145="PRIMARY_RECOVERED","Source-recovered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5" s="2" t="str">
        <x:f t="shared" si="19"/>
        <x:v>CORE</x:v>
      </x:c>
      <x:c r="AI145" s="2" t="str">
        <x:f t="shared" si="20"/>
        <x:v>YES</x:v>
      </x:c>
    </x:row>
    <x:row r="146" ht="40.5">
      <x:c r="A146" s="2">
        <x:v>1206</x:v>
      </x:c>
      <x:c r="B146" s="2">
        <x:v>1135994</x:v>
      </x:c>
      <x:c r="C146" s="2">
        <x:v>90926</x:v>
      </x:c>
      <x:c r="D146" s="2">
        <x:v>11097</x:v>
      </x:c>
      <x:c r="E146" s="2" t="s">
        <x:v>10</x:v>
      </x:c>
      <x:c r="F146" s="2" t="s">
        <x:v>235</x:v>
      </x:c>
      <x:c r="G146" s="2" t="s">
        <x:v>116</x:v>
      </x:c>
      <x:c r="H146" s="2" t="s">
        <x:v>107</x:v>
      </x:c>
      <x:c r="I146" s="2" t="s">
        <x:v>125</x:v>
      </x:c>
      <x:c r="J146" s="2">
        <x:v>2</x:v>
      </x:c>
      <x:c r="K146" s="2" t="s">
        <x:v>117</x:v>
      </x:c>
      <x:c r="L146" s="2" t="s">
        <x:v>110</x:v>
      </x:c>
      <x:c r="M146" s="2"/>
      <x:c r="N146" s="2">
        <x:v>314.2</x:v>
      </x:c>
      <x:c r="O146" s="2"/>
      <x:c r="P146" s="2"/>
      <x:c r="Q146" s="2" t="s">
        <x:v>111</x:v>
      </x:c>
      <x:c r="R146" s="2">
        <x:v>314.2</x:v>
      </x:c>
      <x:c r="S146" s="2" t="s">
        <x:v>111</x:v>
      </x:c>
      <x:c r="T146" s="2">
        <x:v>18</x:v>
      </x:c>
      <x:c r="U146" s="2">
        <x:v>38</x:v>
      </x:c>
      <x:c r="V146" s="2"/>
      <x:c r="W146" s="2"/>
      <x:c r="X146" s="2" t="s">
        <x:v>239</x:v>
      </x:c>
      <x:c r="Y146" s="2" t="s">
        <x:v>113</x:v>
      </x:c>
      <x:c r="Z146" s="2" t="s">
        <x:v>114</x:v>
      </x:c>
      <x:c r="AA146" s="11" t="n">
        <x:f>IFERROR(VLOOKUP(E146,Harmonization_Rules!$A$2:$B$9,2,FALSE),"")</x:f>
        <x:v>63.546</x:v>
      </x:c>
      <x:c r="AB146" s="2" t="str">
        <x:f t="shared" si="14"/>
        <x:v>ECOTOX_STANDARDIZED_TARGET_METAL</x:v>
      </x:c>
      <x:c r="AC146" s="12">
        <x:f t="shared" si="15"/>
        <x:v>0.31419999999999998</x:v>
      </x:c>
      <x:c r="AD146" s="12">
        <x:f t="shared" si="16"/>
        <x:v>4.944449689988355</x:v>
      </x:c>
      <x:c r="AE146" s="12">
        <x:f t="shared" si="17"/>
        <x:v>1.5982656727319335</x:v>
      </x:c>
      <x:c r="AF146" s="2" t="str">
        <x:f t="shared" si="18"/>
        <x:v>HARMONIZED</x:v>
      </x:c>
      <x:c r="AG146" s="2" t="str">
        <x:f>IF(E146="Cr","Cr(VI) chromate/dichromate rows are retained but molar conversion is held until source-specific compound-vs-ion basis is resolved.",IF(D146=2977,"OBrien 1988 reports total dissolved Cu LC194 values in 10^-6 M; the numeric Analysis_Point is therefore treated directly as umol Cu/L.",IF(AND(D146=6825,L146="Formulation"),"Nipper 1993 source check showed the reported concentrations are nominal Zn; formulation coding does not trigger compound-mass conversion.",IF(Y146="PRIMARY_RECOVERED","Source-recovered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6" s="2" t="str">
        <x:f t="shared" si="19"/>
        <x:v>CORE</x:v>
      </x:c>
      <x:c r="AI146" s="2" t="str">
        <x:f t="shared" si="20"/>
        <x:v>YES</x:v>
      </x:c>
    </x:row>
    <x:row r="147" ht="40.5">
      <x:c r="A147" s="2">
        <x:v>1213</x:v>
      </x:c>
      <x:c r="B147" s="2">
        <x:v>1310646</x:v>
      </x:c>
      <x:c r="C147" s="2">
        <x:v>767829</x:v>
      </x:c>
      <x:c r="D147" s="2">
        <x:v>14474</x:v>
      </x:c>
      <x:c r="E147" s="2" t="s">
        <x:v>10</x:v>
      </x:c>
      <x:c r="F147" s="2" t="s">
        <x:v>235</x:v>
      </x:c>
      <x:c r="G147" s="2" t="s">
        <x:v>116</x:v>
      </x:c>
      <x:c r="H147" s="2" t="s">
        <x:v>107</x:v>
      </x:c>
      <x:c r="I147" s="2" t="s">
        <x:v>108</x:v>
      </x:c>
      <x:c r="J147" s="2">
        <x:v>2</x:v>
      </x:c>
      <x:c r="K147" s="2" t="s">
        <x:v>117</x:v>
      </x:c>
      <x:c r="L147" s="2" t="s">
        <x:v>110</x:v>
      </x:c>
      <x:c r="M147" s="2"/>
      <x:c r="N147" s="2">
        <x:v>0.52890000000000004</x:v>
      </x:c>
      <x:c r="O147" s="2"/>
      <x:c r="P147" s="2"/>
      <x:c r="Q147" s="2" t="s">
        <x:v>121</x:v>
      </x:c>
      <x:c r="R147" s="2">
        <x:v>0.52890000000000004</x:v>
      </x:c>
      <x:c r="S147" s="2" t="s">
        <x:v>121</x:v>
      </x:c>
      <x:c r="T147" s="2"/>
      <x:c r="U147" s="2"/>
      <x:c r="V147" s="2"/>
      <x:c r="W147" s="2"/>
      <x:c r="X147" s="2" t="s">
        <x:v>240</x:v>
      </x:c>
      <x:c r="Y147" s="2" t="s">
        <x:v>113</x:v>
      </x:c>
      <x:c r="Z147" s="2" t="s">
        <x:v>114</x:v>
      </x:c>
      <x:c r="AA147" s="11" t="n">
        <x:f>IFERROR(VLOOKUP(E147,Harmonization_Rules!$A$2:$B$9,2,FALSE),"")</x:f>
        <x:v>63.546</x:v>
      </x:c>
      <x:c r="AB147" s="2" t="str">
        <x:f t="shared" si="14"/>
        <x:v>ECOTOX_STANDARDIZED_TARGET_METAL</x:v>
      </x:c>
      <x:c r="AC147" s="12">
        <x:f t="shared" si="15"/>
        <x:v>0.52890000000000004</x:v>
      </x:c>
      <x:c r="AD147" s="12">
        <x:f t="shared" si="16"/>
        <x:v>8.3231045227079612</x:v>
      </x:c>
      <x:c r="AE147" s="12">
        <x:f t="shared" si="17"/>
        <x:v>2.119035324982347</x:v>
      </x:c>
      <x:c r="AF147" s="2" t="str">
        <x:f t="shared" si="18"/>
        <x:v>HARMONIZED</x:v>
      </x:c>
      <x:c r="AG147" s="2" t="str">
        <x:f>IF(E147="Cr","Cr(VI) chromate/dichromate rows are retained but molar conversion is held until source-specific compound-vs-ion basis is resolved.",IF(D147=2977,"OBrien 1988 reports total dissolved Cu LC195 values in 10^-6 M; the numeric Analysis_Point is therefore treated directly as umol Cu/L.",IF(AND(D147=6825,L147="Formulation"),"Nipper 1993 source check showed the reported concentrations are nominal Zn; formulation coding does not trigger compound-mass conversion.",IF(Y147="PRIMARY_RECOVERED","Source-recovered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7" s="2" t="str">
        <x:f t="shared" si="19"/>
        <x:v>CORE</x:v>
      </x:c>
      <x:c r="AI147" s="2" t="str">
        <x:f t="shared" si="20"/>
        <x:v>YES</x:v>
      </x:c>
    </x:row>
    <x:row r="148" ht="40.5">
      <x:c r="A148" s="2">
        <x:v>1236</x:v>
      </x:c>
      <x:c r="B148" s="2">
        <x:v>1078431</x:v>
      </x:c>
      <x:c r="C148" s="2">
        <x:v>102405</x:v>
      </x:c>
      <x:c r="D148" s="2">
        <x:v>6045</x:v>
      </x:c>
      <x:c r="E148" s="2" t="s">
        <x:v>10</x:v>
      </x:c>
      <x:c r="F148" s="2" t="s">
        <x:v>235</x:v>
      </x:c>
      <x:c r="G148" s="2" t="s">
        <x:v>241</x:v>
      </x:c>
      <x:c r="H148" s="2" t="s">
        <x:v>135</x:v>
      </x:c>
      <x:c r="I148" s="2"/>
      <x:c r="J148" s="2">
        <x:v>1</x:v>
      </x:c>
      <x:c r="K148" s="2" t="s">
        <x:v>117</x:v>
      </x:c>
      <x:c r="L148" s="2" t="s">
        <x:v>110</x:v>
      </x:c>
      <x:c r="M148" s="2"/>
      <x:c r="N148" s="2">
        <x:v>176</x:v>
      </x:c>
      <x:c r="O148" s="2"/>
      <x:c r="P148" s="2"/>
      <x:c r="Q148" s="2" t="s">
        <x:v>195</x:v>
      </x:c>
      <x:c r="R148" s="2">
        <x:v>176</x:v>
      </x:c>
      <x:c r="S148" s="2" t="s">
        <x:v>195</x:v>
      </x:c>
      <x:c r="T148" s="2"/>
      <x:c r="U148" s="2"/>
      <x:c r="V148" s="2"/>
      <x:c r="W148" s="2"/>
      <x:c r="X148" s="2" t="s">
        <x:v>196</x:v>
      </x:c>
      <x:c r="Y148" s="2" t="s">
        <x:v>113</x:v>
      </x:c>
      <x:c r="Z148" s="2" t="s">
        <x:v>114</x:v>
      </x:c>
      <x:c r="AA148" s="11" t="n">
        <x:f>IFERROR(VLOOKUP(E148,Harmonization_Rules!$A$2:$B$9,2,FALSE),"")</x:f>
        <x:v>63.546</x:v>
      </x:c>
      <x:c r="AB148" s="2" t="str">
        <x:f t="shared" si="14"/>
        <x:v>ECOTOX_STANDARDIZED_TARGET_METAL</x:v>
      </x:c>
      <x:c r="AC148" s="12">
        <x:f t="shared" si="15"/>
        <x:v>0.17599999999999999</x:v>
      </x:c>
      <x:c r="AD148" s="12">
        <x:f t="shared" si="16"/>
        <x:v>2.7696471847165833</x:v>
      </x:c>
      <x:c r="AE148" s="12">
        <x:f t="shared" si="17"/>
        <x:v>1.0187199419485646</x:v>
      </x:c>
      <x:c r="AF148" s="2" t="str">
        <x:f t="shared" si="18"/>
        <x:v>HARMONIZED</x:v>
      </x:c>
      <x:c r="AG148" s="2" t="str">
        <x:f>IF(E148="Cr","Cr(VI) chromate/dichromate rows are retained but molar conversion is held until source-specific compound-vs-ion basis is resolved.",IF(D148=2977,"OBrien 1988 reports total dissolved Cu LC196 values in 10^-6 M; the numeric Analysis_Point is therefore treated directly as umol Cu/L.",IF(AND(D148=6825,L148="Formulation"),"Nipper 1993 source check showed the reported concentrations are nominal Zn; formulation coding does not trigger compound-mass conversion.",IF(Y148="PRIMARY_RECOVERED","Source-recovered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8" s="2" t="str">
        <x:f t="shared" si="19"/>
        <x:v>CORE</x:v>
      </x:c>
      <x:c r="AI148" s="2" t="str">
        <x:f t="shared" si="20"/>
        <x:v>YES</x:v>
      </x:c>
    </x:row>
    <x:row r="149" ht="40.5">
      <x:c r="A149" s="2">
        <x:v>1252</x:v>
      </x:c>
      <x:c r="B149" s="2">
        <x:v>2148404</x:v>
      </x:c>
      <x:c r="C149" s="2">
        <x:v>2283208</x:v>
      </x:c>
      <x:c r="D149" s="2">
        <x:v>156333</x:v>
      </x:c>
      <x:c r="E149" s="2" t="s">
        <x:v>10</x:v>
      </x:c>
      <x:c r="F149" s="2" t="s">
        <x:v>235</x:v>
      </x:c>
      <x:c r="G149" s="2" t="s">
        <x:v>242</x:v>
      </x:c>
      <x:c r="H149" s="2" t="s">
        <x:v>107</x:v>
      </x:c>
      <x:c r="I149" s="2" t="s">
        <x:v>108</x:v>
      </x:c>
      <x:c r="J149" s="2">
        <x:v>4</x:v>
      </x:c>
      <x:c r="K149" s="2" t="s">
        <x:v>109</x:v>
      </x:c>
      <x:c r="L149" s="2" t="s">
        <x:v>120</x:v>
      </x:c>
      <x:c r="M149" s="2"/>
      <x:c r="N149" s="2">
        <x:v>238</x:v>
      </x:c>
      <x:c r="O149" s="2"/>
      <x:c r="P149" s="2"/>
      <x:c r="Q149" s="2" t="s">
        <x:v>111</x:v>
      </x:c>
      <x:c r="R149" s="2">
        <x:v>238</x:v>
      </x:c>
      <x:c r="S149" s="2" t="s">
        <x:v>111</x:v>
      </x:c>
      <x:c r="T149" s="2">
        <x:v>21</x:v>
      </x:c>
      <x:c r="U149" s="2">
        <x:v>30</x:v>
      </x:c>
      <x:c r="V149" s="2"/>
      <x:c r="W149" s="2"/>
      <x:c r="X149" s="2" t="s">
        <x:v>243</x:v>
      </x:c>
      <x:c r="Y149" s="2" t="s">
        <x:v>113</x:v>
      </x:c>
      <x:c r="Z149" s="2" t="s">
        <x:v>114</x:v>
      </x:c>
      <x:c r="AA149" s="11" t="n">
        <x:f>IFERROR(VLOOKUP(E149,Harmonization_Rules!$A$2:$B$9,2,FALSE),"")</x:f>
        <x:v>63.546</x:v>
      </x:c>
      <x:c r="AB149" s="2" t="str">
        <x:f t="shared" si="14"/>
        <x:v>ECOTOX_STANDARDIZED_TARGET_METAL</x:v>
      </x:c>
      <x:c r="AC149" s="12">
        <x:f t="shared" si="15"/>
        <x:v>0.23799999999999999</x:v>
      </x:c>
      <x:c r="AD149" s="12">
        <x:f t="shared" si="16"/>
        <x:v>3.7453183520599249</x:v>
      </x:c>
      <x:c r="AE149" s="12">
        <x:f t="shared" si="17"/>
        <x:v>1.3205066205818874</x:v>
      </x:c>
      <x:c r="AF149" s="2" t="str">
        <x:f t="shared" si="18"/>
        <x:v>HARMONIZED</x:v>
      </x:c>
      <x:c r="AG149" s="2" t="str">
        <x:f>IF(E149="Cr","Cr(VI) chromate/dichromate rows are retained but molar conversion is held until source-specific compound-vs-ion basis is resolved.",IF(D149=2977,"OBrien 1988 reports total dissolved Cu LC197 values in 10^-6 M; the numeric Analysis_Point is therefore treated directly as umol Cu/L.",IF(AND(D149=6825,L149="Formulation"),"Nipper 1993 source check showed the reported concentrations are nominal Zn; formulation coding does not trigger compound-mass conversion.",IF(Y149="PRIMARY_RECOVERED","Source-recovered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49" s="2" t="str">
        <x:f t="shared" si="19"/>
        <x:v>CORE</x:v>
      </x:c>
      <x:c r="AI149" s="2" t="str">
        <x:f t="shared" si="20"/>
        <x:v>YES</x:v>
      </x:c>
    </x:row>
    <x:row r="150" ht="40.5">
      <x:c r="A150" s="2">
        <x:v>1255</x:v>
      </x:c>
      <x:c r="B150" s="2">
        <x:v>1078425</x:v>
      </x:c>
      <x:c r="C150" s="2">
        <x:v>89398</x:v>
      </x:c>
      <x:c r="D150" s="2">
        <x:v>6045</x:v>
      </x:c>
      <x:c r="E150" s="2" t="s">
        <x:v>10</x:v>
      </x:c>
      <x:c r="F150" s="2" t="s">
        <x:v>235</x:v>
      </x:c>
      <x:c r="G150" s="2" t="s">
        <x:v>244</x:v>
      </x:c>
      <x:c r="H150" s="2" t="s">
        <x:v>135</x:v>
      </x:c>
      <x:c r="I150" s="2"/>
      <x:c r="J150" s="2">
        <x:v>1</x:v>
      </x:c>
      <x:c r="K150" s="2" t="s">
        <x:v>117</x:v>
      </x:c>
      <x:c r="L150" s="2" t="s">
        <x:v>110</x:v>
      </x:c>
      <x:c r="M150" s="2"/>
      <x:c r="N150" s="2">
        <x:v>2778</x:v>
      </x:c>
      <x:c r="O150" s="2"/>
      <x:c r="P150" s="2"/>
      <x:c r="Q150" s="2" t="s">
        <x:v>195</x:v>
      </x:c>
      <x:c r="R150" s="2">
        <x:v>2778</x:v>
      </x:c>
      <x:c r="S150" s="2" t="s">
        <x:v>195</x:v>
      </x:c>
      <x:c r="T150" s="2"/>
      <x:c r="U150" s="2"/>
      <x:c r="V150" s="2"/>
      <x:c r="W150" s="2"/>
      <x:c r="X150" s="2" t="s">
        <x:v>196</x:v>
      </x:c>
      <x:c r="Y150" s="2" t="s">
        <x:v>113</x:v>
      </x:c>
      <x:c r="Z150" s="2" t="s">
        <x:v>114</x:v>
      </x:c>
      <x:c r="AA150" s="11" t="n">
        <x:f>IFERROR(VLOOKUP(E150,Harmonization_Rules!$A$2:$B$9,2,FALSE),"")</x:f>
        <x:v>63.546</x:v>
      </x:c>
      <x:c r="AB150" s="2" t="str">
        <x:f t="shared" si="14"/>
        <x:v>ECOTOX_STANDARDIZED_TARGET_METAL</x:v>
      </x:c>
      <x:c r="AC150" s="12">
        <x:f t="shared" si="15"/>
        <x:v>2.778</x:v>
      </x:c>
      <x:c r="AD150" s="12">
        <x:f t="shared" si="16"/>
        <x:v>43.716362949674249</x:v>
      </x:c>
      <x:c r="AE150" s="12">
        <x:f t="shared" si="17"/>
        <x:v>3.7777224702247016</x:v>
      </x:c>
      <x:c r="AF150" s="2" t="str">
        <x:f t="shared" si="18"/>
        <x:v>HARMONIZED</x:v>
      </x:c>
      <x:c r="AG150" s="2" t="str">
        <x:f>IF(E150="Cr","Cr(VI) chromate/dichromate rows are retained but molar conversion is held until source-specific compound-vs-ion basis is resolved.",IF(D150=2977,"OBrien 1988 reports total dissolved Cu LC198 values in 10^-6 M; the numeric Analysis_Point is therefore treated directly as umol Cu/L.",IF(AND(D150=6825,L150="Formulation"),"Nipper 1993 source check showed the reported concentrations are nominal Zn; formulation coding does not trigger compound-mass conversion.",IF(Y150="PRIMARY_RECOVERED","Source-recovered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0" s="2" t="str">
        <x:f t="shared" si="19"/>
        <x:v>CORE</x:v>
      </x:c>
      <x:c r="AI150" s="2" t="str">
        <x:f t="shared" si="20"/>
        <x:v>YES</x:v>
      </x:c>
    </x:row>
    <x:row r="151" ht="40.5">
      <x:c r="A151" s="2">
        <x:v>1262</x:v>
      </x:c>
      <x:c r="B151" s="2">
        <x:v>1310647</x:v>
      </x:c>
      <x:c r="C151" s="2">
        <x:v>767830</x:v>
      </x:c>
      <x:c r="D151" s="2">
        <x:v>14474</x:v>
      </x:c>
      <x:c r="E151" s="2" t="s">
        <x:v>10</x:v>
      </x:c>
      <x:c r="F151" s="2" t="s">
        <x:v>235</x:v>
      </x:c>
      <x:c r="G151" s="2" t="s">
        <x:v>116</x:v>
      </x:c>
      <x:c r="H151" s="2" t="s">
        <x:v>107</x:v>
      </x:c>
      <x:c r="I151" s="2" t="s">
        <x:v>108</x:v>
      </x:c>
      <x:c r="J151" s="2">
        <x:v>2</x:v>
      </x:c>
      <x:c r="K151" s="2" t="s">
        <x:v>117</x:v>
      </x:c>
      <x:c r="L151" s="2" t="s">
        <x:v>110</x:v>
      </x:c>
      <x:c r="M151" s="2"/>
      <x:c r="N151" s="2">
        <x:v>0.44729999999999998</x:v>
      </x:c>
      <x:c r="O151" s="2"/>
      <x:c r="P151" s="2"/>
      <x:c r="Q151" s="2" t="s">
        <x:v>121</x:v>
      </x:c>
      <x:c r="R151" s="2">
        <x:v>0.44729999999999998</x:v>
      </x:c>
      <x:c r="S151" s="2" t="s">
        <x:v>121</x:v>
      </x:c>
      <x:c r="T151" s="2"/>
      <x:c r="U151" s="2"/>
      <x:c r="V151" s="2"/>
      <x:c r="W151" s="2"/>
      <x:c r="X151" s="2" t="s">
        <x:v>240</x:v>
      </x:c>
      <x:c r="Y151" s="2" t="s">
        <x:v>113</x:v>
      </x:c>
      <x:c r="Z151" s="2" t="s">
        <x:v>114</x:v>
      </x:c>
      <x:c r="AA151" s="11" t="n">
        <x:f>IFERROR(VLOOKUP(E151,Harmonization_Rules!$A$2:$B$9,2,FALSE),"")</x:f>
        <x:v>63.546</x:v>
      </x:c>
      <x:c r="AB151" s="2" t="str">
        <x:f t="shared" si="14"/>
        <x:v>ECOTOX_STANDARDIZED_TARGET_METAL</x:v>
      </x:c>
      <x:c r="AC151" s="12">
        <x:f t="shared" si="15"/>
        <x:v>0.44729999999999998</x:v>
      </x:c>
      <x:c r="AD151" s="12">
        <x:f t="shared" si="16"/>
        <x:v>7.0389953734302706</x:v>
      </x:c>
      <x:c r="AE151" s="12">
        <x:f t="shared" si="17"/>
        <x:v>1.9514654573492152</x:v>
      </x:c>
      <x:c r="AF151" s="2" t="str">
        <x:f t="shared" si="18"/>
        <x:v>HARMONIZED</x:v>
      </x:c>
      <x:c r="AG151" s="2" t="str">
        <x:f>IF(E151="Cr","Cr(VI) chromate/dichromate rows are retained but molar conversion is held until source-specific compound-vs-ion basis is resolved.",IF(D151=2977,"OBrien 1988 reports total dissolved Cu LC199 values in 10^-6 M; the numeric Analysis_Point is therefore treated directly as umol Cu/L.",IF(AND(D151=6825,L151="Formulation"),"Nipper 1993 source check showed the reported concentrations are nominal Zn; formulation coding does not trigger compound-mass conversion.",IF(Y151="PRIMARY_RECOVERED","Source-recovered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1" s="2" t="str">
        <x:f t="shared" si="19"/>
        <x:v>CORE</x:v>
      </x:c>
      <x:c r="AI151" s="2" t="str">
        <x:f t="shared" si="20"/>
        <x:v>YES</x:v>
      </x:c>
    </x:row>
    <x:row r="152" ht="54">
      <x:c r="A152" s="2">
        <x:v>1263</x:v>
      </x:c>
      <x:c r="B152" s="2">
        <x:v>2136233</x:v>
      </x:c>
      <x:c r="C152" s="2">
        <x:v>2252278</x:v>
      </x:c>
      <x:c r="D152" s="2">
        <x:v>153073</x:v>
      </x:c>
      <x:c r="E152" s="2" t="s">
        <x:v>10</x:v>
      </x:c>
      <x:c r="F152" s="2" t="s">
        <x:v>235</x:v>
      </x:c>
      <x:c r="G152" s="2" t="s">
        <x:v>245</x:v>
      </x:c>
      <x:c r="H152" s="2" t="s">
        <x:v>234</x:v>
      </x:c>
      <x:c r="I152" s="2" t="s">
        <x:v>108</x:v>
      </x:c>
      <x:c r="J152" s="2">
        <x:v>4</x:v>
      </x:c>
      <x:c r="K152" s="2" t="s">
        <x:v>126</x:v>
      </x:c>
      <x:c r="L152" s="2" t="s">
        <x:v>110</x:v>
      </x:c>
      <x:c r="M152" s="2"/>
      <x:c r="N152" s="2">
        <x:v>0.8</x:v>
      </x:c>
      <x:c r="O152" s="2">
        <x:v>0.76</x:v>
      </x:c>
      <x:c r="P152" s="2">
        <x:v>0.91</x:v>
      </x:c>
      <x:c r="Q152" s="2" t="s">
        <x:v>121</x:v>
      </x:c>
      <x:c r="R152" s="2">
        <x:v>0.8</x:v>
      </x:c>
      <x:c r="S152" s="2" t="s">
        <x:v>121</x:v>
      </x:c>
      <x:c r="T152" s="2">
        <x:v>25</x:v>
      </x:c>
      <x:c r="U152" s="2">
        <x:v>15</x:v>
      </x:c>
      <x:c r="V152" s="2"/>
      <x:c r="W152" s="2"/>
      <x:c r="X152" s="2" t="s">
        <x:v>246</x:v>
      </x:c>
      <x:c r="Y152" s="2" t="s">
        <x:v>113</x:v>
      </x:c>
      <x:c r="Z152" s="2" t="s">
        <x:v>114</x:v>
      </x:c>
      <x:c r="AA152" s="11" t="n">
        <x:f>IFERROR(VLOOKUP(E152,Harmonization_Rules!$A$2:$B$9,2,FALSE),"")</x:f>
        <x:v>63.546</x:v>
      </x:c>
      <x:c r="AB152" s="2" t="str">
        <x:f t="shared" si="14"/>
        <x:v>ECOTOX_STANDARDIZED_TARGET_METAL</x:v>
      </x:c>
      <x:c r="AC152" s="12">
        <x:f t="shared" si="15"/>
        <x:v>0.8</x:v>
      </x:c>
      <x:c r="AD152" s="12">
        <x:f t="shared" si="16"/>
        <x:v>12.589305385075379</x:v>
      </x:c>
      <x:c r="AE152" s="12">
        <x:f t="shared" si="17"/>
        <x:v>2.5328476745783401</x:v>
      </x:c>
      <x:c r="AF152" s="2" t="str">
        <x:f t="shared" si="18"/>
        <x:v>HARMONIZED</x:v>
      </x:c>
      <x:c r="AG152" s="2" t="str">
        <x:f>IF(E152="Cr","Cr(VI) chromate/dichromate rows are retained but molar conversion is held until source-specific compound-vs-ion basis is resolved.",IF(D152=2977,"OBrien 1988 reports total dissolved Cu LC200 values in 10^-6 M; the numeric Analysis_Point is therefore treated directly as umol Cu/L.",IF(AND(D152=6825,L152="Formulation"),"Nipper 1993 source check showed the reported concentrations are nominal Zn; formulation coding does not trigger compound-mass conversion.",IF(Y152="PRIMARY_RECOVERED","Source-recovered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2" s="2" t="str">
        <x:f t="shared" si="19"/>
        <x:v>CORE</x:v>
      </x:c>
      <x:c r="AI152" s="2" t="str">
        <x:f t="shared" si="20"/>
        <x:v>YES</x:v>
      </x:c>
    </x:row>
    <x:row r="153" ht="40.5">
      <x:c r="A153" s="2">
        <x:v>1271</x:v>
      </x:c>
      <x:c r="B153" s="2">
        <x:v>1310648</x:v>
      </x:c>
      <x:c r="C153" s="2">
        <x:v>767831</x:v>
      </x:c>
      <x:c r="D153" s="2">
        <x:v>14474</x:v>
      </x:c>
      <x:c r="E153" s="2" t="s">
        <x:v>10</x:v>
      </x:c>
      <x:c r="F153" s="2" t="s">
        <x:v>235</x:v>
      </x:c>
      <x:c r="G153" s="2" t="s">
        <x:v>116</x:v>
      </x:c>
      <x:c r="H153" s="2" t="s">
        <x:v>107</x:v>
      </x:c>
      <x:c r="I153" s="2"/>
      <x:c r="J153" s="2">
        <x:v>2</x:v>
      </x:c>
      <x:c r="K153" s="2" t="s">
        <x:v>117</x:v>
      </x:c>
      <x:c r="L153" s="2" t="s">
        <x:v>110</x:v>
      </x:c>
      <x:c r="M153" s="2"/>
      <x:c r="N153" s="2">
        <x:v>0.42809999999999998</x:v>
      </x:c>
      <x:c r="O153" s="2"/>
      <x:c r="P153" s="2"/>
      <x:c r="Q153" s="2" t="s">
        <x:v>121</x:v>
      </x:c>
      <x:c r="R153" s="2">
        <x:v>0.42809999999999998</x:v>
      </x:c>
      <x:c r="S153" s="2" t="s">
        <x:v>121</x:v>
      </x:c>
      <x:c r="T153" s="2"/>
      <x:c r="U153" s="2"/>
      <x:c r="V153" s="2"/>
      <x:c r="W153" s="2"/>
      <x:c r="X153" s="2" t="s">
        <x:v>240</x:v>
      </x:c>
      <x:c r="Y153" s="2" t="s">
        <x:v>113</x:v>
      </x:c>
      <x:c r="Z153" s="2" t="s">
        <x:v>114</x:v>
      </x:c>
      <x:c r="AA153" s="11" t="n">
        <x:f>IFERROR(VLOOKUP(E153,Harmonization_Rules!$A$2:$B$9,2,FALSE),"")</x:f>
        <x:v>63.546</x:v>
      </x:c>
      <x:c r="AB153" s="2" t="str">
        <x:f t="shared" si="14"/>
        <x:v>ECOTOX_STANDARDIZED_TARGET_METAL</x:v>
      </x:c>
      <x:c r="AC153" s="12">
        <x:f t="shared" si="15"/>
        <x:v>0.42809999999999998</x:v>
      </x:c>
      <x:c r="AD153" s="12">
        <x:f t="shared" si="16"/>
        <x:v>6.7368520441884616</x:v>
      </x:c>
      <x:c r="AE153" s="12">
        <x:f t="shared" si="17"/>
        <x:v>1.9075927600613132</x:v>
      </x:c>
      <x:c r="AF153" s="2" t="str">
        <x:f t="shared" si="18"/>
        <x:v>HARMONIZED</x:v>
      </x:c>
      <x:c r="AG153" s="2" t="str">
        <x:f>IF(E153="Cr","Cr(VI) chromate/dichromate rows are retained but molar conversion is held until source-specific compound-vs-ion basis is resolved.",IF(D153=2977,"OBrien 1988 reports total dissolved Cu LC201 values in 10^-6 M; the numeric Analysis_Point is therefore treated directly as umol Cu/L.",IF(AND(D153=6825,L153="Formulation"),"Nipper 1993 source check showed the reported concentrations are nominal Zn; formulation coding does not trigger compound-mass conversion.",IF(Y153="PRIMARY_RECOVERED","Source-recovered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3" s="2" t="str">
        <x:f t="shared" si="19"/>
        <x:v>CORE</x:v>
      </x:c>
      <x:c r="AI153" s="2" t="str">
        <x:f t="shared" si="20"/>
        <x:v>YES</x:v>
      </x:c>
    </x:row>
    <x:row r="154" ht="40.5">
      <x:c r="A154" s="2">
        <x:v>1285</x:v>
      </x:c>
      <x:c r="B154" s="2">
        <x:v>1135996</x:v>
      </x:c>
      <x:c r="C154" s="2">
        <x:v>90928</x:v>
      </x:c>
      <x:c r="D154" s="2">
        <x:v>11097</x:v>
      </x:c>
      <x:c r="E154" s="2" t="s">
        <x:v>10</x:v>
      </x:c>
      <x:c r="F154" s="2" t="s">
        <x:v>235</x:v>
      </x:c>
      <x:c r="G154" s="2" t="s">
        <x:v>116</x:v>
      </x:c>
      <x:c r="H154" s="2" t="s">
        <x:v>107</x:v>
      </x:c>
      <x:c r="I154" s="2" t="s">
        <x:v>224</x:v>
      </x:c>
      <x:c r="J154" s="2">
        <x:v>2</x:v>
      </x:c>
      <x:c r="K154" s="2" t="s">
        <x:v>117</x:v>
      </x:c>
      <x:c r="L154" s="2" t="s">
        <x:v>110</x:v>
      </x:c>
      <x:c r="M154" s="2"/>
      <x:c r="N154" s="2">
        <x:v>528.9</x:v>
      </x:c>
      <x:c r="O154" s="2"/>
      <x:c r="P154" s="2"/>
      <x:c r="Q154" s="2" t="s">
        <x:v>111</x:v>
      </x:c>
      <x:c r="R154" s="2">
        <x:v>528.9</x:v>
      </x:c>
      <x:c r="S154" s="2" t="s">
        <x:v>111</x:v>
      </x:c>
      <x:c r="T154" s="2">
        <x:v>18</x:v>
      </x:c>
      <x:c r="U154" s="2">
        <x:v>38</x:v>
      </x:c>
      <x:c r="V154" s="2"/>
      <x:c r="W154" s="2"/>
      <x:c r="X154" s="2" t="s">
        <x:v>239</x:v>
      </x:c>
      <x:c r="Y154" s="2" t="s">
        <x:v>113</x:v>
      </x:c>
      <x:c r="Z154" s="2" t="s">
        <x:v>114</x:v>
      </x:c>
      <x:c r="AA154" s="11" t="n">
        <x:f>IFERROR(VLOOKUP(E154,Harmonization_Rules!$A$2:$B$9,2,FALSE),"")</x:f>
        <x:v>63.546</x:v>
      </x:c>
      <x:c r="AB154" s="2" t="str">
        <x:f t="shared" si="14"/>
        <x:v>ECOTOX_STANDARDIZED_TARGET_METAL</x:v>
      </x:c>
      <x:c r="AC154" s="12">
        <x:f t="shared" si="15"/>
        <x:v>0.52889999999999993</x:v>
      </x:c>
      <x:c r="AD154" s="12">
        <x:f t="shared" si="16"/>
        <x:v>8.3231045227079594</x:v>
      </x:c>
      <x:c r="AE154" s="12">
        <x:f t="shared" si="17"/>
        <x:v>2.119035324982347</x:v>
      </x:c>
      <x:c r="AF154" s="2" t="str">
        <x:f t="shared" si="18"/>
        <x:v>HARMONIZED</x:v>
      </x:c>
      <x:c r="AG154" s="2" t="str">
        <x:f>IF(E154="Cr","Cr(VI) chromate/dichromate rows are retained but molar conversion is held until source-specific compound-vs-ion basis is resolved.",IF(D154=2977,"OBrien 1988 reports total dissolved Cu LC202 values in 10^-6 M; the numeric Analysis_Point is therefore treated directly as umol Cu/L.",IF(AND(D154=6825,L154="Formulation"),"Nipper 1993 source check showed the reported concentrations are nominal Zn; formulation coding does not trigger compound-mass conversion.",IF(Y154="PRIMARY_RECOVERED","Source-recovered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4" s="2" t="str">
        <x:f t="shared" si="19"/>
        <x:v>CORE</x:v>
      </x:c>
      <x:c r="AI154" s="2" t="str">
        <x:f t="shared" si="20"/>
        <x:v>YES</x:v>
      </x:c>
    </x:row>
    <x:row r="155" ht="40.5">
      <x:c r="A155" s="2">
        <x:v>1295</x:v>
      </x:c>
      <x:c r="B155" s="2">
        <x:v>1310618</x:v>
      </x:c>
      <x:c r="C155" s="2">
        <x:v>767801</x:v>
      </x:c>
      <x:c r="D155" s="2">
        <x:v>14474</x:v>
      </x:c>
      <x:c r="E155" s="2" t="s">
        <x:v>10</x:v>
      </x:c>
      <x:c r="F155" s="2" t="s">
        <x:v>235</x:v>
      </x:c>
      <x:c r="G155" s="2" t="s">
        <x:v>116</x:v>
      </x:c>
      <x:c r="H155" s="2" t="s">
        <x:v>107</x:v>
      </x:c>
      <x:c r="I155" s="2"/>
      <x:c r="J155" s="2">
        <x:v>2</x:v>
      </x:c>
      <x:c r="K155" s="2" t="s">
        <x:v>117</x:v>
      </x:c>
      <x:c r="L155" s="2" t="s">
        <x:v>110</x:v>
      </x:c>
      <x:c r="M155" s="2"/>
      <x:c r="N155" s="2">
        <x:v>0.41870000000000002</x:v>
      </x:c>
      <x:c r="O155" s="2"/>
      <x:c r="P155" s="2"/>
      <x:c r="Q155" s="2" t="s">
        <x:v>121</x:v>
      </x:c>
      <x:c r="R155" s="2">
        <x:v>0.41870000000000002</x:v>
      </x:c>
      <x:c r="S155" s="2" t="s">
        <x:v>121</x:v>
      </x:c>
      <x:c r="T155" s="2"/>
      <x:c r="U155" s="2"/>
      <x:c r="V155" s="2"/>
      <x:c r="W155" s="2"/>
      <x:c r="X155" s="2" t="s">
        <x:v>240</x:v>
      </x:c>
      <x:c r="Y155" s="2" t="s">
        <x:v>113</x:v>
      </x:c>
      <x:c r="Z155" s="2" t="s">
        <x:v>114</x:v>
      </x:c>
      <x:c r="AA155" s="11" t="n">
        <x:f>IFERROR(VLOOKUP(E155,Harmonization_Rules!$A$2:$B$9,2,FALSE),"")</x:f>
        <x:v>63.546</x:v>
      </x:c>
      <x:c r="AB155" s="2" t="str">
        <x:f t="shared" si="14"/>
        <x:v>ECOTOX_STANDARDIZED_TARGET_METAL</x:v>
      </x:c>
      <x:c r="AC155" s="12">
        <x:f t="shared" si="15"/>
        <x:v>0.41870000000000002</x:v>
      </x:c>
      <x:c r="AD155" s="12">
        <x:f t="shared" si="16"/>
        <x:v>6.588927705913826</x:v>
      </x:c>
      <x:c r="AE155" s="12">
        <x:f t="shared" si="17"/>
        <x:v>1.8853906199355104</x:v>
      </x:c>
      <x:c r="AF155" s="2" t="str">
        <x:f t="shared" si="18"/>
        <x:v>HARMONIZED</x:v>
      </x:c>
      <x:c r="AG155" s="2" t="str">
        <x:f>IF(E155="Cr","Cr(VI) chromate/dichromate rows are retained but molar conversion is held until source-specific compound-vs-ion basis is resolved.",IF(D155=2977,"OBrien 1988 reports total dissolved Cu LC203 values in 10^-6 M; the numeric Analysis_Point is therefore treated directly as umol Cu/L.",IF(AND(D155=6825,L155="Formulation"),"Nipper 1993 source check showed the reported concentrations are nominal Zn; formulation coding does not trigger compound-mass conversion.",IF(Y155="PRIMARY_RECOVERED","Source-recovered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5" s="2" t="str">
        <x:f t="shared" si="19"/>
        <x:v>CORE</x:v>
      </x:c>
      <x:c r="AI155" s="2" t="str">
        <x:f t="shared" si="20"/>
        <x:v>YES</x:v>
      </x:c>
    </x:row>
    <x:row r="156" ht="40.5">
      <x:c r="A156" s="2">
        <x:v>1298</x:v>
      </x:c>
      <x:c r="B156" s="2">
        <x:v>1310619</x:v>
      </x:c>
      <x:c r="C156" s="2">
        <x:v>767802</x:v>
      </x:c>
      <x:c r="D156" s="2">
        <x:v>14474</x:v>
      </x:c>
      <x:c r="E156" s="2" t="s">
        <x:v>10</x:v>
      </x:c>
      <x:c r="F156" s="2" t="s">
        <x:v>235</x:v>
      </x:c>
      <x:c r="G156" s="2" t="s">
        <x:v>116</x:v>
      </x:c>
      <x:c r="H156" s="2" t="s">
        <x:v>107</x:v>
      </x:c>
      <x:c r="I156" s="2"/>
      <x:c r="J156" s="2">
        <x:v>2</x:v>
      </x:c>
      <x:c r="K156" s="2" t="s">
        <x:v>117</x:v>
      </x:c>
      <x:c r="L156" s="2" t="s">
        <x:v>110</x:v>
      </x:c>
      <x:c r="M156" s="2"/>
      <x:c r="N156" s="2">
        <x:v>0.4451</x:v>
      </x:c>
      <x:c r="O156" s="2"/>
      <x:c r="P156" s="2"/>
      <x:c r="Q156" s="2" t="s">
        <x:v>121</x:v>
      </x:c>
      <x:c r="R156" s="2">
        <x:v>0.4451</x:v>
      </x:c>
      <x:c r="S156" s="2" t="s">
        <x:v>121</x:v>
      </x:c>
      <x:c r="T156" s="2"/>
      <x:c r="U156" s="2"/>
      <x:c r="V156" s="2"/>
      <x:c r="W156" s="2"/>
      <x:c r="X156" s="2" t="s">
        <x:v>240</x:v>
      </x:c>
      <x:c r="Y156" s="2" t="s">
        <x:v>113</x:v>
      </x:c>
      <x:c r="Z156" s="2" t="s">
        <x:v>114</x:v>
      </x:c>
      <x:c r="AA156" s="11" t="n">
        <x:f>IFERROR(VLOOKUP(E156,Harmonization_Rules!$A$2:$B$9,2,FALSE),"")</x:f>
        <x:v>63.546</x:v>
      </x:c>
      <x:c r="AB156" s="2" t="str">
        <x:f t="shared" si="14"/>
        <x:v>ECOTOX_STANDARDIZED_TARGET_METAL</x:v>
      </x:c>
      <x:c r="AC156" s="12">
        <x:f t="shared" si="15"/>
        <x:v>0.4451</x:v>
      </x:c>
      <x:c r="AD156" s="12">
        <x:f t="shared" si="16"/>
        <x:v>7.0043747836213139</x:v>
      </x:c>
      <x:c r="AE156" s="12">
        <x:f t="shared" si="17"/>
        <x:v>1.9465349229322215</x:v>
      </x:c>
      <x:c r="AF156" s="2" t="str">
        <x:f t="shared" si="18"/>
        <x:v>HARMONIZED</x:v>
      </x:c>
      <x:c r="AG156" s="2" t="str">
        <x:f>IF(E156="Cr","Cr(VI) chromate/dichromate rows are retained but molar conversion is held until source-specific compound-vs-ion basis is resolved.",IF(D156=2977,"OBrien 1988 reports total dissolved Cu LC204 values in 10^-6 M; the numeric Analysis_Point is therefore treated directly as umol Cu/L.",IF(AND(D156=6825,L156="Formulation"),"Nipper 1993 source check showed the reported concentrations are nominal Zn; formulation coding does not trigger compound-mass conversion.",IF(Y156="PRIMARY_RECOVERED","Source-recovered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6" s="2" t="str">
        <x:f t="shared" si="19"/>
        <x:v>CORE</x:v>
      </x:c>
      <x:c r="AI156" s="2" t="str">
        <x:f t="shared" si="20"/>
        <x:v>YES</x:v>
      </x:c>
    </x:row>
    <x:row r="157" ht="40.5">
      <x:c r="A157" s="2">
        <x:v>1304</x:v>
      </x:c>
      <x:c r="B157" s="2">
        <x:v>1078436</x:v>
      </x:c>
      <x:c r="C157" s="2">
        <x:v>102816</x:v>
      </x:c>
      <x:c r="D157" s="2">
        <x:v>6045</x:v>
      </x:c>
      <x:c r="E157" s="2" t="s">
        <x:v>10</x:v>
      </x:c>
      <x:c r="F157" s="2" t="s">
        <x:v>235</x:v>
      </x:c>
      <x:c r="G157" s="2" t="s">
        <x:v>247</x:v>
      </x:c>
      <x:c r="H157" s="2" t="s">
        <x:v>135</x:v>
      </x:c>
      <x:c r="I157" s="2"/>
      <x:c r="J157" s="2">
        <x:v>1</x:v>
      </x:c>
      <x:c r="K157" s="2" t="s">
        <x:v>117</x:v>
      </x:c>
      <x:c r="L157" s="2" t="s">
        <x:v>110</x:v>
      </x:c>
      <x:c r="M157" s="2"/>
      <x:c r="N157" s="2">
        <x:v>192</x:v>
      </x:c>
      <x:c r="O157" s="2"/>
      <x:c r="P157" s="2"/>
      <x:c r="Q157" s="2" t="s">
        <x:v>195</x:v>
      </x:c>
      <x:c r="R157" s="2">
        <x:v>192</x:v>
      </x:c>
      <x:c r="S157" s="2" t="s">
        <x:v>195</x:v>
      </x:c>
      <x:c r="T157" s="2"/>
      <x:c r="U157" s="2"/>
      <x:c r="V157" s="2"/>
      <x:c r="W157" s="2"/>
      <x:c r="X157" s="2" t="s">
        <x:v>196</x:v>
      </x:c>
      <x:c r="Y157" s="2" t="s">
        <x:v>113</x:v>
      </x:c>
      <x:c r="Z157" s="2" t="s">
        <x:v>114</x:v>
      </x:c>
      <x:c r="AA157" s="11" t="n">
        <x:f>IFERROR(VLOOKUP(E157,Harmonization_Rules!$A$2:$B$9,2,FALSE),"")</x:f>
        <x:v>63.546</x:v>
      </x:c>
      <x:c r="AB157" s="2" t="str">
        <x:f t="shared" si="14"/>
        <x:v>ECOTOX_STANDARDIZED_TARGET_METAL</x:v>
      </x:c>
      <x:c r="AC157" s="12">
        <x:f t="shared" si="15"/>
        <x:v>0.192</x:v>
      </x:c>
      <x:c r="AD157" s="12">
        <x:f t="shared" si="16"/>
        <x:v>3.0214332924180907</x:v>
      </x:c>
      <x:c r="AE157" s="12">
        <x:f t="shared" si="17"/>
        <x:v>1.1057313189381943</x:v>
      </x:c>
      <x:c r="AF157" s="2" t="str">
        <x:f t="shared" si="18"/>
        <x:v>HARMONIZED</x:v>
      </x:c>
      <x:c r="AG157" s="2" t="str">
        <x:f>IF(E157="Cr","Cr(VI) chromate/dichromate rows are retained but molar conversion is held until source-specific compound-vs-ion basis is resolved.",IF(D157=2977,"OBrien 1988 reports total dissolved Cu LC205 values in 10^-6 M; the numeric Analysis_Point is therefore treated directly as umol Cu/L.",IF(AND(D157=6825,L157="Formulation"),"Nipper 1993 source check showed the reported concentrations are nominal Zn; formulation coding does not trigger compound-mass conversion.",IF(Y157="PRIMARY_RECOVERED","Source-recovered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7" s="2" t="str">
        <x:f t="shared" si="19"/>
        <x:v>CORE</x:v>
      </x:c>
      <x:c r="AI157" s="2" t="str">
        <x:f t="shared" si="20"/>
        <x:v>YES</x:v>
      </x:c>
    </x:row>
    <x:row r="158" ht="40.5">
      <x:c r="A158" s="2">
        <x:v>1312</x:v>
      </x:c>
      <x:c r="B158" s="2">
        <x:v>1310621</x:v>
      </x:c>
      <x:c r="C158" s="2">
        <x:v>767804</x:v>
      </x:c>
      <x:c r="D158" s="2">
        <x:v>14474</x:v>
      </x:c>
      <x:c r="E158" s="2" t="s">
        <x:v>10</x:v>
      </x:c>
      <x:c r="F158" s="2" t="s">
        <x:v>235</x:v>
      </x:c>
      <x:c r="G158" s="2" t="s">
        <x:v>116</x:v>
      </x:c>
      <x:c r="H158" s="2" t="s">
        <x:v>107</x:v>
      </x:c>
      <x:c r="I158" s="2"/>
      <x:c r="J158" s="2">
        <x:v>2</x:v>
      </x:c>
      <x:c r="K158" s="2" t="s">
        <x:v>117</x:v>
      </x:c>
      <x:c r="L158" s="2" t="s">
        <x:v>110</x:v>
      </x:c>
      <x:c r="M158" s="2"/>
      <x:c r="N158" s="2">
        <x:v>0.42809999999999998</x:v>
      </x:c>
      <x:c r="O158" s="2"/>
      <x:c r="P158" s="2"/>
      <x:c r="Q158" s="2" t="s">
        <x:v>121</x:v>
      </x:c>
      <x:c r="R158" s="2">
        <x:v>0.42809999999999998</x:v>
      </x:c>
      <x:c r="S158" s="2" t="s">
        <x:v>121</x:v>
      </x:c>
      <x:c r="T158" s="2"/>
      <x:c r="U158" s="2"/>
      <x:c r="V158" s="2"/>
      <x:c r="W158" s="2"/>
      <x:c r="X158" s="2" t="s">
        <x:v>240</x:v>
      </x:c>
      <x:c r="Y158" s="2" t="s">
        <x:v>113</x:v>
      </x:c>
      <x:c r="Z158" s="2" t="s">
        <x:v>114</x:v>
      </x:c>
      <x:c r="AA158" s="11" t="n">
        <x:f>IFERROR(VLOOKUP(E158,Harmonization_Rules!$A$2:$B$9,2,FALSE),"")</x:f>
        <x:v>63.546</x:v>
      </x:c>
      <x:c r="AB158" s="2" t="str">
        <x:f t="shared" si="14"/>
        <x:v>ECOTOX_STANDARDIZED_TARGET_METAL</x:v>
      </x:c>
      <x:c r="AC158" s="12">
        <x:f t="shared" si="15"/>
        <x:v>0.42809999999999998</x:v>
      </x:c>
      <x:c r="AD158" s="12">
        <x:f t="shared" si="16"/>
        <x:v>6.7368520441884616</x:v>
      </x:c>
      <x:c r="AE158" s="12">
        <x:f t="shared" si="17"/>
        <x:v>1.9075927600613132</x:v>
      </x:c>
      <x:c r="AF158" s="2" t="str">
        <x:f t="shared" si="18"/>
        <x:v>HARMONIZED</x:v>
      </x:c>
      <x:c r="AG158" s="2" t="str">
        <x:f>IF(E158="Cr","Cr(VI) chromate/dichromate rows are retained but molar conversion is held until source-specific compound-vs-ion basis is resolved.",IF(D158=2977,"OBrien 1988 reports total dissolved Cu LC206 values in 10^-6 M; the numeric Analysis_Point is therefore treated directly as umol Cu/L.",IF(AND(D158=6825,L158="Formulation"),"Nipper 1993 source check showed the reported concentrations are nominal Zn; formulation coding does not trigger compound-mass conversion.",IF(Y158="PRIMARY_RECOVERED","Source-recovered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8" s="2" t="str">
        <x:f t="shared" si="19"/>
        <x:v>CORE</x:v>
      </x:c>
      <x:c r="AI158" s="2" t="str">
        <x:f t="shared" si="20"/>
        <x:v>YES</x:v>
      </x:c>
    </x:row>
    <x:row r="159" ht="40.5">
      <x:c r="A159" s="2">
        <x:v>1315</x:v>
      </x:c>
      <x:c r="B159" s="2">
        <x:v>1179974</x:v>
      </x:c>
      <x:c r="C159" s="2">
        <x:v>82523</x:v>
      </x:c>
      <x:c r="D159" s="2">
        <x:v>15726</x:v>
      </x:c>
      <x:c r="E159" s="2" t="s">
        <x:v>10</x:v>
      </x:c>
      <x:c r="F159" s="2" t="s">
        <x:v>235</x:v>
      </x:c>
      <x:c r="G159" s="2" t="s">
        <x:v>116</x:v>
      </x:c>
      <x:c r="H159" s="2" t="s">
        <x:v>107</x:v>
      </x:c>
      <x:c r="I159" s="2" t="s">
        <x:v>108</x:v>
      </x:c>
      <x:c r="J159" s="2">
        <x:v>2</x:v>
      </x:c>
      <x:c r="K159" s="2" t="s">
        <x:v>117</x:v>
      </x:c>
      <x:c r="L159" s="2" t="s">
        <x:v>110</x:v>
      </x:c>
      <x:c r="M159" s="2"/>
      <x:c r="N159" s="2">
        <x:v>80</x:v>
      </x:c>
      <x:c r="O159" s="2"/>
      <x:c r="P159" s="2"/>
      <x:c r="Q159" s="2" t="s">
        <x:v>111</x:v>
      </x:c>
      <x:c r="R159" s="2">
        <x:v>80</x:v>
      </x:c>
      <x:c r="S159" s="2" t="s">
        <x:v>111</x:v>
      </x:c>
      <x:c r="T159" s="2">
        <x:v>24</x:v>
      </x:c>
      <x:c r="U159" s="2"/>
      <x:c r="V159" s="2"/>
      <x:c r="W159" s="2"/>
      <x:c r="X159" s="2" t="s">
        <x:v>248</x:v>
      </x:c>
      <x:c r="Y159" s="2" t="s">
        <x:v>113</x:v>
      </x:c>
      <x:c r="Z159" s="2" t="s">
        <x:v>114</x:v>
      </x:c>
      <x:c r="AA159" s="11" t="n">
        <x:f>IFERROR(VLOOKUP(E159,Harmonization_Rules!$A$2:$B$9,2,FALSE),"")</x:f>
        <x:v>63.546</x:v>
      </x:c>
      <x:c r="AB159" s="2" t="str">
        <x:f t="shared" si="14"/>
        <x:v>ECOTOX_STANDARDIZED_TARGET_METAL</x:v>
      </x:c>
      <x:c r="AC159" s="12">
        <x:f t="shared" si="15"/>
        <x:v>0.08</x:v>
      </x:c>
      <x:c r="AD159" s="12">
        <x:f t="shared" si="16"/>
        <x:v>1.2589305385075378</x:v>
      </x:c>
      <x:c r="AE159" s="12">
        <x:f t="shared" si="17"/>
        <x:v>0.23026258158429438</x:v>
      </x:c>
      <x:c r="AF159" s="2" t="str">
        <x:f t="shared" si="18"/>
        <x:v>HARMONIZED</x:v>
      </x:c>
      <x:c r="AG159" s="2" t="str">
        <x:f>IF(E159="Cr","Cr(VI) chromate/dichromate rows are retained but molar conversion is held until source-specific compound-vs-ion basis is resolved.",IF(D159=2977,"OBrien 1988 reports total dissolved Cu LC207 values in 10^-6 M; the numeric Analysis_Point is therefore treated directly as umol Cu/L.",IF(AND(D159=6825,L159="Formulation"),"Nipper 1993 source check showed the reported concentrations are nominal Zn; formulation coding does not trigger compound-mass conversion.",IF(Y159="PRIMARY_RECOVERED","Source-recovered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59" s="2" t="str">
        <x:f t="shared" si="19"/>
        <x:v>CORE</x:v>
      </x:c>
      <x:c r="AI159" s="2" t="str">
        <x:f t="shared" si="20"/>
        <x:v>YES</x:v>
      </x:c>
    </x:row>
    <x:row r="160" ht="40.5">
      <x:c r="A160" s="2">
        <x:v>1321</x:v>
      </x:c>
      <x:c r="B160" s="2">
        <x:v>1078474</x:v>
      </x:c>
      <x:c r="C160" s="2">
        <x:v>231987</x:v>
      </x:c>
      <x:c r="D160" s="2">
        <x:v>6045</x:v>
      </x:c>
      <x:c r="E160" s="2" t="s">
        <x:v>10</x:v>
      </x:c>
      <x:c r="F160" s="2" t="s">
        <x:v>235</x:v>
      </x:c>
      <x:c r="G160" s="2" t="s">
        <x:v>194</x:v>
      </x:c>
      <x:c r="H160" s="2" t="s">
        <x:v>135</x:v>
      </x:c>
      <x:c r="I160" s="2"/>
      <x:c r="J160" s="2">
        <x:v>1</x:v>
      </x:c>
      <x:c r="K160" s="2" t="s">
        <x:v>117</x:v>
      </x:c>
      <x:c r="L160" s="2" t="s">
        <x:v>110</x:v>
      </x:c>
      <x:c r="M160" s="2"/>
      <x:c r="N160" s="2">
        <x:v>188</x:v>
      </x:c>
      <x:c r="O160" s="2"/>
      <x:c r="P160" s="2"/>
      <x:c r="Q160" s="2" t="s">
        <x:v>195</x:v>
      </x:c>
      <x:c r="R160" s="2">
        <x:v>188</x:v>
      </x:c>
      <x:c r="S160" s="2" t="s">
        <x:v>195</x:v>
      </x:c>
      <x:c r="T160" s="2"/>
      <x:c r="U160" s="2"/>
      <x:c r="V160" s="2"/>
      <x:c r="W160" s="2"/>
      <x:c r="X160" s="2" t="s">
        <x:v>196</x:v>
      </x:c>
      <x:c r="Y160" s="2" t="s">
        <x:v>113</x:v>
      </x:c>
      <x:c r="Z160" s="2" t="s">
        <x:v>114</x:v>
      </x:c>
      <x:c r="AA160" s="11" t="n">
        <x:f>IFERROR(VLOOKUP(E160,Harmonization_Rules!$A$2:$B$9,2,FALSE),"")</x:f>
        <x:v>63.546</x:v>
      </x:c>
      <x:c r="AB160" s="2" t="str">
        <x:f t="shared" si="14"/>
        <x:v>ECOTOX_STANDARDIZED_TARGET_METAL</x:v>
      </x:c>
      <x:c r="AC160" s="12">
        <x:f t="shared" si="15"/>
        <x:v>0.188</x:v>
      </x:c>
      <x:c r="AD160" s="12">
        <x:f t="shared" si="16"/>
        <x:v>2.9584867654927138</x:v>
      </x:c>
      <x:c r="AE160" s="12">
        <x:f t="shared" si="17"/>
        <x:v>1.084677909740362</x:v>
      </x:c>
      <x:c r="AF160" s="2" t="str">
        <x:f t="shared" si="18"/>
        <x:v>HARMONIZED</x:v>
      </x:c>
      <x:c r="AG160" s="2" t="str">
        <x:f>IF(E160="Cr","Cr(VI) chromate/dichromate rows are retained but molar conversion is held until source-specific compound-vs-ion basis is resolved.",IF(D160=2977,"OBrien 1988 reports total dissolved Cu LC208 values in 10^-6 M; the numeric Analysis_Point is therefore treated directly as umol Cu/L.",IF(AND(D160=6825,L160="Formulation"),"Nipper 1993 source check showed the reported concentrations are nominal Zn; formulation coding does not trigger compound-mass conversion.",IF(Y160="PRIMARY_RECOVERED","Source-recovered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0" s="2" t="str">
        <x:f t="shared" si="19"/>
        <x:v>CORE</x:v>
      </x:c>
      <x:c r="AI160" s="2" t="str">
        <x:f t="shared" si="20"/>
        <x:v>YES</x:v>
      </x:c>
    </x:row>
    <x:row r="161" ht="40.5">
      <x:c r="A161" s="2">
        <x:v>1324</x:v>
      </x:c>
      <x:c r="B161" s="2">
        <x:v>1135997</x:v>
      </x:c>
      <x:c r="C161" s="2">
        <x:v>90929</x:v>
      </x:c>
      <x:c r="D161" s="2">
        <x:v>11097</x:v>
      </x:c>
      <x:c r="E161" s="2" t="s">
        <x:v>10</x:v>
      </x:c>
      <x:c r="F161" s="2" t="s">
        <x:v>235</x:v>
      </x:c>
      <x:c r="G161" s="2" t="s">
        <x:v>116</x:v>
      </x:c>
      <x:c r="H161" s="2" t="s">
        <x:v>107</x:v>
      </x:c>
      <x:c r="I161" s="2"/>
      <x:c r="J161" s="2">
        <x:v>2</x:v>
      </x:c>
      <x:c r="K161" s="2" t="s">
        <x:v>117</x:v>
      </x:c>
      <x:c r="L161" s="2" t="s">
        <x:v>110</x:v>
      </x:c>
      <x:c r="M161" s="2"/>
      <x:c r="N161" s="2">
        <x:v>447.3</x:v>
      </x:c>
      <x:c r="O161" s="2"/>
      <x:c r="P161" s="2"/>
      <x:c r="Q161" s="2" t="s">
        <x:v>111</x:v>
      </x:c>
      <x:c r="R161" s="2">
        <x:v>447.3</x:v>
      </x:c>
      <x:c r="S161" s="2" t="s">
        <x:v>111</x:v>
      </x:c>
      <x:c r="T161" s="2">
        <x:v>18</x:v>
      </x:c>
      <x:c r="U161" s="2">
        <x:v>38</x:v>
      </x:c>
      <x:c r="V161" s="2"/>
      <x:c r="W161" s="2"/>
      <x:c r="X161" s="2" t="s">
        <x:v>239</x:v>
      </x:c>
      <x:c r="Y161" s="2" t="s">
        <x:v>113</x:v>
      </x:c>
      <x:c r="Z161" s="2" t="s">
        <x:v>114</x:v>
      </x:c>
      <x:c r="AA161" s="11" t="n">
        <x:f>IFERROR(VLOOKUP(E161,Harmonization_Rules!$A$2:$B$9,2,FALSE),"")</x:f>
        <x:v>63.546</x:v>
      </x:c>
      <x:c r="AB161" s="2" t="str">
        <x:f t="shared" si="14"/>
        <x:v>ECOTOX_STANDARDIZED_TARGET_METAL</x:v>
      </x:c>
      <x:c r="AC161" s="12">
        <x:f t="shared" si="15"/>
        <x:v>0.44730000000000003</x:v>
      </x:c>
      <x:c r="AD161" s="12">
        <x:f t="shared" si="16"/>
        <x:v>7.0389953734302715</x:v>
      </x:c>
      <x:c r="AE161" s="12">
        <x:f t="shared" si="17"/>
        <x:v>1.9514654573492154</x:v>
      </x:c>
      <x:c r="AF161" s="2" t="str">
        <x:f t="shared" si="18"/>
        <x:v>HARMONIZED</x:v>
      </x:c>
      <x:c r="AG161" s="2" t="str">
        <x:f>IF(E161="Cr","Cr(VI) chromate/dichromate rows are retained but molar conversion is held until source-specific compound-vs-ion basis is resolved.",IF(D161=2977,"OBrien 1988 reports total dissolved Cu LC209 values in 10^-6 M; the numeric Analysis_Point is therefore treated directly as umol Cu/L.",IF(AND(D161=6825,L161="Formulation"),"Nipper 1993 source check showed the reported concentrations are nominal Zn; formulation coding does not trigger compound-mass conversion.",IF(Y161="PRIMARY_RECOVERED","Source-recovered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1" s="2" t="str">
        <x:f t="shared" si="19"/>
        <x:v>CORE</x:v>
      </x:c>
      <x:c r="AI161" s="2" t="str">
        <x:f t="shared" si="20"/>
        <x:v>YES</x:v>
      </x:c>
    </x:row>
    <x:row r="162" ht="40.5">
      <x:c r="A162" s="2">
        <x:v>1327</x:v>
      </x:c>
      <x:c r="B162" s="2">
        <x:v>1078421</x:v>
      </x:c>
      <x:c r="C162" s="2">
        <x:v>66949</x:v>
      </x:c>
      <x:c r="D162" s="2">
        <x:v>6045</x:v>
      </x:c>
      <x:c r="E162" s="2" t="s">
        <x:v>10</x:v>
      </x:c>
      <x:c r="F162" s="2" t="s">
        <x:v>235</x:v>
      </x:c>
      <x:c r="G162" s="2" t="s">
        <x:v>197</x:v>
      </x:c>
      <x:c r="H162" s="2" t="s">
        <x:v>135</x:v>
      </x:c>
      <x:c r="I162" s="2"/>
      <x:c r="J162" s="2">
        <x:v>1</x:v>
      </x:c>
      <x:c r="K162" s="2" t="s">
        <x:v>117</x:v>
      </x:c>
      <x:c r="L162" s="2" t="s">
        <x:v>110</x:v>
      </x:c>
      <x:c r="M162" s="2"/>
      <x:c r="N162" s="2">
        <x:v>132</x:v>
      </x:c>
      <x:c r="O162" s="2"/>
      <x:c r="P162" s="2"/>
      <x:c r="Q162" s="2" t="s">
        <x:v>195</x:v>
      </x:c>
      <x:c r="R162" s="2">
        <x:v>132</x:v>
      </x:c>
      <x:c r="S162" s="2" t="s">
        <x:v>195</x:v>
      </x:c>
      <x:c r="T162" s="2"/>
      <x:c r="U162" s="2"/>
      <x:c r="V162" s="2"/>
      <x:c r="W162" s="2"/>
      <x:c r="X162" s="2" t="s">
        <x:v>196</x:v>
      </x:c>
      <x:c r="Y162" s="2" t="s">
        <x:v>113</x:v>
      </x:c>
      <x:c r="Z162" s="2" t="s">
        <x:v>114</x:v>
      </x:c>
      <x:c r="AA162" s="11" t="n">
        <x:f>IFERROR(VLOOKUP(E162,Harmonization_Rules!$A$2:$B$9,2,FALSE),"")</x:f>
        <x:v>63.546</x:v>
      </x:c>
      <x:c r="AB162" s="2" t="str">
        <x:f t="shared" si="14"/>
        <x:v>ECOTOX_STANDARDIZED_TARGET_METAL</x:v>
      </x:c>
      <x:c r="AC162" s="12">
        <x:f t="shared" si="15"/>
        <x:v>0.13200000000000001</x:v>
      </x:c>
      <x:c r="AD162" s="12">
        <x:f t="shared" si="16"/>
        <x:v>2.0772353885374373</x:v>
      </x:c>
      <x:c r="AE162" s="12">
        <x:f t="shared" si="17"/>
        <x:v>0.73103786949678362</x:v>
      </x:c>
      <x:c r="AF162" s="2" t="str">
        <x:f t="shared" si="18"/>
        <x:v>HARMONIZED</x:v>
      </x:c>
      <x:c r="AG162" s="2" t="str">
        <x:f>IF(E162="Cr","Cr(VI) chromate/dichromate rows are retained but molar conversion is held until source-specific compound-vs-ion basis is resolved.",IF(D162=2977,"OBrien 1988 reports total dissolved Cu LC210 values in 10^-6 M; the numeric Analysis_Point is therefore treated directly as umol Cu/L.",IF(AND(D162=6825,L162="Formulation"),"Nipper 1993 source check showed the reported concentrations are nominal Zn; formulation coding does not trigger compound-mass conversion.",IF(Y162="PRIMARY_RECOVERED","Source-recovered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2" s="2" t="str">
        <x:f t="shared" si="19"/>
        <x:v>CORE</x:v>
      </x:c>
      <x:c r="AI162" s="2" t="str">
        <x:f t="shared" si="20"/>
        <x:v>YES</x:v>
      </x:c>
    </x:row>
    <x:row r="163" ht="40.5">
      <x:c r="A163" s="2">
        <x:v>1336</x:v>
      </x:c>
      <x:c r="B163" s="2">
        <x:v>1135998</x:v>
      </x:c>
      <x:c r="C163" s="2">
        <x:v>90930</x:v>
      </x:c>
      <x:c r="D163" s="2">
        <x:v>11097</x:v>
      </x:c>
      <x:c r="E163" s="2" t="s">
        <x:v>10</x:v>
      </x:c>
      <x:c r="F163" s="2" t="s">
        <x:v>235</x:v>
      </x:c>
      <x:c r="G163" s="2" t="s">
        <x:v>116</x:v>
      </x:c>
      <x:c r="H163" s="2" t="s">
        <x:v>107</x:v>
      </x:c>
      <x:c r="I163" s="2"/>
      <x:c r="J163" s="2">
        <x:v>2</x:v>
      </x:c>
      <x:c r="K163" s="2" t="s">
        <x:v>117</x:v>
      </x:c>
      <x:c r="L163" s="2" t="s">
        <x:v>110</x:v>
      </x:c>
      <x:c r="M163" s="2"/>
      <x:c r="N163" s="2">
        <x:v>428.1</x:v>
      </x:c>
      <x:c r="O163" s="2"/>
      <x:c r="P163" s="2"/>
      <x:c r="Q163" s="2" t="s">
        <x:v>111</x:v>
      </x:c>
      <x:c r="R163" s="2">
        <x:v>428.1</x:v>
      </x:c>
      <x:c r="S163" s="2" t="s">
        <x:v>111</x:v>
      </x:c>
      <x:c r="T163" s="2">
        <x:v>18</x:v>
      </x:c>
      <x:c r="U163" s="2">
        <x:v>38</x:v>
      </x:c>
      <x:c r="V163" s="2"/>
      <x:c r="W163" s="2"/>
      <x:c r="X163" s="2" t="s">
        <x:v>239</x:v>
      </x:c>
      <x:c r="Y163" s="2" t="s">
        <x:v>113</x:v>
      </x:c>
      <x:c r="Z163" s="2" t="s">
        <x:v>114</x:v>
      </x:c>
      <x:c r="AA163" s="11" t="n">
        <x:f>IFERROR(VLOOKUP(E163,Harmonization_Rules!$A$2:$B$9,2,FALSE),"")</x:f>
        <x:v>63.546</x:v>
      </x:c>
      <x:c r="AB163" s="2" t="str">
        <x:f t="shared" si="14"/>
        <x:v>ECOTOX_STANDARDIZED_TARGET_METAL</x:v>
      </x:c>
      <x:c r="AC163" s="12">
        <x:f t="shared" si="15"/>
        <x:v>0.42810000000000004</x:v>
      </x:c>
      <x:c r="AD163" s="12">
        <x:f t="shared" si="16"/>
        <x:v>6.7368520441884625</x:v>
      </x:c>
      <x:c r="AE163" s="12">
        <x:f t="shared" si="17"/>
        <x:v>1.9075927600613134</x:v>
      </x:c>
      <x:c r="AF163" s="2" t="str">
        <x:f t="shared" si="18"/>
        <x:v>HARMONIZED</x:v>
      </x:c>
      <x:c r="AG163" s="2" t="str">
        <x:f>IF(E163="Cr","Cr(VI) chromate/dichromate rows are retained but molar conversion is held until source-specific compound-vs-ion basis is resolved.",IF(D163=2977,"OBrien 1988 reports total dissolved Cu LC211 values in 10^-6 M; the numeric Analysis_Point is therefore treated directly as umol Cu/L.",IF(AND(D163=6825,L163="Formulation"),"Nipper 1993 source check showed the reported concentrations are nominal Zn; formulation coding does not trigger compound-mass conversion.",IF(Y163="PRIMARY_RECOVERED","Source-recovered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3" s="2" t="str">
        <x:f t="shared" si="19"/>
        <x:v>CORE</x:v>
      </x:c>
      <x:c r="AI163" s="2" t="str">
        <x:f t="shared" si="20"/>
        <x:v>YES</x:v>
      </x:c>
    </x:row>
    <x:row r="164" ht="40.5">
      <x:c r="A164" s="2">
        <x:v>1358</x:v>
      </x:c>
      <x:c r="B164" s="2">
        <x:v>1070627</x:v>
      </x:c>
      <x:c r="C164" s="2">
        <x:v>12732</x:v>
      </x:c>
      <x:c r="D164" s="2">
        <x:v>5563</x:v>
      </x:c>
      <x:c r="E164" s="2" t="s">
        <x:v>10</x:v>
      </x:c>
      <x:c r="F164" s="2" t="s">
        <x:v>235</x:v>
      </x:c>
      <x:c r="G164" s="2" t="s">
        <x:v>202</x:v>
      </x:c>
      <x:c r="H164" s="2" t="s">
        <x:v>135</x:v>
      </x:c>
      <x:c r="I164" s="2" t="s">
        <x:v>159</x:v>
      </x:c>
      <x:c r="J164" s="2">
        <x:v>1</x:v>
      </x:c>
      <x:c r="K164" s="2" t="s">
        <x:v>117</x:v>
      </x:c>
      <x:c r="L164" s="2" t="s">
        <x:v>110</x:v>
      </x:c>
      <x:c r="M164" s="2"/>
      <x:c r="N164" s="2">
        <x:v>190</x:v>
      </x:c>
      <x:c r="O164" s="2">
        <x:v>160</x:v>
      </x:c>
      <x:c r="P164" s="2">
        <x:v>220</x:v>
      </x:c>
      <x:c r="Q164" s="2" t="s">
        <x:v>111</x:v>
      </x:c>
      <x:c r="R164" s="2">
        <x:v>190</x:v>
      </x:c>
      <x:c r="S164" s="2" t="s">
        <x:v>111</x:v>
      </x:c>
      <x:c r="T164" s="2">
        <x:v>17</x:v>
      </x:c>
      <x:c r="U164" s="2"/>
      <x:c r="V164" s="2"/>
      <x:c r="W164" s="2"/>
      <x:c r="X164" s="2" t="s">
        <x:v>200</x:v>
      </x:c>
      <x:c r="Y164" s="2" t="s">
        <x:v>113</x:v>
      </x:c>
      <x:c r="Z164" s="2" t="s">
        <x:v>114</x:v>
      </x:c>
      <x:c r="AA164" s="11" t="n">
        <x:f>IFERROR(VLOOKUP(E164,Harmonization_Rules!$A$2:$B$9,2,FALSE),"")</x:f>
        <x:v>63.546</x:v>
      </x:c>
      <x:c r="AB164" s="2" t="str">
        <x:f t="shared" si="14"/>
        <x:v>ECOTOX_STANDARDIZED_TARGET_METAL</x:v>
      </x:c>
      <x:c r="AC164" s="12">
        <x:f t="shared" si="15"/>
        <x:v>0.19</x:v>
      </x:c>
      <x:c r="AD164" s="12">
        <x:f t="shared" si="16"/>
        <x:v>2.9899600289554025</x:v>
      </x:c>
      <x:c r="AE164" s="12">
        <x:f t="shared" si="17"/>
        <x:v>1.095260019070899</x:v>
      </x:c>
      <x:c r="AF164" s="2" t="str">
        <x:f t="shared" si="18"/>
        <x:v>HARMONIZED</x:v>
      </x:c>
      <x:c r="AG164" s="2" t="str">
        <x:f>IF(E164="Cr","Cr(VI) chromate/dichromate rows are retained but molar conversion is held until source-specific compound-vs-ion basis is resolved.",IF(D164=2977,"OBrien 1988 reports total dissolved Cu LC212 values in 10^-6 M; the numeric Analysis_Point is therefore treated directly as umol Cu/L.",IF(AND(D164=6825,L164="Formulation"),"Nipper 1993 source check showed the reported concentrations are nominal Zn; formulation coding does not trigger compound-mass conversion.",IF(Y164="PRIMARY_RECOVERED","Source-recovered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4" s="2" t="str">
        <x:f t="shared" si="19"/>
        <x:v>CORE</x:v>
      </x:c>
      <x:c r="AI164" s="2" t="str">
        <x:f t="shared" si="20"/>
        <x:v>YES</x:v>
      </x:c>
    </x:row>
    <x:row r="165" ht="40.5">
      <x:c r="A165" s="2">
        <x:v>1371</x:v>
      </x:c>
      <x:c r="B165" s="2">
        <x:v>1310620</x:v>
      </x:c>
      <x:c r="C165" s="2">
        <x:v>767803</x:v>
      </x:c>
      <x:c r="D165" s="2">
        <x:v>14474</x:v>
      </x:c>
      <x:c r="E165" s="2" t="s">
        <x:v>10</x:v>
      </x:c>
      <x:c r="F165" s="2" t="s">
        <x:v>235</x:v>
      </x:c>
      <x:c r="G165" s="2" t="s">
        <x:v>116</x:v>
      </x:c>
      <x:c r="H165" s="2" t="s">
        <x:v>107</x:v>
      </x:c>
      <x:c r="I165" s="2"/>
      <x:c r="J165" s="2">
        <x:v>2</x:v>
      </x:c>
      <x:c r="K165" s="2" t="s">
        <x:v>117</x:v>
      </x:c>
      <x:c r="L165" s="2" t="s">
        <x:v>110</x:v>
      </x:c>
      <x:c r="M165" s="2"/>
      <x:c r="N165" s="2">
        <x:v>0.51770000000000005</x:v>
      </x:c>
      <x:c r="O165" s="2"/>
      <x:c r="P165" s="2"/>
      <x:c r="Q165" s="2" t="s">
        <x:v>121</x:v>
      </x:c>
      <x:c r="R165" s="2">
        <x:v>0.51770000000000005</x:v>
      </x:c>
      <x:c r="S165" s="2" t="s">
        <x:v>121</x:v>
      </x:c>
      <x:c r="T165" s="2"/>
      <x:c r="U165" s="2"/>
      <x:c r="V165" s="2"/>
      <x:c r="W165" s="2"/>
      <x:c r="X165" s="2" t="s">
        <x:v>240</x:v>
      </x:c>
      <x:c r="Y165" s="2" t="s">
        <x:v>113</x:v>
      </x:c>
      <x:c r="Z165" s="2" t="s">
        <x:v>114</x:v>
      </x:c>
      <x:c r="AA165" s="11" t="n">
        <x:f>IFERROR(VLOOKUP(E165,Harmonization_Rules!$A$2:$B$9,2,FALSE),"")</x:f>
        <x:v>63.546</x:v>
      </x:c>
      <x:c r="AB165" s="2" t="str">
        <x:f t="shared" si="14"/>
        <x:v>ECOTOX_STANDARDIZED_TARGET_METAL</x:v>
      </x:c>
      <x:c r="AC165" s="12">
        <x:f t="shared" si="15"/>
        <x:v>0.51770000000000005</x:v>
      </x:c>
      <x:c r="AD165" s="12">
        <x:f t="shared" si="16"/>
        <x:v>8.1468542473169059</x:v>
      </x:c>
      <x:c r="AE165" s="12">
        <x:f t="shared" si="17"/>
        <x:v>2.0976318708182689</x:v>
      </x:c>
      <x:c r="AF165" s="2" t="str">
        <x:f t="shared" si="18"/>
        <x:v>HARMONIZED</x:v>
      </x:c>
      <x:c r="AG165" s="2" t="str">
        <x:f>IF(E165="Cr","Cr(VI) chromate/dichromate rows are retained but molar conversion is held until source-specific compound-vs-ion basis is resolved.",IF(D165=2977,"OBrien 1988 reports total dissolved Cu LC213 values in 10^-6 M; the numeric Analysis_Point is therefore treated directly as umol Cu/L.",IF(AND(D165=6825,L165="Formulation"),"Nipper 1993 source check showed the reported concentrations are nominal Zn; formulation coding does not trigger compound-mass conversion.",IF(Y165="PRIMARY_RECOVERED","Source-recovered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5" s="2" t="str">
        <x:f t="shared" si="19"/>
        <x:v>CORE</x:v>
      </x:c>
      <x:c r="AI165" s="2" t="str">
        <x:f t="shared" si="20"/>
        <x:v>YES</x:v>
      </x:c>
    </x:row>
    <x:row r="166" ht="40.5">
      <x:c r="A166" s="2">
        <x:v>1374</x:v>
      </x:c>
      <x:c r="B166" s="2">
        <x:v>1178108</x:v>
      </x:c>
      <x:c r="C166" s="2">
        <x:v>69500</x:v>
      </x:c>
      <x:c r="D166" s="2">
        <x:v>15500</x:v>
      </x:c>
      <x:c r="E166" s="2" t="s">
        <x:v>10</x:v>
      </x:c>
      <x:c r="F166" s="2" t="s">
        <x:v>235</x:v>
      </x:c>
      <x:c r="G166" s="2" t="s">
        <x:v>116</x:v>
      </x:c>
      <x:c r="H166" s="2" t="s">
        <x:v>107</x:v>
      </x:c>
      <x:c r="I166" s="2"/>
      <x:c r="J166" s="2">
        <x:v>2</x:v>
      </x:c>
      <x:c r="K166" s="2" t="s">
        <x:v>117</x:v>
      </x:c>
      <x:c r="L166" s="2" t="s">
        <x:v>110</x:v>
      </x:c>
      <x:c r="M166" s="2"/>
      <x:c r="N166" s="2">
        <x:v>428</x:v>
      </x:c>
      <x:c r="O166" s="2"/>
      <x:c r="P166" s="2"/>
      <x:c r="Q166" s="2" t="s">
        <x:v>111</x:v>
      </x:c>
      <x:c r="R166" s="2">
        <x:v>428</x:v>
      </x:c>
      <x:c r="S166" s="2" t="s">
        <x:v>111</x:v>
      </x:c>
      <x:c r="T166" s="2">
        <x:v>18</x:v>
      </x:c>
      <x:c r="U166" s="2"/>
      <x:c r="V166" s="2"/>
      <x:c r="W166" s="2"/>
      <x:c r="X166" s="2" t="s">
        <x:v>249</x:v>
      </x:c>
      <x:c r="Y166" s="2" t="s">
        <x:v>113</x:v>
      </x:c>
      <x:c r="Z166" s="2" t="s">
        <x:v>114</x:v>
      </x:c>
      <x:c r="AA166" s="11" t="n">
        <x:f>IFERROR(VLOOKUP(E166,Harmonization_Rules!$A$2:$B$9,2,FALSE),"")</x:f>
        <x:v>63.546</x:v>
      </x:c>
      <x:c r="AB166" s="2" t="str">
        <x:f t="shared" si="14"/>
        <x:v>ECOTOX_STANDARDIZED_TARGET_METAL</x:v>
      </x:c>
      <x:c r="AC166" s="12">
        <x:f t="shared" si="15"/>
        <x:v>0.42799999999999999</x:v>
      </x:c>
      <x:c r="AD166" s="12">
        <x:f t="shared" si="16"/>
        <x:v>6.7352783810153278</x:v>
      </x:c>
      <x:c r="AE166" s="12">
        <x:f t="shared" si="17"/>
        <x:v>1.9073591424922096</x:v>
      </x:c>
      <x:c r="AF166" s="2" t="str">
        <x:f t="shared" si="18"/>
        <x:v>HARMONIZED</x:v>
      </x:c>
      <x:c r="AG166" s="2" t="str">
        <x:f>IF(E166="Cr","Cr(VI) chromate/dichromate rows are retained but molar conversion is held until source-specific compound-vs-ion basis is resolved.",IF(D166=2977,"OBrien 1988 reports total dissolved Cu LC214 values in 10^-6 M; the numeric Analysis_Point is therefore treated directly as umol Cu/L.",IF(AND(D166=6825,L166="Formulation"),"Nipper 1993 source check showed the reported concentrations are nominal Zn; formulation coding does not trigger compound-mass conversion.",IF(Y166="PRIMARY_RECOVERED","Source-recovered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6" s="2" t="str">
        <x:f t="shared" si="19"/>
        <x:v>CORE</x:v>
      </x:c>
      <x:c r="AI166" s="2" t="str">
        <x:f t="shared" si="20"/>
        <x:v>YES</x:v>
      </x:c>
    </x:row>
    <x:row r="167" ht="40.5">
      <x:c r="A167" s="2">
        <x:v>1375</x:v>
      </x:c>
      <x:c r="B167" s="2">
        <x:v>1135995</x:v>
      </x:c>
      <x:c r="C167" s="2">
        <x:v>90927</x:v>
      </x:c>
      <x:c r="D167" s="2">
        <x:v>11097</x:v>
      </x:c>
      <x:c r="E167" s="2" t="s">
        <x:v>10</x:v>
      </x:c>
      <x:c r="F167" s="2" t="s">
        <x:v>235</x:v>
      </x:c>
      <x:c r="G167" s="2" t="s">
        <x:v>116</x:v>
      </x:c>
      <x:c r="H167" s="2" t="s">
        <x:v>107</x:v>
      </x:c>
      <x:c r="I167" s="2" t="s">
        <x:v>125</x:v>
      </x:c>
      <x:c r="J167" s="2">
        <x:v>2</x:v>
      </x:c>
      <x:c r="K167" s="2" t="s">
        <x:v>117</x:v>
      </x:c>
      <x:c r="L167" s="2" t="s">
        <x:v>110</x:v>
      </x:c>
      <x:c r="M167" s="2"/>
      <x:c r="N167" s="2">
        <x:v>341.5</x:v>
      </x:c>
      <x:c r="O167" s="2"/>
      <x:c r="P167" s="2"/>
      <x:c r="Q167" s="2" t="s">
        <x:v>111</x:v>
      </x:c>
      <x:c r="R167" s="2">
        <x:v>341.5</x:v>
      </x:c>
      <x:c r="S167" s="2" t="s">
        <x:v>111</x:v>
      </x:c>
      <x:c r="T167" s="2">
        <x:v>18</x:v>
      </x:c>
      <x:c r="U167" s="2">
        <x:v>38</x:v>
      </x:c>
      <x:c r="V167" s="2"/>
      <x:c r="W167" s="2"/>
      <x:c r="X167" s="2" t="s">
        <x:v>239</x:v>
      </x:c>
      <x:c r="Y167" s="2" t="s">
        <x:v>113</x:v>
      </x:c>
      <x:c r="Z167" s="2" t="s">
        <x:v>114</x:v>
      </x:c>
      <x:c r="AA167" s="11" t="n">
        <x:f>IFERROR(VLOOKUP(E167,Harmonization_Rules!$A$2:$B$9,2,FALSE),"")</x:f>
        <x:v>63.546</x:v>
      </x:c>
      <x:c r="AB167" s="2" t="str">
        <x:f t="shared" si="14"/>
        <x:v>ECOTOX_STANDARDIZED_TARGET_METAL</x:v>
      </x:c>
      <x:c r="AC167" s="12">
        <x:f t="shared" si="15"/>
        <x:v>0.34150000000000003</x:v>
      </x:c>
      <x:c r="AD167" s="12">
        <x:f t="shared" si="16"/>
        <x:v>5.3740597362540523</x:v>
      </x:c>
      <x:c r="AE167" s="12">
        <x:f t="shared" si="17"/>
        <x:v>1.6815836259212575</x:v>
      </x:c>
      <x:c r="AF167" s="2" t="str">
        <x:f t="shared" si="18"/>
        <x:v>HARMONIZED</x:v>
      </x:c>
      <x:c r="AG167" s="2" t="str">
        <x:f>IF(E167="Cr","Cr(VI) chromate/dichromate rows are retained but molar conversion is held until source-specific compound-vs-ion basis is resolved.",IF(D167=2977,"OBrien 1988 reports total dissolved Cu LC215 values in 10^-6 M; the numeric Analysis_Point is therefore treated directly as umol Cu/L.",IF(AND(D167=6825,L167="Formulation"),"Nipper 1993 source check showed the reported concentrations are nominal Zn; formulation coding does not trigger compound-mass conversion.",IF(Y167="PRIMARY_RECOVERED","Source-recovered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7" s="2" t="str">
        <x:f t="shared" si="19"/>
        <x:v>CORE</x:v>
      </x:c>
      <x:c r="AI167" s="2" t="str">
        <x:f t="shared" si="20"/>
        <x:v>YES</x:v>
      </x:c>
    </x:row>
    <x:row r="168" ht="40.5">
      <x:c r="A168" s="2">
        <x:v>1377</x:v>
      </x:c>
      <x:c r="B168" s="2">
        <x:v>1310644</x:v>
      </x:c>
      <x:c r="C168" s="2">
        <x:v>767827</x:v>
      </x:c>
      <x:c r="D168" s="2">
        <x:v>14474</x:v>
      </x:c>
      <x:c r="E168" s="2" t="s">
        <x:v>10</x:v>
      </x:c>
      <x:c r="F168" s="2" t="s">
        <x:v>235</x:v>
      </x:c>
      <x:c r="G168" s="2" t="s">
        <x:v>116</x:v>
      </x:c>
      <x:c r="H168" s="2" t="s">
        <x:v>107</x:v>
      </x:c>
      <x:c r="I168" s="2" t="s">
        <x:v>125</x:v>
      </x:c>
      <x:c r="J168" s="2">
        <x:v>2</x:v>
      </x:c>
      <x:c r="K168" s="2" t="s">
        <x:v>117</x:v>
      </x:c>
      <x:c r="L168" s="2" t="s">
        <x:v>110</x:v>
      </x:c>
      <x:c r="M168" s="2"/>
      <x:c r="N168" s="2">
        <x:v>0.34150000000000003</x:v>
      </x:c>
      <x:c r="O168" s="2"/>
      <x:c r="P168" s="2"/>
      <x:c r="Q168" s="2" t="s">
        <x:v>121</x:v>
      </x:c>
      <x:c r="R168" s="2">
        <x:v>0.34150000000000003</x:v>
      </x:c>
      <x:c r="S168" s="2" t="s">
        <x:v>121</x:v>
      </x:c>
      <x:c r="T168" s="2"/>
      <x:c r="U168" s="2"/>
      <x:c r="V168" s="2"/>
      <x:c r="W168" s="2"/>
      <x:c r="X168" s="2" t="s">
        <x:v>240</x:v>
      </x:c>
      <x:c r="Y168" s="2" t="s">
        <x:v>113</x:v>
      </x:c>
      <x:c r="Z168" s="2" t="s">
        <x:v>114</x:v>
      </x:c>
      <x:c r="AA168" s="11" t="n">
        <x:f>IFERROR(VLOOKUP(E168,Harmonization_Rules!$A$2:$B$9,2,FALSE),"")</x:f>
        <x:v>63.546</x:v>
      </x:c>
      <x:c r="AB168" s="2" t="str">
        <x:f t="shared" si="14"/>
        <x:v>ECOTOX_STANDARDIZED_TARGET_METAL</x:v>
      </x:c>
      <x:c r="AC168" s="12">
        <x:f t="shared" si="15"/>
        <x:v>0.34150000000000003</x:v>
      </x:c>
      <x:c r="AD168" s="12">
        <x:f t="shared" si="16"/>
        <x:v>5.3740597362540523</x:v>
      </x:c>
      <x:c r="AE168" s="12">
        <x:f t="shared" si="17"/>
        <x:v>1.6815836259212575</x:v>
      </x:c>
      <x:c r="AF168" s="2" t="str">
        <x:f t="shared" si="18"/>
        <x:v>HARMONIZED</x:v>
      </x:c>
      <x:c r="AG168" s="2" t="str">
        <x:f>IF(E168="Cr","Cr(VI) chromate/dichromate rows are retained but molar conversion is held until source-specific compound-vs-ion basis is resolved.",IF(D168=2977,"OBrien 1988 reports total dissolved Cu LC216 values in 10^-6 M; the numeric Analysis_Point is therefore treated directly as umol Cu/L.",IF(AND(D168=6825,L168="Formulation"),"Nipper 1993 source check showed the reported concentrations are nominal Zn; formulation coding does not trigger compound-mass conversion.",IF(Y168="PRIMARY_RECOVERED","Source-recovered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8" s="2" t="str">
        <x:f t="shared" si="19"/>
        <x:v>CORE</x:v>
      </x:c>
      <x:c r="AI168" s="2" t="str">
        <x:f t="shared" si="20"/>
        <x:v>YES</x:v>
      </x:c>
    </x:row>
    <x:row r="169" ht="40.5">
      <x:c r="A169" s="2">
        <x:v>1381</x:v>
      </x:c>
      <x:c r="B169" s="2">
        <x:v>1310643</x:v>
      </x:c>
      <x:c r="C169" s="2">
        <x:v>767826</x:v>
      </x:c>
      <x:c r="D169" s="2">
        <x:v>14474</x:v>
      </x:c>
      <x:c r="E169" s="2" t="s">
        <x:v>10</x:v>
      </x:c>
      <x:c r="F169" s="2" t="s">
        <x:v>235</x:v>
      </x:c>
      <x:c r="G169" s="2" t="s">
        <x:v>116</x:v>
      </x:c>
      <x:c r="H169" s="2" t="s">
        <x:v>107</x:v>
      </x:c>
      <x:c r="I169" s="2" t="s">
        <x:v>125</x:v>
      </x:c>
      <x:c r="J169" s="2">
        <x:v>2</x:v>
      </x:c>
      <x:c r="K169" s="2" t="s">
        <x:v>117</x:v>
      </x:c>
      <x:c r="L169" s="2" t="s">
        <x:v>110</x:v>
      </x:c>
      <x:c r="M169" s="2"/>
      <x:c r="N169" s="2">
        <x:v>0.31419999999999998</x:v>
      </x:c>
      <x:c r="O169" s="2"/>
      <x:c r="P169" s="2"/>
      <x:c r="Q169" s="2" t="s">
        <x:v>121</x:v>
      </x:c>
      <x:c r="R169" s="2">
        <x:v>0.31419999999999998</x:v>
      </x:c>
      <x:c r="S169" s="2" t="s">
        <x:v>121</x:v>
      </x:c>
      <x:c r="T169" s="2"/>
      <x:c r="U169" s="2"/>
      <x:c r="V169" s="2"/>
      <x:c r="W169" s="2"/>
      <x:c r="X169" s="2" t="s">
        <x:v>240</x:v>
      </x:c>
      <x:c r="Y169" s="2" t="s">
        <x:v>113</x:v>
      </x:c>
      <x:c r="Z169" s="2" t="s">
        <x:v>114</x:v>
      </x:c>
      <x:c r="AA169" s="11" t="n">
        <x:f>IFERROR(VLOOKUP(E169,Harmonization_Rules!$A$2:$B$9,2,FALSE),"")</x:f>
        <x:v>63.546</x:v>
      </x:c>
      <x:c r="AB169" s="2" t="str">
        <x:f t="shared" si="14"/>
        <x:v>ECOTOX_STANDARDIZED_TARGET_METAL</x:v>
      </x:c>
      <x:c r="AC169" s="12">
        <x:f t="shared" si="15"/>
        <x:v>0.31419999999999998</x:v>
      </x:c>
      <x:c r="AD169" s="12">
        <x:f t="shared" si="16"/>
        <x:v>4.944449689988355</x:v>
      </x:c>
      <x:c r="AE169" s="12">
        <x:f t="shared" si="17"/>
        <x:v>1.5982656727319335</x:v>
      </x:c>
      <x:c r="AF169" s="2" t="str">
        <x:f t="shared" si="18"/>
        <x:v>HARMONIZED</x:v>
      </x:c>
      <x:c r="AG169" s="2" t="str">
        <x:f>IF(E169="Cr","Cr(VI) chromate/dichromate rows are retained but molar conversion is held until source-specific compound-vs-ion basis is resolved.",IF(D169=2977,"OBrien 1988 reports total dissolved Cu LC217 values in 10^-6 M; the numeric Analysis_Point is therefore treated directly as umol Cu/L.",IF(AND(D169=6825,L169="Formulation"),"Nipper 1993 source check showed the reported concentrations are nominal Zn; formulation coding does not trigger compound-mass conversion.",IF(Y169="PRIMARY_RECOVERED","Source-recovered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69" s="2" t="str">
        <x:f t="shared" si="19"/>
        <x:v>CORE</x:v>
      </x:c>
      <x:c r="AI169" s="2" t="str">
        <x:f t="shared" si="20"/>
        <x:v>YES</x:v>
      </x:c>
    </x:row>
    <x:row r="170" ht="40.5">
      <x:c r="A170" s="2">
        <x:v>1383</x:v>
      </x:c>
      <x:c r="B170" s="2">
        <x:v>1310622</x:v>
      </x:c>
      <x:c r="C170" s="2">
        <x:v>767805</x:v>
      </x:c>
      <x:c r="D170" s="2">
        <x:v>14474</x:v>
      </x:c>
      <x:c r="E170" s="2" t="s">
        <x:v>10</x:v>
      </x:c>
      <x:c r="F170" s="2" t="s">
        <x:v>235</x:v>
      </x:c>
      <x:c r="G170" s="2" t="s">
        <x:v>116</x:v>
      </x:c>
      <x:c r="H170" s="2" t="s">
        <x:v>107</x:v>
      </x:c>
      <x:c r="I170" s="2"/>
      <x:c r="J170" s="2">
        <x:v>2</x:v>
      </x:c>
      <x:c r="K170" s="2" t="s">
        <x:v>117</x:v>
      </x:c>
      <x:c r="L170" s="2" t="s">
        <x:v>110</x:v>
      </x:c>
      <x:c r="M170" s="2"/>
      <x:c r="N170" s="2">
        <x:v>0.42799999999999999</x:v>
      </x:c>
      <x:c r="O170" s="2"/>
      <x:c r="P170" s="2"/>
      <x:c r="Q170" s="2" t="s">
        <x:v>121</x:v>
      </x:c>
      <x:c r="R170" s="2">
        <x:v>0.42799999999999999</x:v>
      </x:c>
      <x:c r="S170" s="2" t="s">
        <x:v>121</x:v>
      </x:c>
      <x:c r="T170" s="2"/>
      <x:c r="U170" s="2"/>
      <x:c r="V170" s="2"/>
      <x:c r="W170" s="2"/>
      <x:c r="X170" s="2" t="s">
        <x:v>240</x:v>
      </x:c>
      <x:c r="Y170" s="2" t="s">
        <x:v>113</x:v>
      </x:c>
      <x:c r="Z170" s="2" t="s">
        <x:v>114</x:v>
      </x:c>
      <x:c r="AA170" s="11" t="n">
        <x:f>IFERROR(VLOOKUP(E170,Harmonization_Rules!$A$2:$B$9,2,FALSE),"")</x:f>
        <x:v>63.546</x:v>
      </x:c>
      <x:c r="AB170" s="2" t="str">
        <x:f t="shared" si="14"/>
        <x:v>ECOTOX_STANDARDIZED_TARGET_METAL</x:v>
      </x:c>
      <x:c r="AC170" s="12">
        <x:f t="shared" si="15"/>
        <x:v>0.42799999999999999</x:v>
      </x:c>
      <x:c r="AD170" s="12">
        <x:f t="shared" si="16"/>
        <x:v>6.7352783810153278</x:v>
      </x:c>
      <x:c r="AE170" s="12">
        <x:f t="shared" si="17"/>
        <x:v>1.9073591424922096</x:v>
      </x:c>
      <x:c r="AF170" s="2" t="str">
        <x:f t="shared" si="18"/>
        <x:v>HARMONIZED</x:v>
      </x:c>
      <x:c r="AG170" s="2" t="str">
        <x:f>IF(E170="Cr","Cr(VI) chromate/dichromate rows are retained but molar conversion is held until source-specific compound-vs-ion basis is resolved.",IF(D170=2977,"OBrien 1988 reports total dissolved Cu LC218 values in 10^-6 M; the numeric Analysis_Point is therefore treated directly as umol Cu/L.",IF(AND(D170=6825,L170="Formulation"),"Nipper 1993 source check showed the reported concentrations are nominal Zn; formulation coding does not trigger compound-mass conversion.",IF(Y170="PRIMARY_RECOVERED","Source-recovered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70" s="2" t="str">
        <x:f t="shared" si="19"/>
        <x:v>CORE</x:v>
      </x:c>
      <x:c r="AI170" s="2" t="str">
        <x:f t="shared" si="20"/>
        <x:v>YES</x:v>
      </x:c>
    </x:row>
    <x:row r="171" ht="40.5">
      <x:c r="A171" s="2">
        <x:v>1389</x:v>
      </x:c>
      <x:c r="B171" s="2">
        <x:v>1070628</x:v>
      </x:c>
      <x:c r="C171" s="2">
        <x:v>12733</x:v>
      </x:c>
      <x:c r="D171" s="2">
        <x:v>5563</x:v>
      </x:c>
      <x:c r="E171" s="2" t="s">
        <x:v>10</x:v>
      </x:c>
      <x:c r="F171" s="2" t="s">
        <x:v>235</x:v>
      </x:c>
      <x:c r="G171" s="2" t="s">
        <x:v>199</x:v>
      </x:c>
      <x:c r="H171" s="2" t="s">
        <x:v>107</x:v>
      </x:c>
      <x:c r="I171" s="2" t="s">
        <x:v>159</x:v>
      </x:c>
      <x:c r="J171" s="2">
        <x:v>1</x:v>
      </x:c>
      <x:c r="K171" s="2" t="s">
        <x:v>117</x:v>
      </x:c>
      <x:c r="L171" s="2" t="s">
        <x:v>110</x:v>
      </x:c>
      <x:c r="M171" s="2"/>
      <x:c r="N171" s="2">
        <x:v>180</x:v>
      </x:c>
      <x:c r="O171" s="2">
        <x:v>120</x:v>
      </x:c>
      <x:c r="P171" s="2">
        <x:v>230</x:v>
      </x:c>
      <x:c r="Q171" s="2" t="s">
        <x:v>111</x:v>
      </x:c>
      <x:c r="R171" s="2">
        <x:v>180</x:v>
      </x:c>
      <x:c r="S171" s="2" t="s">
        <x:v>111</x:v>
      </x:c>
      <x:c r="T171" s="2">
        <x:v>17</x:v>
      </x:c>
      <x:c r="U171" s="2"/>
      <x:c r="V171" s="2"/>
      <x:c r="W171" s="2"/>
      <x:c r="X171" s="2" t="s">
        <x:v>200</x:v>
      </x:c>
      <x:c r="Y171" s="2" t="s">
        <x:v>113</x:v>
      </x:c>
      <x:c r="Z171" s="2" t="s">
        <x:v>114</x:v>
      </x:c>
      <x:c r="AA171" s="11" t="n">
        <x:f>IFERROR(VLOOKUP(E171,Harmonization_Rules!$A$2:$B$9,2,FALSE),"")</x:f>
        <x:v>63.546</x:v>
      </x:c>
      <x:c r="AB171" s="2" t="str">
        <x:f t="shared" si="14"/>
        <x:v>ECOTOX_STANDARDIZED_TARGET_METAL</x:v>
      </x:c>
      <x:c r="AC171" s="12">
        <x:f t="shared" si="15"/>
        <x:v>0.18</x:v>
      </x:c>
      <x:c r="AD171" s="12">
        <x:f t="shared" si="16"/>
        <x:v>2.8325937116419602</x:v>
      </x:c>
      <x:c r="AE171" s="12">
        <x:f t="shared" si="17"/>
        <x:v>1.0411927978006232</x:v>
      </x:c>
      <x:c r="AF171" s="2" t="str">
        <x:f t="shared" si="18"/>
        <x:v>HARMONIZED</x:v>
      </x:c>
      <x:c r="AG171" s="2" t="str">
        <x:f>IF(E171="Cr","Cr(VI) chromate/dichromate rows are retained but molar conversion is held until source-specific compound-vs-ion basis is resolved.",IF(D171=2977,"OBrien 1988 reports total dissolved Cu LC219 values in 10^-6 M; the numeric Analysis_Point is therefore treated directly as umol Cu/L.",IF(AND(D171=6825,L171="Formulation"),"Nipper 1993 source check showed the reported concentrations are nominal Zn; formulation coding does not trigger compound-mass conversion.",IF(Y171="PRIMARY_RECOVERED","Source-recovered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71" s="2" t="str">
        <x:f t="shared" si="19"/>
        <x:v>CORE</x:v>
      </x:c>
      <x:c r="AI171" s="2" t="str">
        <x:f t="shared" si="20"/>
        <x:v>YES</x:v>
      </x:c>
    </x:row>
    <x:row r="172" ht="40.5">
      <x:c r="A172" s="2">
        <x:v>1394</x:v>
      </x:c>
      <x:c r="B172" s="2">
        <x:v>2019866</x:v>
      </x:c>
      <x:c r="C172" s="2">
        <x:v>2033704</x:v>
      </x:c>
      <x:c r="D172" s="2">
        <x:v>156339</x:v>
      </x:c>
      <x:c r="E172" s="2" t="s">
        <x:v>10</x:v>
      </x:c>
      <x:c r="F172" s="2" t="s">
        <x:v>235</x:v>
      </x:c>
      <x:c r="G172" s="2" t="s">
        <x:v>106</x:v>
      </x:c>
      <x:c r="H172" s="2" t="s">
        <x:v>107</x:v>
      </x:c>
      <x:c r="I172" s="2" t="s">
        <x:v>108</x:v>
      </x:c>
      <x:c r="J172" s="2">
        <x:v>4</x:v>
      </x:c>
      <x:c r="K172" s="2" t="s">
        <x:v>126</x:v>
      </x:c>
      <x:c r="L172" s="2" t="s">
        <x:v>110</x:v>
      </x:c>
      <x:c r="M172" s="2"/>
      <x:c r="N172" s="2">
        <x:v>580</x:v>
      </x:c>
      <x:c r="O172" s="2">
        <x:v>430</x:v>
      </x:c>
      <x:c r="P172" s="2">
        <x:v>790</x:v>
      </x:c>
      <x:c r="Q172" s="2" t="s">
        <x:v>111</x:v>
      </x:c>
      <x:c r="R172" s="2">
        <x:v>580</x:v>
      </x:c>
      <x:c r="S172" s="2" t="s">
        <x:v>111</x:v>
      </x:c>
      <x:c r="T172" s="2">
        <x:v>25</x:v>
      </x:c>
      <x:c r="U172" s="2">
        <x:v>33</x:v>
      </x:c>
      <x:c r="V172" s="2"/>
      <x:c r="W172" s="2"/>
      <x:c r="X172" s="2" t="s">
        <x:v>250</x:v>
      </x:c>
      <x:c r="Y172" s="2" t="s">
        <x:v>113</x:v>
      </x:c>
      <x:c r="Z172" s="2" t="s">
        <x:v>114</x:v>
      </x:c>
      <x:c r="AA172" s="11" t="n">
        <x:f>IFERROR(VLOOKUP(E172,Harmonization_Rules!$A$2:$B$9,2,FALSE),"")</x:f>
        <x:v>63.546</x:v>
      </x:c>
      <x:c r="AB172" s="2" t="str">
        <x:f t="shared" si="14"/>
        <x:v>ECOTOX_STANDARDIZED_TARGET_METAL</x:v>
      </x:c>
      <x:c r="AC172" s="12">
        <x:f t="shared" si="15"/>
        <x:v>0.57999999999999996</x:v>
      </x:c>
      <x:c r="AD172" s="12">
        <x:f t="shared" si="16"/>
        <x:v>9.1272464041796493</x:v>
      </x:c>
      <x:c r="AE172" s="12">
        <x:f t="shared" si="17"/>
        <x:v>2.211264050450878</x:v>
      </x:c>
      <x:c r="AF172" s="2" t="str">
        <x:f t="shared" si="18"/>
        <x:v>HARMONIZED</x:v>
      </x:c>
      <x:c r="AG172" s="2" t="str">
        <x:f>IF(E172="Cr","Cr(VI) chromate/dichromate rows are retained but molar conversion is held until source-specific compound-vs-ion basis is resolved.",IF(D172=2977,"OBrien 1988 reports total dissolved Cu LC220 values in 10^-6 M; the numeric Analysis_Point is therefore treated directly as umol Cu/L.",IF(AND(D172=6825,L172="Formulation"),"Nipper 1993 source check showed the reported concentrations are nominal Zn; formulation coding does not trigger compound-mass conversion.",IF(Y172="PRIMARY_RECOVERED","Source-recovered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72" s="2" t="str">
        <x:f t="shared" si="19"/>
        <x:v>CORE</x:v>
      </x:c>
      <x:c r="AI172" s="2" t="str">
        <x:f t="shared" si="20"/>
        <x:v>YES</x:v>
      </x:c>
    </x:row>
    <x:row r="173" ht="67.5">
      <x:c r="A173" s="2">
        <x:v>1395</x:v>
      </x:c>
      <x:c r="B173" s="2">
        <x:v>1205935</x:v>
      </x:c>
      <x:c r="C173" s="2">
        <x:v>171326</x:v>
      </x:c>
      <x:c r="D173" s="2">
        <x:v>18833</x:v>
      </x:c>
      <x:c r="E173" s="2" t="s">
        <x:v>10</x:v>
      </x:c>
      <x:c r="F173" s="2" t="s">
        <x:v>235</x:v>
      </x:c>
      <x:c r="G173" s="2" t="s">
        <x:v>226</x:v>
      </x:c>
      <x:c r="H173" s="2" t="s">
        <x:v>107</x:v>
      </x:c>
      <x:c r="I173" s="2" t="s">
        <x:v>108</x:v>
      </x:c>
      <x:c r="J173" s="2">
        <x:v>4</x:v>
      </x:c>
      <x:c r="K173" s="2" t="s">
        <x:v>126</x:v>
      </x:c>
      <x:c r="L173" s="2" t="s">
        <x:v>110</x:v>
      </x:c>
      <x:c r="M173" s="2"/>
      <x:c r="N173" s="2">
        <x:v>1010</x:v>
      </x:c>
      <x:c r="O173" s="2"/>
      <x:c r="P173" s="2"/>
      <x:c r="Q173" s="2" t="s">
        <x:v>111</x:v>
      </x:c>
      <x:c r="R173" s="2">
        <x:v>1010</x:v>
      </x:c>
      <x:c r="S173" s="2" t="s">
        <x:v>111</x:v>
      </x:c>
      <x:c r="T173" s="2">
        <x:v>20</x:v>
      </x:c>
      <x:c r="U173" s="2">
        <x:v>37</x:v>
      </x:c>
      <x:c r="V173" s="2"/>
      <x:c r="W173" s="2"/>
      <x:c r="X173" s="2" t="s">
        <x:v>251</x:v>
      </x:c>
      <x:c r="Y173" s="2" t="s">
        <x:v>113</x:v>
      </x:c>
      <x:c r="Z173" s="2" t="s">
        <x:v>114</x:v>
      </x:c>
      <x:c r="AA173" s="11" t="n">
        <x:f>IFERROR(VLOOKUP(E173,Harmonization_Rules!$A$2:$B$9,2,FALSE),"")</x:f>
        <x:v>63.546</x:v>
      </x:c>
      <x:c r="AB173" s="2" t="str">
        <x:f t="shared" si="14"/>
        <x:v>ECOTOX_STANDARDIZED_TARGET_METAL</x:v>
      </x:c>
      <x:c r="AC173" s="12">
        <x:f t="shared" si="15"/>
        <x:v>1.01</x:v>
      </x:c>
      <x:c r="AD173" s="12">
        <x:f t="shared" si="16"/>
        <x:v>15.893998048657666</x:v>
      </x:c>
      <x:c r="AE173" s="12">
        <x:f t="shared" si="17"/>
        <x:v>2.7659415567457182</x:v>
      </x:c>
      <x:c r="AF173" s="2" t="str">
        <x:f t="shared" si="18"/>
        <x:v>HARMONIZED</x:v>
      </x:c>
      <x:c r="AG173" s="2" t="str">
        <x:f>IF(E173="Cr","Cr(VI) chromate/dichromate rows are retained but molar conversion is held until source-specific compound-vs-ion basis is resolved.",IF(D173=2977,"OBrien 1988 reports total dissolved Cu LC221 values in 10^-6 M; the numeric Analysis_Point is therefore treated directly as umol Cu/L.",IF(AND(D173=6825,L173="Formulation"),"Nipper 1993 source check showed the reported concentrations are nominal Zn; formulation coding does not trigger compound-mass conversion.",IF(Y173="PRIMARY_RECOVERED","Source-recovered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73" s="2" t="str">
        <x:f t="shared" si="19"/>
        <x:v>CORE</x:v>
      </x:c>
      <x:c r="AI173" s="2" t="str">
        <x:f t="shared" si="20"/>
        <x:v>YES</x:v>
      </x:c>
    </x:row>
    <x:row r="174" ht="54">
      <x:c r="A174" s="2">
        <x:v>1396</x:v>
      </x:c>
      <x:c r="B174" s="2">
        <x:v>1300800</x:v>
      </x:c>
      <x:c r="C174" s="2">
        <x:v>756472</x:v>
      </x:c>
      <x:c r="D174" s="2">
        <x:v>115854</x:v>
      </x:c>
      <x:c r="E174" s="2" t="s">
        <x:v>10</x:v>
      </x:c>
      <x:c r="F174" s="2" t="s">
        <x:v>235</x:v>
      </x:c>
      <x:c r="G174" s="2" t="s">
        <x:v>106</x:v>
      </x:c>
      <x:c r="H174" s="2" t="s">
        <x:v>107</x:v>
      </x:c>
      <x:c r="I174" s="2" t="s">
        <x:v>108</x:v>
      </x:c>
      <x:c r="J174" s="2">
        <x:v>4</x:v>
      </x:c>
      <x:c r="K174" s="2" t="s">
        <x:v>126</x:v>
      </x:c>
      <x:c r="L174" s="2" t="s">
        <x:v>110</x:v>
      </x:c>
      <x:c r="M174" s="2"/>
      <x:c r="N174" s="2">
        <x:v>323</x:v>
      </x:c>
      <x:c r="O174" s="2"/>
      <x:c r="P174" s="2"/>
      <x:c r="Q174" s="2" t="s">
        <x:v>111</x:v>
      </x:c>
      <x:c r="R174" s="2">
        <x:v>323</x:v>
      </x:c>
      <x:c r="S174" s="2" t="s">
        <x:v>111</x:v>
      </x:c>
      <x:c r="T174" s="2"/>
      <x:c r="U174" s="2"/>
      <x:c r="V174" s="2"/>
      <x:c r="W174" s="2"/>
      <x:c r="X174" s="2" t="s">
        <x:v>112</x:v>
      </x:c>
      <x:c r="Y174" s="2" t="s">
        <x:v>113</x:v>
      </x:c>
      <x:c r="Z174" s="2" t="s">
        <x:v>114</x:v>
      </x:c>
      <x:c r="AA174" s="11" t="n">
        <x:f>IFERROR(VLOOKUP(E174,Harmonization_Rules!$A$2:$B$9,2,FALSE),"")</x:f>
        <x:v>63.546</x:v>
      </x:c>
      <x:c r="AB174" s="2" t="str">
        <x:f t="shared" si="14"/>
        <x:v>ECOTOX_STANDARDIZED_TARGET_METAL</x:v>
      </x:c>
      <x:c r="AC174" s="12">
        <x:f t="shared" si="15"/>
        <x:v>0.32300000000000001</x:v>
      </x:c>
      <x:c r="AD174" s="12">
        <x:f t="shared" si="16"/>
        <x:v>5.0829320492241843</x:v>
      </x:c>
      <x:c r="AE174" s="12">
        <x:f t="shared" si="17"/>
        <x:v>1.6258882701330695</x:v>
      </x:c>
      <x:c r="AF174" s="2" t="str">
        <x:f t="shared" si="18"/>
        <x:v>HARMONIZED</x:v>
      </x:c>
      <x:c r="AG174" s="2" t="str">
        <x:f>IF(E174="Cr","Cr(VI) chromate/dichromate rows are retained but molar conversion is held until source-specific compound-vs-ion basis is resolved.",IF(D174=2977,"OBrien 1988 reports total dissolved Cu LC222 values in 10^-6 M; the numeric Analysis_Point is therefore treated directly as umol Cu/L.",IF(AND(D174=6825,L174="Formulation"),"Nipper 1993 source check showed the reported concentrations are nominal Zn; formulation coding does not trigger compound-mass conversion.",IF(Y174="PRIMARY_RECOVERED","Source-recovered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74" s="2" t="str">
        <x:f t="shared" si="19"/>
        <x:v>CORE</x:v>
      </x:c>
      <x:c r="AI174" s="2" t="str">
        <x:f t="shared" si="20"/>
        <x:v>YES</x:v>
      </x:c>
    </x:row>
    <x:row r="175" ht="40.5">
      <x:c r="A175" s="2">
        <x:v>1397</x:v>
      </x:c>
      <x:c r="B175" s="2">
        <x:v>2135201</x:v>
      </x:c>
      <x:c r="C175" s="2">
        <x:v>2249958</x:v>
      </x:c>
      <x:c r="D175" s="2">
        <x:v>119554</x:v>
      </x:c>
      <x:c r="E175" s="2" t="s">
        <x:v>10</x:v>
      </x:c>
      <x:c r="F175" s="2" t="s">
        <x:v>235</x:v>
      </x:c>
      <x:c r="G175" s="2" t="s">
        <x:v>132</x:v>
      </x:c>
      <x:c r="H175" s="2" t="s">
        <x:v>107</x:v>
      </x:c>
      <x:c r="I175" s="2" t="s">
        <x:v>125</x:v>
      </x:c>
      <x:c r="J175" s="2">
        <x:v>2</x:v>
      </x:c>
      <x:c r="K175" s="2" t="s">
        <x:v>117</x:v>
      </x:c>
      <x:c r="L175" s="2" t="s">
        <x:v>120</x:v>
      </x:c>
      <x:c r="M175" s="2"/>
      <x:c r="N175" s="2">
        <x:v>83.1</x:v>
      </x:c>
      <x:c r="O175" s="2"/>
      <x:c r="P175" s="2"/>
      <x:c r="Q175" s="2" t="s">
        <x:v>111</x:v>
      </x:c>
      <x:c r="R175" s="2">
        <x:v>83.1</x:v>
      </x:c>
      <x:c r="S175" s="2" t="s">
        <x:v>111</x:v>
      </x:c>
      <x:c r="T175" s="2">
        <x:v>20</x:v>
      </x:c>
      <x:c r="U175" s="2">
        <x:v>35</x:v>
      </x:c>
      <x:c r="V175" s="2">
        <x:v>8.1999999999999993</x:v>
      </x:c>
      <x:c r="W175" s="2"/>
      <x:c r="X175" s="2" t="s">
        <x:v>252</x:v>
      </x:c>
      <x:c r="Y175" s="2" t="s">
        <x:v>113</x:v>
      </x:c>
      <x:c r="Z175" s="2" t="s">
        <x:v>114</x:v>
      </x:c>
      <x:c r="AA175" s="11" t="n">
        <x:f>IFERROR(VLOOKUP(E175,Harmonization_Rules!$A$2:$B$9,2,FALSE),"")</x:f>
        <x:v>63.546</x:v>
      </x:c>
      <x:c r="AB175" s="2" t="str">
        <x:f t="shared" si="14"/>
        <x:v>ECOTOX_STANDARDIZED_TARGET_METAL</x:v>
      </x:c>
      <x:c r="AC175" s="12">
        <x:f t="shared" si="15"/>
        <x:v>8.3099999999999993E-2</x:v>
      </x:c>
      <x:c r="AD175" s="12">
        <x:f t="shared" si="16"/>
        <x:v>1.307714096874705</x:v>
      </x:c>
      <x:c r="AE175" s="12">
        <x:f t="shared" si="17"/>
        <x:v>0.26828064877181534</x:v>
      </x:c>
      <x:c r="AF175" s="2" t="str">
        <x:f t="shared" si="18"/>
        <x:v>HARMONIZED</x:v>
      </x:c>
      <x:c r="AG175" s="2" t="str">
        <x:f>IF(E175="Cr","Cr(VI) chromate/dichromate rows are retained but molar conversion is held until source-specific compound-vs-ion basis is resolved.",IF(D175=2977,"OBrien 1988 reports total dissolved Cu LC223 values in 10^-6 M; the numeric Analysis_Point is therefore treated directly as umol Cu/L.",IF(AND(D175=6825,L175="Formulation"),"Nipper 1993 source check showed the reported concentrations are nominal Zn; formulation coding does not trigger compound-mass conversion.",IF(Y175="PRIMARY_RECOVERED","Source-recovered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75" s="2" t="str">
        <x:f t="shared" si="19"/>
        <x:v>CORE</x:v>
      </x:c>
      <x:c r="AI175" s="2" t="str">
        <x:f t="shared" si="20"/>
        <x:v>YES</x:v>
      </x:c>
    </x:row>
    <x:row r="176" ht="67.5">
      <x:c r="A176" s="2">
        <x:v>1398</x:v>
      </x:c>
      <x:c r="B176" s="2">
        <x:v>1205933</x:v>
      </x:c>
      <x:c r="C176" s="2">
        <x:v>171324</x:v>
      </x:c>
      <x:c r="D176" s="2">
        <x:v>18833</x:v>
      </x:c>
      <x:c r="E176" s="2" t="s">
        <x:v>10</x:v>
      </x:c>
      <x:c r="F176" s="2" t="s">
        <x:v>235</x:v>
      </x:c>
      <x:c r="G176" s="2" t="s">
        <x:v>226</x:v>
      </x:c>
      <x:c r="H176" s="2" t="s">
        <x:v>107</x:v>
      </x:c>
      <x:c r="I176" s="2" t="s">
        <x:v>173</x:v>
      </x:c>
      <x:c r="J176" s="2">
        <x:v>4</x:v>
      </x:c>
      <x:c r="K176" s="2" t="s">
        <x:v>126</x:v>
      </x:c>
      <x:c r="L176" s="2" t="s">
        <x:v>110</x:v>
      </x:c>
      <x:c r="M176" s="2"/>
      <x:c r="N176" s="2">
        <x:v>412</x:v>
      </x:c>
      <x:c r="O176" s="2"/>
      <x:c r="P176" s="2"/>
      <x:c r="Q176" s="2" t="s">
        <x:v>111</x:v>
      </x:c>
      <x:c r="R176" s="2">
        <x:v>412</x:v>
      </x:c>
      <x:c r="S176" s="2" t="s">
        <x:v>111</x:v>
      </x:c>
      <x:c r="T176" s="2">
        <x:v>20</x:v>
      </x:c>
      <x:c r="U176" s="2">
        <x:v>37</x:v>
      </x:c>
      <x:c r="V176" s="2"/>
      <x:c r="W176" s="2"/>
      <x:c r="X176" s="2" t="s">
        <x:v>251</x:v>
      </x:c>
      <x:c r="Y176" s="2" t="s">
        <x:v>113</x:v>
      </x:c>
      <x:c r="Z176" s="2" t="s">
        <x:v>114</x:v>
      </x:c>
      <x:c r="AA176" s="11" t="n">
        <x:f>IFERROR(VLOOKUP(E176,Harmonization_Rules!$A$2:$B$9,2,FALSE),"")</x:f>
        <x:v>63.546</x:v>
      </x:c>
      <x:c r="AB176" s="2" t="str">
        <x:f t="shared" si="14"/>
        <x:v>ECOTOX_STANDARDIZED_TARGET_METAL</x:v>
      </x:c>
      <x:c r="AC176" s="12">
        <x:f t="shared" si="15"/>
        <x:v>0.41199999999999998</x:v>
      </x:c>
      <x:c r="AD176" s="12">
        <x:f t="shared" si="16"/>
        <x:v>6.4834922733138196</x:v>
      </x:c>
      <x:c r="AE176" s="12">
        <x:f t="shared" si="17"/>
        <x:v>1.8692592962599393</x:v>
      </x:c>
      <x:c r="AF176" s="2" t="str">
        <x:f t="shared" si="18"/>
        <x:v>HARMONIZED</x:v>
      </x:c>
      <x:c r="AG176" s="2" t="str">
        <x:f>IF(E176="Cr","Cr(VI) chromate/dichromate rows are retained but molar conversion is held until source-specific compound-vs-ion basis is resolved.",IF(D176=2977,"OBrien 1988 reports total dissolved Cu LC224 values in 10^-6 M; the numeric Analysis_Point is therefore treated directly as umol Cu/L.",IF(AND(D176=6825,L176="Formulation"),"Nipper 1993 source check showed the reported concentrations are nominal Zn; formulation coding does not trigger compound-mass conversion.",IF(Y176="PRIMARY_RECOVERED","Source-recovered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76" s="2" t="str">
        <x:f t="shared" si="19"/>
        <x:v>CORE</x:v>
      </x:c>
      <x:c r="AI176" s="2" t="str">
        <x:f t="shared" si="20"/>
        <x:v>YES</x:v>
      </x:c>
    </x:row>
    <x:row r="177" ht="40.5">
      <x:c r="A177" s="2">
        <x:v>1399</x:v>
      </x:c>
      <x:c r="B177" s="2">
        <x:v>2135202</x:v>
      </x:c>
      <x:c r="C177" s="2">
        <x:v>2249960</x:v>
      </x:c>
      <x:c r="D177" s="2">
        <x:v>119554</x:v>
      </x:c>
      <x:c r="E177" s="2" t="s">
        <x:v>10</x:v>
      </x:c>
      <x:c r="F177" s="2" t="s">
        <x:v>235</x:v>
      </x:c>
      <x:c r="G177" s="2" t="s">
        <x:v>132</x:v>
      </x:c>
      <x:c r="H177" s="2" t="s">
        <x:v>107</x:v>
      </x:c>
      <x:c r="I177" s="2" t="s">
        <x:v>253</x:v>
      </x:c>
      <x:c r="J177" s="2">
        <x:v>3</x:v>
      </x:c>
      <x:c r="K177" s="2" t="s">
        <x:v>117</x:v>
      </x:c>
      <x:c r="L177" s="2" t="s">
        <x:v>120</x:v>
      </x:c>
      <x:c r="M177" s="2"/>
      <x:c r="N177" s="2">
        <x:v>157</x:v>
      </x:c>
      <x:c r="O177" s="2"/>
      <x:c r="P177" s="2"/>
      <x:c r="Q177" s="2" t="s">
        <x:v>111</x:v>
      </x:c>
      <x:c r="R177" s="2">
        <x:v>157</x:v>
      </x:c>
      <x:c r="S177" s="2" t="s">
        <x:v>111</x:v>
      </x:c>
      <x:c r="T177" s="2">
        <x:v>20</x:v>
      </x:c>
      <x:c r="U177" s="2">
        <x:v>35</x:v>
      </x:c>
      <x:c r="V177" s="2">
        <x:v>8.1999999999999993</x:v>
      </x:c>
      <x:c r="W177" s="2"/>
      <x:c r="X177" s="2" t="s">
        <x:v>252</x:v>
      </x:c>
      <x:c r="Y177" s="2" t="s">
        <x:v>113</x:v>
      </x:c>
      <x:c r="Z177" s="2" t="s">
        <x:v>114</x:v>
      </x:c>
      <x:c r="AA177" s="11" t="n">
        <x:f>IFERROR(VLOOKUP(E177,Harmonization_Rules!$A$2:$B$9,2,FALSE),"")</x:f>
        <x:v>63.546</x:v>
      </x:c>
      <x:c r="AB177" s="2" t="str">
        <x:f t="shared" si="14"/>
        <x:v>ECOTOX_STANDARDIZED_TARGET_METAL</x:v>
      </x:c>
      <x:c r="AC177" s="12">
        <x:f t="shared" si="15"/>
        <x:v>0.157</x:v>
      </x:c>
      <x:c r="AD177" s="12">
        <x:f t="shared" si="16"/>
        <x:v>2.4706511818210433</x:v>
      </x:c>
      <x:c r="AE177" s="12">
        <x:f t="shared" si="17"/>
        <x:v>0.90448175225872096</x:v>
      </x:c>
      <x:c r="AF177" s="2" t="str">
        <x:f t="shared" si="18"/>
        <x:v>HARMONIZED</x:v>
      </x:c>
      <x:c r="AG177" s="2" t="str">
        <x:f>IF(E177="Cr","Cr(VI) chromate/dichromate rows are retained but molar conversion is held until source-specific compound-vs-ion basis is resolved.",IF(D177=2977,"OBrien 1988 reports total dissolved Cu LC225 values in 10^-6 M; the numeric Analysis_Point is therefore treated directly as umol Cu/L.",IF(AND(D177=6825,L177="Formulation"),"Nipper 1993 source check showed the reported concentrations are nominal Zn; formulation coding does not trigger compound-mass conversion.",IF(Y177="PRIMARY_RECOVERED","Source-recovered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77" s="2" t="str">
        <x:f t="shared" si="19"/>
        <x:v>CORE</x:v>
      </x:c>
      <x:c r="AI177" s="2" t="str">
        <x:f t="shared" si="20"/>
        <x:v>YES</x:v>
      </x:c>
    </x:row>
    <x:row r="178" ht="54">
      <x:c r="A178" s="2">
        <x:v>1408</x:v>
      </x:c>
      <x:c r="B178" s="2">
        <x:v>1300793</x:v>
      </x:c>
      <x:c r="C178" s="2">
        <x:v>756465</x:v>
      </x:c>
      <x:c r="D178" s="2">
        <x:v>115854</x:v>
      </x:c>
      <x:c r="E178" s="2" t="s">
        <x:v>10</x:v>
      </x:c>
      <x:c r="F178" s="2" t="s">
        <x:v>235</x:v>
      </x:c>
      <x:c r="G178" s="2" t="s">
        <x:v>106</x:v>
      </x:c>
      <x:c r="H178" s="2" t="s">
        <x:v>107</x:v>
      </x:c>
      <x:c r="I178" s="2" t="s">
        <x:v>108</x:v>
      </x:c>
      <x:c r="J178" s="2">
        <x:v>4</x:v>
      </x:c>
      <x:c r="K178" s="2" t="s">
        <x:v>109</x:v>
      </x:c>
      <x:c r="L178" s="2" t="s">
        <x:v>110</x:v>
      </x:c>
      <x:c r="M178" s="2"/>
      <x:c r="N178" s="2"/>
      <x:c r="O178" s="2">
        <x:v>1000</x:v>
      </x:c>
      <x:c r="P178" s="2">
        <x:v>1100</x:v>
      </x:c>
      <x:c r="Q178" s="2" t="s">
        <x:v>111</x:v>
      </x:c>
      <x:c r="R178" s="2">
        <x:v>1.045558</x:v>
      </x:c>
      <x:c r="S178" s="2" t="s">
        <x:v>121</x:v>
      </x:c>
      <x:c r="T178" s="2">
        <x:v>25</x:v>
      </x:c>
      <x:c r="U178" s="2">
        <x:v>33</x:v>
      </x:c>
      <x:c r="V178" s="2"/>
      <x:c r="W178" s="2"/>
      <x:c r="X178" s="2" t="s">
        <x:v>112</x:v>
      </x:c>
      <x:c r="Y178" s="2" t="s">
        <x:v>220</x:v>
      </x:c>
      <x:c r="Z178" s="2" t="s">
        <x:v>255</x:v>
      </x:c>
      <x:c r="AA178" s="11" t="n">
        <x:f>IFERROR(VLOOKUP(E178,Harmonization_Rules!$A$2:$B$9,2,FALSE),"")</x:f>
        <x:v>63.546</x:v>
      </x:c>
      <x:c r="AB178" s="2" t="str">
        <x:f t="shared" si="14"/>
        <x:v>SOURCE_RECOVERED_TARGET_METAL</x:v>
      </x:c>
      <x:c r="AC178" s="12">
        <x:f t="shared" si="15"/>
        <x:v>1.045558</x:v>
      </x:c>
      <x:c r="AD178" s="12">
        <x:f t="shared" si="16"/>
        <x:v>16.453561199760802</x:v>
      </x:c>
      <x:c r="AE178" s="12">
        <x:f t="shared" si="17"/>
        <x:v>2.8005419400892491</x:v>
      </x:c>
      <x:c r="AF178" s="2" t="str">
        <x:f t="shared" si="18"/>
        <x:v>HARMONIZED</x:v>
      </x:c>
      <x:c r="AG178" s="2" t="str">
        <x:f>IF(E178="Cr","Cr(VI) chromate/dichromate rows are retained but molar conversion is held until source-specific compound-vs-ion basis is resolved.",IF(D178=2977,"OBrien 1988 reports total dissolved Cu LC226 values in 10^-6 M; the numeric Analysis_Point is therefore treated directly as umol Cu/L.",IF(AND(D178=6825,L178="Formulation"),"Nipper 1993 source check showed the reported concentrations are nominal Zn; formulation coding does not trigger compound-mass conversion.",IF(Y178="PRIMARY_RECOVERED","Source-recovered point estimate retained, then converted on the target-metal scale.","ECOTOX standardized concentration used; for metal salts ECOTOX generally expresses concentration as active ionic form."))))</x:f>
        <x:v>Source-recovered point estimate retained, then converted on the target-metal scale.</x:v>
      </x:c>
      <x:c r="AH178" s="2" t="str">
        <x:f t="shared" si="19"/>
        <x:v>CORE</x:v>
      </x:c>
      <x:c r="AI178" s="2" t="str">
        <x:f t="shared" si="20"/>
        <x:v>YES</x:v>
      </x:c>
    </x:row>
    <x:row r="179" ht="54">
      <x:c r="A179" s="2">
        <x:v>1409</x:v>
      </x:c>
      <x:c r="B179" s="2">
        <x:v>1301479</x:v>
      </x:c>
      <x:c r="C179" s="2">
        <x:v>757358</x:v>
      </x:c>
      <x:c r="D179" s="2">
        <x:v>115854</x:v>
      </x:c>
      <x:c r="E179" s="2" t="s">
        <x:v>10</x:v>
      </x:c>
      <x:c r="F179" s="2" t="s">
        <x:v>235</x:v>
      </x:c>
      <x:c r="G179" s="2" t="s">
        <x:v>106</x:v>
      </x:c>
      <x:c r="H179" s="2" t="s">
        <x:v>107</x:v>
      </x:c>
      <x:c r="I179" s="2" t="s">
        <x:v>108</x:v>
      </x:c>
      <x:c r="J179" s="2">
        <x:v>4</x:v>
      </x:c>
      <x:c r="K179" s="2" t="s">
        <x:v>126</x:v>
      </x:c>
      <x:c r="L179" s="2" t="s">
        <x:v>110</x:v>
      </x:c>
      <x:c r="M179" s="2"/>
      <x:c r="N179" s="2"/>
      <x:c r="O179" s="2">
        <x:v>400</x:v>
      </x:c>
      <x:c r="P179" s="2">
        <x:v>600</x:v>
      </x:c>
      <x:c r="Q179" s="2" t="s">
        <x:v>111</x:v>
      </x:c>
      <x:c r="R179" s="2">
        <x:v>0.47357300000000002</x:v>
      </x:c>
      <x:c r="S179" s="2" t="s">
        <x:v>121</x:v>
      </x:c>
      <x:c r="T179" s="2"/>
      <x:c r="U179" s="2"/>
      <x:c r="V179" s="2"/>
      <x:c r="W179" s="2"/>
      <x:c r="X179" s="2" t="s">
        <x:v>112</x:v>
      </x:c>
      <x:c r="Y179" s="2" t="s">
        <x:v>220</x:v>
      </x:c>
      <x:c r="Z179" s="2" t="s">
        <x:v>255</x:v>
      </x:c>
      <x:c r="AA179" s="11" t="n">
        <x:f>IFERROR(VLOOKUP(E179,Harmonization_Rules!$A$2:$B$9,2,FALSE),"")</x:f>
        <x:v>63.546</x:v>
      </x:c>
      <x:c r="AB179" s="2" t="str">
        <x:f t="shared" si="14"/>
        <x:v>SOURCE_RECOVERED_TARGET_METAL</x:v>
      </x:c>
      <x:c r="AC179" s="12">
        <x:f t="shared" si="15"/>
        <x:v>0.47357300000000002</x:v>
      </x:c>
      <x:c r="AD179" s="12">
        <x:f t="shared" si="16"/>
        <x:v>7.4524438989078785</x:v>
      </x:c>
      <x:c r="AE179" s="12">
        <x:f t="shared" si="17"/>
        <x:v>2.0085420187199343</x:v>
      </x:c>
      <x:c r="AF179" s="2" t="str">
        <x:f t="shared" si="18"/>
        <x:v>HARMONIZED</x:v>
      </x:c>
      <x:c r="AG179" s="2" t="str">
        <x:f>IF(E179="Cr","Cr(VI) chromate/dichromate rows are retained but molar conversion is held until source-specific compound-vs-ion basis is resolved.",IF(D179=2977,"OBrien 1988 reports total dissolved Cu LC227 values in 10^-6 M; the numeric Analysis_Point is therefore treated directly as umol Cu/L.",IF(AND(D179=6825,L179="Formulation"),"Nipper 1993 source check showed the reported concentrations are nominal Zn; formulation coding does not trigger compound-mass conversion.",IF(Y179="PRIMARY_RECOVERED","Source-recovered point estimate retained, then converted on the target-metal scale.","ECOTOX standardized concentration used; for metal salts ECOTOX generally expresses concentration as active ionic form."))))</x:f>
        <x:v>Source-recovered point estimate retained, then converted on the target-metal scale.</x:v>
      </x:c>
      <x:c r="AH179" s="2" t="str">
        <x:f t="shared" si="19"/>
        <x:v>CORE</x:v>
      </x:c>
      <x:c r="AI179" s="2" t="str">
        <x:f t="shared" si="20"/>
        <x:v>YES</x:v>
      </x:c>
    </x:row>
    <x:row r="180" ht="67.5">
      <x:c r="A180" s="2">
        <x:v>1411</x:v>
      </x:c>
      <x:c r="B180" s="2">
        <x:v>1296798</x:v>
      </x:c>
      <x:c r="C180" s="2">
        <x:v>752112</x:v>
      </x:c>
      <x:c r="D180" s="2">
        <x:v>111315</x:v>
      </x:c>
      <x:c r="E180" s="2" t="s">
        <x:v>10</x:v>
      </x:c>
      <x:c r="F180" s="2" t="s">
        <x:v>235</x:v>
      </x:c>
      <x:c r="G180" s="2" t="s">
        <x:v>106</x:v>
      </x:c>
      <x:c r="H180" s="2" t="s">
        <x:v>107</x:v>
      </x:c>
      <x:c r="I180" s="2" t="s">
        <x:v>108</x:v>
      </x:c>
      <x:c r="J180" s="2">
        <x:v>4</x:v>
      </x:c>
      <x:c r="K180" s="2" t="s">
        <x:v>126</x:v>
      </x:c>
      <x:c r="L180" s="2" t="s">
        <x:v>110</x:v>
      </x:c>
      <x:c r="M180" s="2"/>
      <x:c r="N180" s="2">
        <x:v>3.9</x:v>
      </x:c>
      <x:c r="O180" s="2">
        <x:v>2.6</x:v>
      </x:c>
      <x:c r="P180" s="2">
        <x:v>5.87</x:v>
      </x:c>
      <x:c r="Q180" s="2" t="s">
        <x:v>121</x:v>
      </x:c>
      <x:c r="R180" s="2">
        <x:v>3.9</x:v>
      </x:c>
      <x:c r="S180" s="2" t="s">
        <x:v>121</x:v>
      </x:c>
      <x:c r="T180" s="2">
        <x:v>20</x:v>
      </x:c>
      <x:c r="U180" s="2">
        <x:v>32</x:v>
      </x:c>
      <x:c r="V180" s="2">
        <x:v>7.9</x:v>
      </x:c>
      <x:c r="W180" s="2"/>
      <x:c r="X180" s="2" t="s">
        <x:v>204</x:v>
      </x:c>
      <x:c r="Y180" s="2" t="s">
        <x:v>113</x:v>
      </x:c>
      <x:c r="Z180" s="2" t="s">
        <x:v>114</x:v>
      </x:c>
      <x:c r="AA180" s="11" t="n">
        <x:f>IFERROR(VLOOKUP(E180,Harmonization_Rules!$A$2:$B$9,2,FALSE),"")</x:f>
        <x:v>63.546</x:v>
      </x:c>
      <x:c r="AB180" s="2" t="str">
        <x:f t="shared" si="14"/>
        <x:v>ECOTOX_STANDARDIZED_TARGET_METAL</x:v>
      </x:c>
      <x:c r="AC180" s="12">
        <x:f t="shared" si="15"/>
        <x:v>3.9</x:v>
      </x:c>
      <x:c r="AD180" s="12">
        <x:f t="shared" si="16"/>
        <x:v>61.372863752242473</x:v>
      </x:c>
      <x:c r="AE180" s="12">
        <x:f t="shared" si="17"/>
        <x:v>4.1169677790281503</x:v>
      </x:c>
      <x:c r="AF180" s="2" t="str">
        <x:f t="shared" si="18"/>
        <x:v>HARMONIZED</x:v>
      </x:c>
      <x:c r="AG180" s="2" t="str">
        <x:f>IF(E180="Cr","Cr(VI) chromate/dichromate rows are retained but molar conversion is held until source-specific compound-vs-ion basis is resolved.",IF(D180=2977,"OBrien 1988 reports total dissolved Cu LC228 values in 10^-6 M; the numeric Analysis_Point is therefore treated directly as umol Cu/L.",IF(AND(D180=6825,L180="Formulation"),"Nipper 1993 source check showed the reported concentrations are nominal Zn; formulation coding does not trigger compound-mass conversion.",IF(Y180="PRIMARY_RECOVERED","Source-recovered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80" s="2" t="str">
        <x:f t="shared" si="19"/>
        <x:v>CORE</x:v>
      </x:c>
      <x:c r="AI180" s="2" t="str">
        <x:f t="shared" si="20"/>
        <x:v>YES</x:v>
      </x:c>
    </x:row>
    <x:row r="181" ht="54">
      <x:c r="A181" s="2">
        <x:v>1415</x:v>
      </x:c>
      <x:c r="B181" s="2">
        <x:v>1300801</x:v>
      </x:c>
      <x:c r="C181" s="2">
        <x:v>756473</x:v>
      </x:c>
      <x:c r="D181" s="2">
        <x:v>115854</x:v>
      </x:c>
      <x:c r="E181" s="2" t="s">
        <x:v>10</x:v>
      </x:c>
      <x:c r="F181" s="2" t="s">
        <x:v>235</x:v>
      </x:c>
      <x:c r="G181" s="2" t="s">
        <x:v>106</x:v>
      </x:c>
      <x:c r="H181" s="2" t="s">
        <x:v>107</x:v>
      </x:c>
      <x:c r="I181" s="2" t="s">
        <x:v>108</x:v>
      </x:c>
      <x:c r="J181" s="2">
        <x:v>4</x:v>
      </x:c>
      <x:c r="K181" s="2" t="s">
        <x:v>126</x:v>
      </x:c>
      <x:c r="L181" s="2" t="s">
        <x:v>110</x:v>
      </x:c>
      <x:c r="M181" s="2" t="s">
        <x:v>184</x:v>
      </x:c>
      <x:c r="N181" s="2">
        <x:v>800</x:v>
      </x:c>
      <x:c r="O181" s="2"/>
      <x:c r="P181" s="2"/>
      <x:c r="Q181" s="2" t="s">
        <x:v>111</x:v>
      </x:c>
      <x:c r="R181" s="2">
        <x:v>0.79915400000000003</x:v>
      </x:c>
      <x:c r="S181" s="2" t="s">
        <x:v>121</x:v>
      </x:c>
      <x:c r="T181" s="2"/>
      <x:c r="U181" s="2"/>
      <x:c r="V181" s="2"/>
      <x:c r="W181" s="2"/>
      <x:c r="X181" s="2" t="s">
        <x:v>112</x:v>
      </x:c>
      <x:c r="Y181" s="2" t="s">
        <x:v>220</x:v>
      </x:c>
      <x:c r="Z181" s="2" t="s">
        <x:v>255</x:v>
      </x:c>
      <x:c r="AA181" s="11" t="n">
        <x:f>IFERROR(VLOOKUP(E181,Harmonization_Rules!$A$2:$B$9,2,FALSE),"")</x:f>
        <x:v>63.546</x:v>
      </x:c>
      <x:c r="AB181" s="2" t="str">
        <x:f t="shared" si="14"/>
        <x:v>SOURCE_RECOVERED_TARGET_METAL</x:v>
      </x:c>
      <x:c r="AC181" s="12">
        <x:f t="shared" si="15"/>
        <x:v>0.79915400000000003</x:v>
      </x:c>
      <x:c r="AD181" s="12">
        <x:f t="shared" si="16"/>
        <x:v>12.575992194630661</x:v>
      </x:c>
      <x:c r="AE181" s="12">
        <x:f t="shared" si="17"/>
        <x:v>2.5317896150306991</x:v>
      </x:c>
      <x:c r="AF181" s="2" t="str">
        <x:f t="shared" si="18"/>
        <x:v>HARMONIZED</x:v>
      </x:c>
      <x:c r="AG181" s="2" t="str">
        <x:f>IF(E181="Cr","Cr(VI) chromate/dichromate rows are retained but molar conversion is held until source-specific compound-vs-ion basis is resolved.",IF(D181=2977,"OBrien 1988 reports total dissolved Cu LC229 values in 10^-6 M; the numeric Analysis_Point is therefore treated directly as umol Cu/L.",IF(AND(D181=6825,L181="Formulation"),"Nipper 1993 source check showed the reported concentrations are nominal Zn; formulation coding does not trigger compound-mass conversion.",IF(Y181="PRIMARY_RECOVERED","Source-recovered point estimate retained, then converted on the target-metal scale.","ECOTOX standardized concentration used; for metal salts ECOTOX generally expresses concentration as active ionic form."))))</x:f>
        <x:v>Source-recovered point estimate retained, then converted on the target-metal scale.</x:v>
      </x:c>
      <x:c r="AH181" s="2" t="str">
        <x:f t="shared" si="19"/>
        <x:v>CORE</x:v>
      </x:c>
      <x:c r="AI181" s="2" t="str">
        <x:f t="shared" si="20"/>
        <x:v>YES</x:v>
      </x:c>
    </x:row>
    <x:row r="182" ht="54">
      <x:c r="A182" s="2">
        <x:v>1416</x:v>
      </x:c>
      <x:c r="B182" s="2">
        <x:v>1300806</x:v>
      </x:c>
      <x:c r="C182" s="2">
        <x:v>756479</x:v>
      </x:c>
      <x:c r="D182" s="2">
        <x:v>115854</x:v>
      </x:c>
      <x:c r="E182" s="2" t="s">
        <x:v>10</x:v>
      </x:c>
      <x:c r="F182" s="2" t="s">
        <x:v>235</x:v>
      </x:c>
      <x:c r="G182" s="2" t="s">
        <x:v>106</x:v>
      </x:c>
      <x:c r="H182" s="2" t="s">
        <x:v>107</x:v>
      </x:c>
      <x:c r="I182" s="2" t="s">
        <x:v>108</x:v>
      </x:c>
      <x:c r="J182" s="2">
        <x:v>4</x:v>
      </x:c>
      <x:c r="K182" s="2" t="s">
        <x:v>126</x:v>
      </x:c>
      <x:c r="L182" s="2" t="s">
        <x:v>110</x:v>
      </x:c>
      <x:c r="M182" s="2"/>
      <x:c r="N182" s="2"/>
      <x:c r="O182" s="2">
        <x:v>200</x:v>
      </x:c>
      <x:c r="P182" s="2">
        <x:v>400</x:v>
      </x:c>
      <x:c r="Q182" s="2" t="s">
        <x:v>111</x:v>
      </x:c>
      <x:c r="R182" s="2">
        <x:v>0.39217800000000003</x:v>
      </x:c>
      <x:c r="S182" s="2" t="s">
        <x:v>121</x:v>
      </x:c>
      <x:c r="T182" s="2"/>
      <x:c r="U182" s="2"/>
      <x:c r="V182" s="2"/>
      <x:c r="W182" s="2"/>
      <x:c r="X182" s="2" t="s">
        <x:v>112</x:v>
      </x:c>
      <x:c r="Y182" s="2" t="s">
        <x:v>220</x:v>
      </x:c>
      <x:c r="Z182" s="2" t="s">
        <x:v>255</x:v>
      </x:c>
      <x:c r="AA182" s="11" t="n">
        <x:f>IFERROR(VLOOKUP(E182,Harmonization_Rules!$A$2:$B$9,2,FALSE),"")</x:f>
        <x:v>63.546</x:v>
      </x:c>
      <x:c r="AB182" s="2" t="str">
        <x:f t="shared" si="14"/>
        <x:v>SOURCE_RECOVERED_TARGET_METAL</x:v>
      </x:c>
      <x:c r="AC182" s="12">
        <x:f t="shared" si="15"/>
        <x:v>0.39217800000000003</x:v>
      </x:c>
      <x:c r="AD182" s="12">
        <x:f t="shared" si="16"/>
        <x:v>6.171560759135116</x:v>
      </x:c>
      <x:c r="AE182" s="12">
        <x:f t="shared" si="17"/>
        <x:v>1.8199517652696624</x:v>
      </x:c>
      <x:c r="AF182" s="2" t="str">
        <x:f t="shared" si="18"/>
        <x:v>HARMONIZED</x:v>
      </x:c>
      <x:c r="AG182" s="2" t="str">
        <x:f>IF(E182="Cr","Cr(VI) chromate/dichromate rows are retained but molar conversion is held until source-specific compound-vs-ion basis is resolved.",IF(D182=2977,"OBrien 1988 reports total dissolved Cu LC230 values in 10^-6 M; the numeric Analysis_Point is therefore treated directly as umol Cu/L.",IF(AND(D182=6825,L182="Formulation"),"Nipper 1993 source check showed the reported concentrations are nominal Zn; formulation coding does not trigger compound-mass conversion.",IF(Y182="PRIMARY_RECOVERED","Source-recovered point estimate retained, then converted on the target-metal scale.","ECOTOX standardized concentration used; for metal salts ECOTOX generally expresses concentration as active ionic form."))))</x:f>
        <x:v>Source-recovered point estimate retained, then converted on the target-metal scale.</x:v>
      </x:c>
      <x:c r="AH182" s="2" t="str">
        <x:f t="shared" si="19"/>
        <x:v>CORE</x:v>
      </x:c>
      <x:c r="AI182" s="2" t="str">
        <x:f t="shared" si="20"/>
        <x:v>YES</x:v>
      </x:c>
    </x:row>
    <x:row r="183" ht="54">
      <x:c r="A183" s="2">
        <x:v>1418</x:v>
      </x:c>
      <x:c r="B183" s="2">
        <x:v>1312278</x:v>
      </x:c>
      <x:c r="C183" s="2">
        <x:v>769701</x:v>
      </x:c>
      <x:c r="D183" s="2">
        <x:v>111599</x:v>
      </x:c>
      <x:c r="E183" s="2" t="s">
        <x:v>10</x:v>
      </x:c>
      <x:c r="F183" s="2" t="s">
        <x:v>235</x:v>
      </x:c>
      <x:c r="G183" s="2" t="s">
        <x:v>106</x:v>
      </x:c>
      <x:c r="H183" s="2" t="s">
        <x:v>107</x:v>
      </x:c>
      <x:c r="I183" s="2" t="s">
        <x:v>108</x:v>
      </x:c>
      <x:c r="J183" s="2">
        <x:v>4</x:v>
      </x:c>
      <x:c r="K183" s="2" t="s">
        <x:v>126</x:v>
      </x:c>
      <x:c r="L183" s="2" t="s">
        <x:v>110</x:v>
      </x:c>
      <x:c r="M183" s="2"/>
      <x:c r="N183" s="2">
        <x:v>1024</x:v>
      </x:c>
      <x:c r="O183" s="2"/>
      <x:c r="P183" s="2"/>
      <x:c r="Q183" s="2" t="s">
        <x:v>111</x:v>
      </x:c>
      <x:c r="R183" s="2">
        <x:v>1024</x:v>
      </x:c>
      <x:c r="S183" s="2" t="s">
        <x:v>111</x:v>
      </x:c>
      <x:c r="T183" s="2">
        <x:v>25</x:v>
      </x:c>
      <x:c r="U183" s="2">
        <x:v>34.5</x:v>
      </x:c>
      <x:c r="V183" s="2"/>
      <x:c r="W183" s="2"/>
      <x:c r="X183" s="2" t="s">
        <x:v>256</x:v>
      </x:c>
      <x:c r="Y183" s="2" t="s">
        <x:v>113</x:v>
      </x:c>
      <x:c r="Z183" s="2" t="s">
        <x:v>114</x:v>
      </x:c>
      <x:c r="AA183" s="11" t="n">
        <x:f>IFERROR(VLOOKUP(E183,Harmonization_Rules!$A$2:$B$9,2,FALSE),"")</x:f>
        <x:v>63.546</x:v>
      </x:c>
      <x:c r="AB183" s="2" t="str">
        <x:f t="shared" si="14"/>
        <x:v>ECOTOX_STANDARDIZED_TARGET_METAL</x:v>
      </x:c>
      <x:c r="AC183" s="12">
        <x:f t="shared" si="15"/>
        <x:v>1.024</x:v>
      </x:c>
      <x:c r="AD183" s="12">
        <x:f t="shared" si="16"/>
        <x:v>16.114310892896484</x:v>
      </x:c>
      <x:c r="AE183" s="12">
        <x:f t="shared" si="17"/>
        <x:v>2.7797077525098657</x:v>
      </x:c>
      <x:c r="AF183" s="2" t="str">
        <x:f t="shared" si="18"/>
        <x:v>HARMONIZED</x:v>
      </x:c>
      <x:c r="AG183" s="2" t="str">
        <x:f>IF(E183="Cr","Cr(VI) chromate/dichromate rows are retained but molar conversion is held until source-specific compound-vs-ion basis is resolved.",IF(D183=2977,"OBrien 1988 reports total dissolved Cu LC231 values in 10^-6 M; the numeric Analysis_Point is therefore treated directly as umol Cu/L.",IF(AND(D183=6825,L183="Formulation"),"Nipper 1993 source check showed the reported concentrations are nominal Zn; formulation coding does not trigger compound-mass conversion.",IF(Y183="PRIMARY_RECOVERED","Source-recovered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83" s="2" t="str">
        <x:f t="shared" si="19"/>
        <x:v>CORE</x:v>
      </x:c>
      <x:c r="AI183" s="2" t="str">
        <x:f t="shared" si="20"/>
        <x:v>YES</x:v>
      </x:c>
    </x:row>
    <x:row r="184" ht="40.5">
      <x:c r="A184" s="2">
        <x:v>1419</x:v>
      </x:c>
      <x:c r="B184" s="2">
        <x:v>1310608</x:v>
      </x:c>
      <x:c r="C184" s="2">
        <x:v>767790</x:v>
      </x:c>
      <x:c r="D184" s="2">
        <x:v>14474</x:v>
      </x:c>
      <x:c r="E184" s="2" t="s">
        <x:v>10</x:v>
      </x:c>
      <x:c r="F184" s="2" t="s">
        <x:v>235</x:v>
      </x:c>
      <x:c r="G184" s="2" t="s">
        <x:v>141</x:v>
      </x:c>
      <x:c r="H184" s="2" t="s">
        <x:v>135</x:v>
      </x:c>
      <x:c r="I184" s="2"/>
      <x:c r="J184" s="2">
        <x:v>2</x:v>
      </x:c>
      <x:c r="K184" s="2" t="s">
        <x:v>117</x:v>
      </x:c>
      <x:c r="L184" s="2" t="s">
        <x:v>110</x:v>
      </x:c>
      <x:c r="M184" s="2"/>
      <x:c r="N184" s="2">
        <x:v>3.4000000000000002E-2</x:v>
      </x:c>
      <x:c r="O184" s="2"/>
      <x:c r="P184" s="2"/>
      <x:c r="Q184" s="2" t="s">
        <x:v>121</x:v>
      </x:c>
      <x:c r="R184" s="2">
        <x:v>3.4000000000000002E-2</x:v>
      </x:c>
      <x:c r="S184" s="2" t="s">
        <x:v>121</x:v>
      </x:c>
      <x:c r="T184" s="2"/>
      <x:c r="U184" s="2"/>
      <x:c r="V184" s="2"/>
      <x:c r="W184" s="2"/>
      <x:c r="X184" s="2" t="s">
        <x:v>240</x:v>
      </x:c>
      <x:c r="Y184" s="2" t="s">
        <x:v>113</x:v>
      </x:c>
      <x:c r="Z184" s="2" t="s">
        <x:v>114</x:v>
      </x:c>
      <x:c r="AA184" s="11" t="n">
        <x:f>IFERROR(VLOOKUP(E184,Harmonization_Rules!$A$2:$B$9,2,FALSE),"")</x:f>
        <x:v>63.546</x:v>
      </x:c>
      <x:c r="AB184" s="2" t="str">
        <x:f t="shared" si="14"/>
        <x:v>ECOTOX_STANDARDIZED_TARGET_METAL</x:v>
      </x:c>
      <x:c r="AC184" s="12">
        <x:f t="shared" si="15"/>
        <x:v>3.4000000000000002E-2</x:v>
      </x:c>
      <x:c r="AD184" s="12">
        <x:f t="shared" si="16"/>
        <x:v>0.53504547886570364</x:v>
      </x:c>
      <x:c r="AE184" s="12">
        <x:f t="shared" si="17"/>
        <x:v>-0.62540352847342573</x:v>
      </x:c>
      <x:c r="AF184" s="2" t="str">
        <x:f t="shared" si="18"/>
        <x:v>HARMONIZED</x:v>
      </x:c>
      <x:c r="AG184" s="2" t="str">
        <x:f>IF(E184="Cr","Cr(VI) chromate/dichromate rows are retained but molar conversion is held until source-specific compound-vs-ion basis is resolved.",IF(D184=2977,"OBrien 1988 reports total dissolved Cu LC232 values in 10^-6 M; the numeric Analysis_Point is therefore treated directly as umol Cu/L.",IF(AND(D184=6825,L184="Formulation"),"Nipper 1993 source check showed the reported concentrations are nominal Zn; formulation coding does not trigger compound-mass conversion.",IF(Y184="PRIMARY_RECOVERED","Source-recovered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84" s="2" t="str">
        <x:f t="shared" si="19"/>
        <x:v>CORE</x:v>
      </x:c>
      <x:c r="AI184" s="2" t="str">
        <x:f t="shared" si="20"/>
        <x:v>YES</x:v>
      </x:c>
    </x:row>
    <x:row r="185" ht="67.5">
      <x:c r="A185" s="2">
        <x:v>1421</x:v>
      </x:c>
      <x:c r="B185" s="2">
        <x:v>1205932</x:v>
      </x:c>
      <x:c r="C185" s="2">
        <x:v>171323</x:v>
      </x:c>
      <x:c r="D185" s="2">
        <x:v>18833</x:v>
      </x:c>
      <x:c r="E185" s="2" t="s">
        <x:v>10</x:v>
      </x:c>
      <x:c r="F185" s="2" t="s">
        <x:v>235</x:v>
      </x:c>
      <x:c r="G185" s="2" t="s">
        <x:v>226</x:v>
      </x:c>
      <x:c r="H185" s="2" t="s">
        <x:v>107</x:v>
      </x:c>
      <x:c r="I185" s="2" t="s">
        <x:v>125</x:v>
      </x:c>
      <x:c r="J185" s="2">
        <x:v>4</x:v>
      </x:c>
      <x:c r="K185" s="2" t="s">
        <x:v>126</x:v>
      </x:c>
      <x:c r="L185" s="2" t="s">
        <x:v>110</x:v>
      </x:c>
      <x:c r="M185" s="2"/>
      <x:c r="N185" s="2">
        <x:v>308</x:v>
      </x:c>
      <x:c r="O185" s="2"/>
      <x:c r="P185" s="2"/>
      <x:c r="Q185" s="2" t="s">
        <x:v>111</x:v>
      </x:c>
      <x:c r="R185" s="2">
        <x:v>308</x:v>
      </x:c>
      <x:c r="S185" s="2" t="s">
        <x:v>111</x:v>
      </x:c>
      <x:c r="T185" s="2">
        <x:v>20</x:v>
      </x:c>
      <x:c r="U185" s="2">
        <x:v>37</x:v>
      </x:c>
      <x:c r="V185" s="2"/>
      <x:c r="W185" s="2"/>
      <x:c r="X185" s="2" t="s">
        <x:v>251</x:v>
      </x:c>
      <x:c r="Y185" s="2" t="s">
        <x:v>113</x:v>
      </x:c>
      <x:c r="Z185" s="2" t="s">
        <x:v>114</x:v>
      </x:c>
      <x:c r="AA185" s="11" t="n">
        <x:f>IFERROR(VLOOKUP(E185,Harmonization_Rules!$A$2:$B$9,2,FALSE),"")</x:f>
        <x:v>63.546</x:v>
      </x:c>
      <x:c r="AB185" s="2" t="str">
        <x:f t="shared" si="14"/>
        <x:v>ECOTOX_STANDARDIZED_TARGET_METAL</x:v>
      </x:c>
      <x:c r="AC185" s="12">
        <x:f t="shared" si="15"/>
        <x:v>0.308</x:v>
      </x:c>
      <x:c r="AD185" s="12">
        <x:f t="shared" si="16"/>
        <x:v>4.8468825732540211</x:v>
      </x:c>
      <x:c r="AE185" s="12">
        <x:f t="shared" si="17"/>
        <x:v>1.5783357298839873</x:v>
      </x:c>
      <x:c r="AF185" s="2" t="str">
        <x:f t="shared" si="18"/>
        <x:v>HARMONIZED</x:v>
      </x:c>
      <x:c r="AG185" s="2" t="str">
        <x:f>IF(E185="Cr","Cr(VI) chromate/dichromate rows are retained but molar conversion is held until source-specific compound-vs-ion basis is resolved.",IF(D185=2977,"OBrien 1988 reports total dissolved Cu LC233 values in 10^-6 M; the numeric Analysis_Point is therefore treated directly as umol Cu/L.",IF(AND(D185=6825,L185="Formulation"),"Nipper 1993 source check showed the reported concentrations are nominal Zn; formulation coding does not trigger compound-mass conversion.",IF(Y185="PRIMARY_RECOVERED","Source-recovered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85" s="2" t="str">
        <x:f t="shared" si="19"/>
        <x:v>CORE</x:v>
      </x:c>
      <x:c r="AI185" s="2" t="str">
        <x:f t="shared" si="20"/>
        <x:v>YES</x:v>
      </x:c>
    </x:row>
    <x:row r="186" ht="40.5">
      <x:c r="A186" s="2">
        <x:v>1428</x:v>
      </x:c>
      <x:c r="B186" s="2">
        <x:v>1078465</x:v>
      </x:c>
      <x:c r="C186" s="2">
        <x:v>231978</x:v>
      </x:c>
      <x:c r="D186" s="2">
        <x:v>6045</x:v>
      </x:c>
      <x:c r="E186" s="2" t="s">
        <x:v>10</x:v>
      </x:c>
      <x:c r="F186" s="2" t="s">
        <x:v>235</x:v>
      </x:c>
      <x:c r="G186" s="2" t="s">
        <x:v>134</x:v>
      </x:c>
      <x:c r="H186" s="2" t="s">
        <x:v>135</x:v>
      </x:c>
      <x:c r="I186" s="2"/>
      <x:c r="J186" s="2">
        <x:v>1</x:v>
      </x:c>
      <x:c r="K186" s="2" t="s">
        <x:v>117</x:v>
      </x:c>
      <x:c r="L186" s="2" t="s">
        <x:v>110</x:v>
      </x:c>
      <x:c r="M186" s="2"/>
      <x:c r="N186" s="2">
        <x:v>300</x:v>
      </x:c>
      <x:c r="O186" s="2"/>
      <x:c r="P186" s="2"/>
      <x:c r="Q186" s="2" t="s">
        <x:v>195</x:v>
      </x:c>
      <x:c r="R186" s="2">
        <x:v>300</x:v>
      </x:c>
      <x:c r="S186" s="2" t="s">
        <x:v>195</x:v>
      </x:c>
      <x:c r="T186" s="2"/>
      <x:c r="U186" s="2">
        <x:v>36</x:v>
      </x:c>
      <x:c r="V186" s="2"/>
      <x:c r="W186" s="2"/>
      <x:c r="X186" s="2" t="s">
        <x:v>196</x:v>
      </x:c>
      <x:c r="Y186" s="2" t="s">
        <x:v>113</x:v>
      </x:c>
      <x:c r="Z186" s="2" t="s">
        <x:v>114</x:v>
      </x:c>
      <x:c r="AA186" s="11" t="n">
        <x:f>IFERROR(VLOOKUP(E186,Harmonization_Rules!$A$2:$B$9,2,FALSE),"")</x:f>
        <x:v>63.546</x:v>
      </x:c>
      <x:c r="AB186" s="2" t="str">
        <x:f t="shared" si="14"/>
        <x:v>ECOTOX_STANDARDIZED_TARGET_METAL</x:v>
      </x:c>
      <x:c r="AC186" s="12">
        <x:f t="shared" si="15"/>
        <x:v>0.3</x:v>
      </x:c>
      <x:c r="AD186" s="12">
        <x:f t="shared" si="16"/>
        <x:v>4.7209895194032674</x:v>
      </x:c>
      <x:c r="AE186" s="12">
        <x:f t="shared" si="17"/>
        <x:v>1.552018421566614</x:v>
      </x:c>
      <x:c r="AF186" s="2" t="str">
        <x:f t="shared" si="18"/>
        <x:v>HARMONIZED</x:v>
      </x:c>
      <x:c r="AG186" s="2" t="str">
        <x:f>IF(E186="Cr","Cr(VI) chromate/dichromate rows are retained but molar conversion is held until source-specific compound-vs-ion basis is resolved.",IF(D186=2977,"OBrien 1988 reports total dissolved Cu LC234 values in 10^-6 M; the numeric Analysis_Point is therefore treated directly as umol Cu/L.",IF(AND(D186=6825,L186="Formulation"),"Nipper 1993 source check showed the reported concentrations are nominal Zn; formulation coding does not trigger compound-mass conversion.",IF(Y186="PRIMARY_RECOVERED","Source-recovered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86" s="2" t="str">
        <x:f t="shared" si="19"/>
        <x:v>CORE</x:v>
      </x:c>
      <x:c r="AI186" s="2" t="str">
        <x:f t="shared" si="20"/>
        <x:v>YES</x:v>
      </x:c>
    </x:row>
    <x:row r="187" ht="40.5">
      <x:c r="A187" s="2">
        <x:v>1430</x:v>
      </x:c>
      <x:c r="B187" s="2">
        <x:v>2148405</x:v>
      </x:c>
      <x:c r="C187" s="2">
        <x:v>2283209</x:v>
      </x:c>
      <x:c r="D187" s="2">
        <x:v>156333</x:v>
      </x:c>
      <x:c r="E187" s="2" t="s">
        <x:v>10</x:v>
      </x:c>
      <x:c r="F187" s="2" t="s">
        <x:v>235</x:v>
      </x:c>
      <x:c r="G187" s="2" t="s">
        <x:v>129</x:v>
      </x:c>
      <x:c r="H187" s="2" t="s">
        <x:v>107</x:v>
      </x:c>
      <x:c r="I187" s="2" t="s">
        <x:v>108</x:v>
      </x:c>
      <x:c r="J187" s="2">
        <x:v>4</x:v>
      </x:c>
      <x:c r="K187" s="2" t="s">
        <x:v>109</x:v>
      </x:c>
      <x:c r="L187" s="2" t="s">
        <x:v>120</x:v>
      </x:c>
      <x:c r="M187" s="2"/>
      <x:c r="N187" s="2">
        <x:v>350</x:v>
      </x:c>
      <x:c r="O187" s="2"/>
      <x:c r="P187" s="2"/>
      <x:c r="Q187" s="2" t="s">
        <x:v>111</x:v>
      </x:c>
      <x:c r="R187" s="2">
        <x:v>350</x:v>
      </x:c>
      <x:c r="S187" s="2" t="s">
        <x:v>111</x:v>
      </x:c>
      <x:c r="T187" s="2">
        <x:v>21</x:v>
      </x:c>
      <x:c r="U187" s="2">
        <x:v>30</x:v>
      </x:c>
      <x:c r="V187" s="2"/>
      <x:c r="W187" s="2"/>
      <x:c r="X187" s="2" t="s">
        <x:v>243</x:v>
      </x:c>
      <x:c r="Y187" s="2" t="s">
        <x:v>113</x:v>
      </x:c>
      <x:c r="Z187" s="2" t="s">
        <x:v>114</x:v>
      </x:c>
      <x:c r="AA187" s="11" t="n">
        <x:f>IFERROR(VLOOKUP(E187,Harmonization_Rules!$A$2:$B$9,2,FALSE),"")</x:f>
        <x:v>63.546</x:v>
      </x:c>
      <x:c r="AB187" s="2" t="str">
        <x:f t="shared" si="14"/>
        <x:v>ECOTOX_STANDARDIZED_TARGET_METAL</x:v>
      </x:c>
      <x:c r="AC187" s="12">
        <x:f t="shared" si="15"/>
        <x:v>0.35</x:v>
      </x:c>
      <x:c r="AD187" s="12">
        <x:f t="shared" si="16"/>
        <x:v>5.5078211059704785</x:v>
      </x:c>
      <x:c r="AE187" s="12">
        <x:f t="shared" si="17"/>
        <x:v>1.7061691013938722</x:v>
      </x:c>
      <x:c r="AF187" s="2" t="str">
        <x:f t="shared" si="18"/>
        <x:v>HARMONIZED</x:v>
      </x:c>
      <x:c r="AG187" s="2" t="str">
        <x:f>IF(E187="Cr","Cr(VI) chromate/dichromate rows are retained but molar conversion is held until source-specific compound-vs-ion basis is resolved.",IF(D187=2977,"OBrien 1988 reports total dissolved Cu LC235 values in 10^-6 M; the numeric Analysis_Point is therefore treated directly as umol Cu/L.",IF(AND(D187=6825,L187="Formulation"),"Nipper 1993 source check showed the reported concentrations are nominal Zn; formulation coding does not trigger compound-mass conversion.",IF(Y187="PRIMARY_RECOVERED","Source-recovered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87" s="2" t="str">
        <x:f t="shared" si="19"/>
        <x:v>CORE</x:v>
      </x:c>
      <x:c r="AI187" s="2" t="str">
        <x:f t="shared" si="20"/>
        <x:v>YES</x:v>
      </x:c>
    </x:row>
    <x:row r="188" ht="40.5">
      <x:c r="A188" s="2">
        <x:v>1431</x:v>
      </x:c>
      <x:c r="B188" s="2">
        <x:v>2148402</x:v>
      </x:c>
      <x:c r="C188" s="2">
        <x:v>2283207</x:v>
      </x:c>
      <x:c r="D188" s="2">
        <x:v>156333</x:v>
      </x:c>
      <x:c r="E188" s="2" t="s">
        <x:v>10</x:v>
      </x:c>
      <x:c r="F188" s="2" t="s">
        <x:v>235</x:v>
      </x:c>
      <x:c r="G188" s="2" t="s">
        <x:v>129</x:v>
      </x:c>
      <x:c r="H188" s="2" t="s">
        <x:v>107</x:v>
      </x:c>
      <x:c r="I188" s="2" t="s">
        <x:v>108</x:v>
      </x:c>
      <x:c r="J188" s="2">
        <x:v>3</x:v>
      </x:c>
      <x:c r="K188" s="2" t="s">
        <x:v>109</x:v>
      </x:c>
      <x:c r="L188" s="2" t="s">
        <x:v>120</x:v>
      </x:c>
      <x:c r="M188" s="2"/>
      <x:c r="N188" s="2">
        <x:v>323</x:v>
      </x:c>
      <x:c r="O188" s="2"/>
      <x:c r="P188" s="2"/>
      <x:c r="Q188" s="2" t="s">
        <x:v>111</x:v>
      </x:c>
      <x:c r="R188" s="2">
        <x:v>323</x:v>
      </x:c>
      <x:c r="S188" s="2" t="s">
        <x:v>111</x:v>
      </x:c>
      <x:c r="T188" s="2">
        <x:v>21</x:v>
      </x:c>
      <x:c r="U188" s="2">
        <x:v>30</x:v>
      </x:c>
      <x:c r="V188" s="2"/>
      <x:c r="W188" s="2"/>
      <x:c r="X188" s="2" t="s">
        <x:v>243</x:v>
      </x:c>
      <x:c r="Y188" s="2" t="s">
        <x:v>113</x:v>
      </x:c>
      <x:c r="Z188" s="2" t="s">
        <x:v>114</x:v>
      </x:c>
      <x:c r="AA188" s="11" t="n">
        <x:f>IFERROR(VLOOKUP(E188,Harmonization_Rules!$A$2:$B$9,2,FALSE),"")</x:f>
        <x:v>63.546</x:v>
      </x:c>
      <x:c r="AB188" s="2" t="str">
        <x:f t="shared" si="14"/>
        <x:v>ECOTOX_STANDARDIZED_TARGET_METAL</x:v>
      </x:c>
      <x:c r="AC188" s="12">
        <x:f t="shared" si="15"/>
        <x:v>0.32300000000000001</x:v>
      </x:c>
      <x:c r="AD188" s="12">
        <x:f t="shared" si="16"/>
        <x:v>5.0829320492241843</x:v>
      </x:c>
      <x:c r="AE188" s="12">
        <x:f t="shared" si="17"/>
        <x:v>1.6258882701330695</x:v>
      </x:c>
      <x:c r="AF188" s="2" t="str">
        <x:f t="shared" si="18"/>
        <x:v>HARMONIZED</x:v>
      </x:c>
      <x:c r="AG188" s="2" t="str">
        <x:f>IF(E188="Cr","Cr(VI) chromate/dichromate rows are retained but molar conversion is held until source-specific compound-vs-ion basis is resolved.",IF(D188=2977,"OBrien 1988 reports total dissolved Cu LC236 values in 10^-6 M; the numeric Analysis_Point is therefore treated directly as umol Cu/L.",IF(AND(D188=6825,L188="Formulation"),"Nipper 1993 source check showed the reported concentrations are nominal Zn; formulation coding does not trigger compound-mass conversion.",IF(Y188="PRIMARY_RECOVERED","Source-recovered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88" s="2" t="str">
        <x:f t="shared" si="19"/>
        <x:v>CORE</x:v>
      </x:c>
      <x:c r="AI188" s="2" t="str">
        <x:f t="shared" si="20"/>
        <x:v>YES</x:v>
      </x:c>
    </x:row>
    <x:row r="189" ht="67.5">
      <x:c r="A189" s="2">
        <x:v>1433</x:v>
      </x:c>
      <x:c r="B189" s="2">
        <x:v>1205934</x:v>
      </x:c>
      <x:c r="C189" s="2">
        <x:v>171325</x:v>
      </x:c>
      <x:c r="D189" s="2">
        <x:v>18833</x:v>
      </x:c>
      <x:c r="E189" s="2" t="s">
        <x:v>10</x:v>
      </x:c>
      <x:c r="F189" s="2" t="s">
        <x:v>235</x:v>
      </x:c>
      <x:c r="G189" s="2" t="s">
        <x:v>226</x:v>
      </x:c>
      <x:c r="H189" s="2" t="s">
        <x:v>107</x:v>
      </x:c>
      <x:c r="I189" s="2" t="s">
        <x:v>108</x:v>
      </x:c>
      <x:c r="J189" s="2">
        <x:v>4</x:v>
      </x:c>
      <x:c r="K189" s="2" t="s">
        <x:v>126</x:v>
      </x:c>
      <x:c r="L189" s="2" t="s">
        <x:v>110</x:v>
      </x:c>
      <x:c r="M189" s="2"/>
      <x:c r="N189" s="2">
        <x:v>790</x:v>
      </x:c>
      <x:c r="O189" s="2"/>
      <x:c r="P189" s="2"/>
      <x:c r="Q189" s="2" t="s">
        <x:v>111</x:v>
      </x:c>
      <x:c r="R189" s="2">
        <x:v>790</x:v>
      </x:c>
      <x:c r="S189" s="2" t="s">
        <x:v>111</x:v>
      </x:c>
      <x:c r="T189" s="2">
        <x:v>20</x:v>
      </x:c>
      <x:c r="U189" s="2">
        <x:v>37</x:v>
      </x:c>
      <x:c r="V189" s="2"/>
      <x:c r="W189" s="2"/>
      <x:c r="X189" s="2" t="s">
        <x:v>251</x:v>
      </x:c>
      <x:c r="Y189" s="2" t="s">
        <x:v>113</x:v>
      </x:c>
      <x:c r="Z189" s="2" t="s">
        <x:v>114</x:v>
      </x:c>
      <x:c r="AA189" s="11" t="n">
        <x:f>IFERROR(VLOOKUP(E189,Harmonization_Rules!$A$2:$B$9,2,FALSE),"")</x:f>
        <x:v>63.546</x:v>
      </x:c>
      <x:c r="AB189" s="2" t="str">
        <x:f t="shared" si="14"/>
        <x:v>ECOTOX_STANDARDIZED_TARGET_METAL</x:v>
      </x:c>
      <x:c r="AC189" s="12">
        <x:f t="shared" si="15"/>
        <x:v>0.79</x:v>
      </x:c>
      <x:c r="AD189" s="12">
        <x:f t="shared" si="16"/>
        <x:v>12.431939067761936</x:v>
      </x:c>
      <x:c r="AE189" s="12">
        <x:f t="shared" si="17"/>
        <x:v>2.52026889237148</x:v>
      </x:c>
      <x:c r="AF189" s="2" t="str">
        <x:f t="shared" si="18"/>
        <x:v>HARMONIZED</x:v>
      </x:c>
      <x:c r="AG189" s="2" t="str">
        <x:f>IF(E189="Cr","Cr(VI) chromate/dichromate rows are retained but molar conversion is held until source-specific compound-vs-ion basis is resolved.",IF(D189=2977,"OBrien 1988 reports total dissolved Cu LC237 values in 10^-6 M; the numeric Analysis_Point is therefore treated directly as umol Cu/L.",IF(AND(D189=6825,L189="Formulation"),"Nipper 1993 source check showed the reported concentrations are nominal Zn; formulation coding does not trigger compound-mass conversion.",IF(Y189="PRIMARY_RECOVERED","Source-recovered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89" s="2" t="str">
        <x:f t="shared" si="19"/>
        <x:v>CORE</x:v>
      </x:c>
      <x:c r="AI189" s="2" t="str">
        <x:f t="shared" si="20"/>
        <x:v>YES</x:v>
      </x:c>
    </x:row>
    <x:row r="190" ht="54">
      <x:c r="A190" s="2">
        <x:v>1439</x:v>
      </x:c>
      <x:c r="B190" s="2">
        <x:v>1300799</x:v>
      </x:c>
      <x:c r="C190" s="2">
        <x:v>756471</x:v>
      </x:c>
      <x:c r="D190" s="2">
        <x:v>115854</x:v>
      </x:c>
      <x:c r="E190" s="2" t="s">
        <x:v>10</x:v>
      </x:c>
      <x:c r="F190" s="2" t="s">
        <x:v>235</x:v>
      </x:c>
      <x:c r="G190" s="2" t="s">
        <x:v>106</x:v>
      </x:c>
      <x:c r="H190" s="2" t="s">
        <x:v>107</x:v>
      </x:c>
      <x:c r="I190" s="2" t="s">
        <x:v>108</x:v>
      </x:c>
      <x:c r="J190" s="2">
        <x:v>4</x:v>
      </x:c>
      <x:c r="K190" s="2" t="s">
        <x:v>126</x:v>
      </x:c>
      <x:c r="L190" s="2" t="s">
        <x:v>110</x:v>
      </x:c>
      <x:c r="M190" s="2"/>
      <x:c r="N190" s="2"/>
      <x:c r="O190" s="2">
        <x:v>400</x:v>
      </x:c>
      <x:c r="P190" s="2">
        <x:v>600</x:v>
      </x:c>
      <x:c r="Q190" s="2" t="s">
        <x:v>111</x:v>
      </x:c>
      <x:c r="R190" s="2">
        <x:v>0.43065500000000001</x:v>
      </x:c>
      <x:c r="S190" s="2" t="s">
        <x:v>121</x:v>
      </x:c>
      <x:c r="T190" s="2"/>
      <x:c r="U190" s="2"/>
      <x:c r="V190" s="2"/>
      <x:c r="W190" s="2"/>
      <x:c r="X190" s="2" t="s">
        <x:v>112</x:v>
      </x:c>
      <x:c r="Y190" s="2" t="s">
        <x:v>220</x:v>
      </x:c>
      <x:c r="Z190" s="2" t="s">
        <x:v>255</x:v>
      </x:c>
      <x:c r="AA190" s="11" t="n">
        <x:f>IFERROR(VLOOKUP(E190,Harmonization_Rules!$A$2:$B$9,2,FALSE),"")</x:f>
        <x:v>63.546</x:v>
      </x:c>
      <x:c r="AB190" s="2" t="str">
        <x:f t="shared" si="14"/>
        <x:v>SOURCE_RECOVERED_TARGET_METAL</x:v>
      </x:c>
      <x:c r="AC190" s="12">
        <x:f t="shared" si="15"/>
        <x:v>0.43065500000000001</x:v>
      </x:c>
      <x:c r="AD190" s="12">
        <x:f t="shared" si="16"/>
        <x:v>6.7770591382620466</x:v>
      </x:c>
      <x:c r="AE190" s="12">
        <x:f t="shared" si="17"/>
        <x:v>1.9135432524346339</x:v>
      </x:c>
      <x:c r="AF190" s="2" t="str">
        <x:f t="shared" si="18"/>
        <x:v>HARMONIZED</x:v>
      </x:c>
      <x:c r="AG190" s="2" t="str">
        <x:f>IF(E190="Cr","Cr(VI) chromate/dichromate rows are retained but molar conversion is held until source-specific compound-vs-ion basis is resolved.",IF(D190=2977,"OBrien 1988 reports total dissolved Cu LC238 values in 10^-6 M; the numeric Analysis_Point is therefore treated directly as umol Cu/L.",IF(AND(D190=6825,L190="Formulation"),"Nipper 1993 source check showed the reported concentrations are nominal Zn; formulation coding does not trigger compound-mass conversion.",IF(Y190="PRIMARY_RECOVERED","Source-recovered point estimate retained, then converted on the target-metal scale.","ECOTOX standardized concentration used; for metal salts ECOTOX generally expresses concentration as active ionic form."))))</x:f>
        <x:v>Source-recovered point estimate retained, then converted on the target-metal scale.</x:v>
      </x:c>
      <x:c r="AH190" s="2" t="str">
        <x:f t="shared" si="19"/>
        <x:v>CORE</x:v>
      </x:c>
      <x:c r="AI190" s="2" t="str">
        <x:f t="shared" si="20"/>
        <x:v>YES</x:v>
      </x:c>
    </x:row>
    <x:row r="191" ht="54">
      <x:c r="A191" s="2">
        <x:v>1442</x:v>
      </x:c>
      <x:c r="B191" s="2">
        <x:v>1300788</x:v>
      </x:c>
      <x:c r="C191" s="2">
        <x:v>756460</x:v>
      </x:c>
      <x:c r="D191" s="2">
        <x:v>115854</x:v>
      </x:c>
      <x:c r="E191" s="2" t="s">
        <x:v>10</x:v>
      </x:c>
      <x:c r="F191" s="2" t="s">
        <x:v>235</x:v>
      </x:c>
      <x:c r="G191" s="2" t="s">
        <x:v>106</x:v>
      </x:c>
      <x:c r="H191" s="2" t="s">
        <x:v>107</x:v>
      </x:c>
      <x:c r="I191" s="2" t="s">
        <x:v>108</x:v>
      </x:c>
      <x:c r="J191" s="2">
        <x:v>4</x:v>
      </x:c>
      <x:c r="K191" s="2" t="s">
        <x:v>126</x:v>
      </x:c>
      <x:c r="L191" s="2" t="s">
        <x:v>110</x:v>
      </x:c>
      <x:c r="M191" s="2"/>
      <x:c r="N191" s="2">
        <x:v>585</x:v>
      </x:c>
      <x:c r="O191" s="2"/>
      <x:c r="P191" s="2"/>
      <x:c r="Q191" s="2" t="s">
        <x:v>111</x:v>
      </x:c>
      <x:c r="R191" s="2">
        <x:v>585</x:v>
      </x:c>
      <x:c r="S191" s="2" t="s">
        <x:v>111</x:v>
      </x:c>
      <x:c r="T191" s="2"/>
      <x:c r="U191" s="2"/>
      <x:c r="V191" s="2"/>
      <x:c r="W191" s="2"/>
      <x:c r="X191" s="2" t="s">
        <x:v>112</x:v>
      </x:c>
      <x:c r="Y191" s="2" t="s">
        <x:v>113</x:v>
      </x:c>
      <x:c r="Z191" s="2" t="s">
        <x:v>114</x:v>
      </x:c>
      <x:c r="AA191" s="11" t="n">
        <x:f>IFERROR(VLOOKUP(E191,Harmonization_Rules!$A$2:$B$9,2,FALSE),"")</x:f>
        <x:v>63.546</x:v>
      </x:c>
      <x:c r="AB191" s="2" t="str">
        <x:f t="shared" si="14"/>
        <x:v>ECOTOX_STANDARDIZED_TARGET_METAL</x:v>
      </x:c>
      <x:c r="AC191" s="12">
        <x:f t="shared" si="15"/>
        <x:v>0.58499999999999996</x:v>
      </x:c>
      <x:c r="AD191" s="12">
        <x:f t="shared" si="16"/>
        <x:v>9.2059295628363706</x:v>
      </x:c>
      <x:c r="AE191" s="12">
        <x:f t="shared" si="17"/>
        <x:v>2.2198477941422694</x:v>
      </x:c>
      <x:c r="AF191" s="2" t="str">
        <x:f t="shared" si="18"/>
        <x:v>HARMONIZED</x:v>
      </x:c>
      <x:c r="AG191" s="2" t="str">
        <x:f>IF(E191="Cr","Cr(VI) chromate/dichromate rows are retained but molar conversion is held until source-specific compound-vs-ion basis is resolved.",IF(D191=2977,"OBrien 1988 reports total dissolved Cu LC239 values in 10^-6 M; the numeric Analysis_Point is therefore treated directly as umol Cu/L.",IF(AND(D191=6825,L191="Formulation"),"Nipper 1993 source check showed the reported concentrations are nominal Zn; formulation coding does not trigger compound-mass conversion.",IF(Y191="PRIMARY_RECOVERED","Source-recovered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1" s="2" t="str">
        <x:f t="shared" si="19"/>
        <x:v>CORE</x:v>
      </x:c>
      <x:c r="AI191" s="2" t="str">
        <x:f t="shared" si="20"/>
        <x:v>YES</x:v>
      </x:c>
    </x:row>
    <x:row r="192" ht="40.5">
      <x:c r="A192" s="2">
        <x:v>1445</x:v>
      </x:c>
      <x:c r="B192" s="2">
        <x:v>1310606</x:v>
      </x:c>
      <x:c r="C192" s="2">
        <x:v>767787</x:v>
      </x:c>
      <x:c r="D192" s="2">
        <x:v>14474</x:v>
      </x:c>
      <x:c r="E192" s="2" t="s">
        <x:v>10</x:v>
      </x:c>
      <x:c r="F192" s="2" t="s">
        <x:v>235</x:v>
      </x:c>
      <x:c r="G192" s="2" t="s">
        <x:v>141</x:v>
      </x:c>
      <x:c r="H192" s="2" t="s">
        <x:v>135</x:v>
      </x:c>
      <x:c r="I192" s="2"/>
      <x:c r="J192" s="2">
        <x:v>2</x:v>
      </x:c>
      <x:c r="K192" s="2" t="s">
        <x:v>117</x:v>
      </x:c>
      <x:c r="L192" s="2" t="s">
        <x:v>110</x:v>
      </x:c>
      <x:c r="M192" s="2"/>
      <x:c r="N192" s="2">
        <x:v>8.2000000000000003E-2</x:v>
      </x:c>
      <x:c r="O192" s="2"/>
      <x:c r="P192" s="2"/>
      <x:c r="Q192" s="2" t="s">
        <x:v>121</x:v>
      </x:c>
      <x:c r="R192" s="2">
        <x:v>8.2000000000000003E-2</x:v>
      </x:c>
      <x:c r="S192" s="2" t="s">
        <x:v>121</x:v>
      </x:c>
      <x:c r="T192" s="2"/>
      <x:c r="U192" s="2"/>
      <x:c r="V192" s="2"/>
      <x:c r="W192" s="2"/>
      <x:c r="X192" s="2" t="s">
        <x:v>240</x:v>
      </x:c>
      <x:c r="Y192" s="2" t="s">
        <x:v>113</x:v>
      </x:c>
      <x:c r="Z192" s="2" t="s">
        <x:v>114</x:v>
      </x:c>
      <x:c r="AA192" s="11" t="n">
        <x:f>IFERROR(VLOOKUP(E192,Harmonization_Rules!$A$2:$B$9,2,FALSE),"")</x:f>
        <x:v>63.546</x:v>
      </x:c>
      <x:c r="AB192" s="2" t="str">
        <x:f t="shared" si="14"/>
        <x:v>ECOTOX_STANDARDIZED_TARGET_METAL</x:v>
      </x:c>
      <x:c r="AC192" s="12">
        <x:f t="shared" si="15"/>
        <x:v>8.2000000000000003E-2</x:v>
      </x:c>
      <x:c r="AD192" s="12">
        <x:f t="shared" si="16"/>
        <x:v>1.2904038019702264</x:v>
      </x:c>
      <x:c r="AE192" s="12">
        <x:f t="shared" si="17"/>
        <x:v>0.25495519417466606</x:v>
      </x:c>
      <x:c r="AF192" s="2" t="str">
        <x:f t="shared" si="18"/>
        <x:v>HARMONIZED</x:v>
      </x:c>
      <x:c r="AG192" s="2" t="str">
        <x:f>IF(E192="Cr","Cr(VI) chromate/dichromate rows are retained but molar conversion is held until source-specific compound-vs-ion basis is resolved.",IF(D192=2977,"OBrien 1988 reports total dissolved Cu LC240 values in 10^-6 M; the numeric Analysis_Point is therefore treated directly as umol Cu/L.",IF(AND(D192=6825,L192="Formulation"),"Nipper 1993 source check showed the reported concentrations are nominal Zn; formulation coding does not trigger compound-mass conversion.",IF(Y192="PRIMARY_RECOVERED","Source-recovered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2" s="2" t="str">
        <x:f t="shared" si="19"/>
        <x:v>CORE</x:v>
      </x:c>
      <x:c r="AI192" s="2" t="str">
        <x:f t="shared" si="20"/>
        <x:v>YES</x:v>
      </x:c>
    </x:row>
    <x:row r="193" ht="40.5">
      <x:c r="A193" s="2">
        <x:v>1446</x:v>
      </x:c>
      <x:c r="B193" s="2">
        <x:v>2145987</x:v>
      </x:c>
      <x:c r="C193" s="2">
        <x:v>2276128</x:v>
      </x:c>
      <x:c r="D193" s="2">
        <x:v>169694</x:v>
      </x:c>
      <x:c r="E193" s="2" t="s">
        <x:v>10</x:v>
      </x:c>
      <x:c r="F193" s="2" t="s">
        <x:v>235</x:v>
      </x:c>
      <x:c r="G193" s="2" t="s">
        <x:v>106</x:v>
      </x:c>
      <x:c r="H193" s="2" t="s">
        <x:v>107</x:v>
      </x:c>
      <x:c r="I193" s="2" t="s">
        <x:v>108</x:v>
      </x:c>
      <x:c r="J193" s="2">
        <x:v>4</x:v>
      </x:c>
      <x:c r="K193" s="2" t="s">
        <x:v>117</x:v>
      </x:c>
      <x:c r="L193" s="2" t="s">
        <x:v>120</x:v>
      </x:c>
      <x:c r="M193" s="2"/>
      <x:c r="N193" s="2">
        <x:v>32.75</x:v>
      </x:c>
      <x:c r="O193" s="2">
        <x:v>31.85</x:v>
      </x:c>
      <x:c r="P193" s="2">
        <x:v>33.68</x:v>
      </x:c>
      <x:c r="Q193" s="2" t="s">
        <x:v>121</x:v>
      </x:c>
      <x:c r="R193" s="2">
        <x:v>32.75</x:v>
      </x:c>
      <x:c r="S193" s="2" t="s">
        <x:v>121</x:v>
      </x:c>
      <x:c r="T193" s="2">
        <x:v>20</x:v>
      </x:c>
      <x:c r="U193" s="2">
        <x:v>35</x:v>
      </x:c>
      <x:c r="V193" s="2">
        <x:v>8.65</x:v>
      </x:c>
      <x:c r="W193" s="2"/>
      <x:c r="X193" s="2" t="s">
        <x:v>122</x:v>
      </x:c>
      <x:c r="Y193" s="2" t="s">
        <x:v>113</x:v>
      </x:c>
      <x:c r="Z193" s="2" t="s">
        <x:v>114</x:v>
      </x:c>
      <x:c r="AA193" s="11" t="n">
        <x:f>IFERROR(VLOOKUP(E193,Harmonization_Rules!$A$2:$B$9,2,FALSE),"")</x:f>
        <x:v>63.546</x:v>
      </x:c>
      <x:c r="AB193" s="2" t="str">
        <x:f t="shared" si="14"/>
        <x:v>ECOTOX_STANDARDIZED_TARGET_METAL</x:v>
      </x:c>
      <x:c r="AC193" s="12">
        <x:f t="shared" si="15"/>
        <x:v>32.75</x:v>
      </x:c>
      <x:c r="AD193" s="12">
        <x:f t="shared" si="16"/>
        <x:v>515.37468920152332</x:v>
      </x:c>
      <x:c r="AE193" s="12">
        <x:f t="shared" si="17"/>
        <x:v>6.2448941879738111</x:v>
      </x:c>
      <x:c r="AF193" s="2" t="str">
        <x:f t="shared" si="18"/>
        <x:v>HARMONIZED</x:v>
      </x:c>
      <x:c r="AG193" s="2" t="str">
        <x:f>IF(E193="Cr","Cr(VI) chromate/dichromate rows are retained but molar conversion is held until source-specific compound-vs-ion basis is resolved.",IF(D193=2977,"OBrien 1988 reports total dissolved Cu LC241 values in 10^-6 M; the numeric Analysis_Point is therefore treated directly as umol Cu/L.",IF(AND(D193=6825,L193="Formulation"),"Nipper 1993 source check showed the reported concentrations are nominal Zn; formulation coding does not trigger compound-mass conversion.",IF(Y193="PRIMARY_RECOVERED","Source-recovered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3" s="2" t="str">
        <x:f t="shared" si="19"/>
        <x:v>CORE</x:v>
      </x:c>
      <x:c r="AI193" s="2" t="str">
        <x:f t="shared" si="20"/>
        <x:v>YES</x:v>
      </x:c>
    </x:row>
    <x:row r="194" ht="40.5">
      <x:c r="A194" s="2">
        <x:v>1447</x:v>
      </x:c>
      <x:c r="B194" s="2">
        <x:v>2140455</x:v>
      </x:c>
      <x:c r="C194" s="2">
        <x:v>2262926</x:v>
      </x:c>
      <x:c r="D194" s="2">
        <x:v>166160</x:v>
      </x:c>
      <x:c r="E194" s="2" t="s">
        <x:v>10</x:v>
      </x:c>
      <x:c r="F194" s="2" t="s">
        <x:v>235</x:v>
      </x:c>
      <x:c r="G194" s="2" t="s">
        <x:v>106</x:v>
      </x:c>
      <x:c r="H194" s="2" t="s">
        <x:v>107</x:v>
      </x:c>
      <x:c r="I194" s="2" t="s">
        <x:v>108</x:v>
      </x:c>
      <x:c r="J194" s="2">
        <x:v>4</x:v>
      </x:c>
      <x:c r="K194" s="2" t="s">
        <x:v>126</x:v>
      </x:c>
      <x:c r="L194" s="2" t="s">
        <x:v>110</x:v>
      </x:c>
      <x:c r="M194" s="2"/>
      <x:c r="N194" s="2">
        <x:v>330</x:v>
      </x:c>
      <x:c r="O194" s="2">
        <x:v>280</x:v>
      </x:c>
      <x:c r="P194" s="2">
        <x:v>390</x:v>
      </x:c>
      <x:c r="Q194" s="2" t="s">
        <x:v>111</x:v>
      </x:c>
      <x:c r="R194" s="2">
        <x:v>330</x:v>
      </x:c>
      <x:c r="S194" s="2" t="s">
        <x:v>111</x:v>
      </x:c>
      <x:c r="T194" s="2">
        <x:v>25</x:v>
      </x:c>
      <x:c r="U194" s="2">
        <x:v>33</x:v>
      </x:c>
      <x:c r="V194" s="2"/>
      <x:c r="W194" s="2"/>
      <x:c r="X194" s="2" t="s">
        <x:v>257</x:v>
      </x:c>
      <x:c r="Y194" s="2" t="s">
        <x:v>113</x:v>
      </x:c>
      <x:c r="Z194" s="2" t="s">
        <x:v>114</x:v>
      </x:c>
      <x:c r="AA194" s="11" t="n">
        <x:f>IFERROR(VLOOKUP(E194,Harmonization_Rules!$A$2:$B$9,2,FALSE),"")</x:f>
        <x:v>63.546</x:v>
      </x:c>
      <x:c r="AB194" s="2" t="str">
        <x:f t="shared" ref="AB194:AB257" si="21">IF(E194="Cr","PENDING_SOURCE_BASIS",IF(D194=2977,"SOURCE_VERIFIED_MICROMOLAR",IF(AND(D194=6825,L194="Formulation"),"SOURCE_VERIFIED_TARGET_ZN",IF(Y194="PRIMARY_RECOVERED","SOURCE_RECOVERED_TARGET_METAL","ECOTOX_STANDARDIZED_TARGET_METAL"))))</x:f>
        <x:v>ECOTOX_STANDARDIZED_TARGET_METAL</x:v>
      </x:c>
      <x:c r="AC194" s="12" t="n">
        <x:f t="shared" ref="AC194:AC257" si="22">IF(E194="Cr","",IF(D194=2977,R194*AA194/1000,IF(OR(S194="mg/L",S194="ppm"),R194,IF(OR(S194="ug/L",S194="ppb"),R194/1000,IF(S194="nM",R194*AA194/1000000,IF(S194="M",R194*AA194*1000,""))))))</x:f>
        <x:v>0.33</x:v>
      </x:c>
      <x:c r="AD194" s="12" t="n">
        <x:f t="shared" ref="AD194:AD257" si="23">IF(E194="Cr","",IF(D194=2977,R194,IF(S194="nM",R194/1000,IF(AC194&lt;&gt;"",AC194*1000/AA194,""))))</x:f>
        <x:v>5.193088471343594</x:v>
      </x:c>
      <x:c r="AE194" s="12" t="n">
        <x:f t="shared" ref="AE194:AE257" si="24">IF(AND(ISNUMBER(AD194),AD194&gt;0),LN(AD194),"")</x:f>
        <x:v>1.6473286013709387</x:v>
      </x:c>
      <x:c r="AF194" s="2" t="str">
        <x:f t="shared" ref="AF194:AF257" si="25">IF(E194="Cr","PENDING_CR_SOURCE_BASIS",IF(OR(S194="ug/L",S194="mg/L",S194="ppb",S194="ppm",S194="nM",AND(S194="M",D194=2977)),"HARMONIZED","NEEDS_REVIEW"))</x:f>
        <x:v>HARMONIZED</x:v>
      </x:c>
      <x:c r="AG194" s="2" t="str">
        <x:f>IF(E194="Cr","Cr(VI) chromate/dichromate rows are retained but molar conversion is held until source-specific compound-vs-ion basis is resolved.",IF(D194=2977,"OBrien 1988 reports total dissolved Cu LC242 values in 10^-6 M; the numeric Analysis_Point is therefore treated directly as umol Cu/L.",IF(AND(D194=6825,L194="Formulation"),"Nipper 1993 source check showed the reported concentrations are nominal Zn; formulation coding does not trigger compound-mass conversion.",IF(Y194="PRIMARY_RECOVERED","Source-recovered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4" s="2" t="str">
        <x:f t="shared" ref="AH194:AH257" si="26">IF(OR(E194="Cu",E194="Cd",E194="Zn"),"CORE",IF(E194="Ag","SECONDARY",IF(E194="Cr","SECONDARY",IF(E194="Hg","EXPLORATORY","DESCRIPTIVE"))))</x:f>
        <x:v>CORE</x:v>
      </x:c>
      <x:c r="AI194" s="2" t="str">
        <x:f t="shared" ref="AI194:AI257" si="27">IF(AND(AH194="CORE",AF194="HARMONIZED"),"YES","NO")</x:f>
        <x:v>YES</x:v>
      </x:c>
    </x:row>
    <x:row r="195" ht="40.5">
      <x:c r="A195" s="2">
        <x:v>1451</x:v>
      </x:c>
      <x:c r="B195" s="2">
        <x:v>2140455</x:v>
      </x:c>
      <x:c r="C195" s="2">
        <x:v>2262925</x:v>
      </x:c>
      <x:c r="D195" s="2">
        <x:v>166160</x:v>
      </x:c>
      <x:c r="E195" s="2" t="s">
        <x:v>10</x:v>
      </x:c>
      <x:c r="F195" s="2" t="s">
        <x:v>235</x:v>
      </x:c>
      <x:c r="G195" s="2" t="s">
        <x:v>106</x:v>
      </x:c>
      <x:c r="H195" s="2" t="s">
        <x:v>107</x:v>
      </x:c>
      <x:c r="I195" s="2" t="s">
        <x:v>108</x:v>
      </x:c>
      <x:c r="J195" s="2">
        <x:v>3</x:v>
      </x:c>
      <x:c r="K195" s="2" t="s">
        <x:v>126</x:v>
      </x:c>
      <x:c r="L195" s="2" t="s">
        <x:v>110</x:v>
      </x:c>
      <x:c r="M195" s="2"/>
      <x:c r="N195" s="2">
        <x:v>590</x:v>
      </x:c>
      <x:c r="O195" s="2">
        <x:v>510</x:v>
      </x:c>
      <x:c r="P195" s="2">
        <x:v>690</x:v>
      </x:c>
      <x:c r="Q195" s="2" t="s">
        <x:v>111</x:v>
      </x:c>
      <x:c r="R195" s="2">
        <x:v>590</x:v>
      </x:c>
      <x:c r="S195" s="2" t="s">
        <x:v>111</x:v>
      </x:c>
      <x:c r="T195" s="2">
        <x:v>25</x:v>
      </x:c>
      <x:c r="U195" s="2">
        <x:v>33</x:v>
      </x:c>
      <x:c r="V195" s="2"/>
      <x:c r="W195" s="2"/>
      <x:c r="X195" s="2" t="s">
        <x:v>257</x:v>
      </x:c>
      <x:c r="Y195" s="2" t="s">
        <x:v>113</x:v>
      </x:c>
      <x:c r="Z195" s="2" t="s">
        <x:v>114</x:v>
      </x:c>
      <x:c r="AA195" s="11" t="n">
        <x:f>IFERROR(VLOOKUP(E195,Harmonization_Rules!$A$2:$B$9,2,FALSE),"")</x:f>
        <x:v>63.546</x:v>
      </x:c>
      <x:c r="AB195" s="2" t="str">
        <x:f t="shared" si="21"/>
        <x:v>ECOTOX_STANDARDIZED_TARGET_METAL</x:v>
      </x:c>
      <x:c r="AC195" s="12">
        <x:f t="shared" si="22"/>
        <x:v>0.59</x:v>
      </x:c>
      <x:c r="AD195" s="12">
        <x:f t="shared" si="23"/>
        <x:v>9.284612721493092</x:v>
      </x:c>
      <x:c r="AE195" s="12">
        <x:f t="shared" si="24"/>
        <x:v>2.2283584838101782</x:v>
      </x:c>
      <x:c r="AF195" s="2" t="str">
        <x:f t="shared" si="25"/>
        <x:v>HARMONIZED</x:v>
      </x:c>
      <x:c r="AG195" s="2" t="str">
        <x:f>IF(E195="Cr","Cr(VI) chromate/dichromate rows are retained but molar conversion is held until source-specific compound-vs-ion basis is resolved.",IF(D195=2977,"OBrien 1988 reports total dissolved Cu LC243 values in 10^-6 M; the numeric Analysis_Point is therefore treated directly as umol Cu/L.",IF(AND(D195=6825,L195="Formulation"),"Nipper 1993 source check showed the reported concentrations are nominal Zn; formulation coding does not trigger compound-mass conversion.",IF(Y195="PRIMARY_RECOVERED","Source-recovered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5" s="2" t="str">
        <x:f t="shared" si="26"/>
        <x:v>CORE</x:v>
      </x:c>
      <x:c r="AI195" s="2" t="str">
        <x:f t="shared" si="27"/>
        <x:v>YES</x:v>
      </x:c>
    </x:row>
    <x:row r="196" ht="40.5">
      <x:c r="A196" s="2">
        <x:v>1453</x:v>
      </x:c>
      <x:c r="B196" s="2">
        <x:v>2135202</x:v>
      </x:c>
      <x:c r="C196" s="2">
        <x:v>2249959</x:v>
      </x:c>
      <x:c r="D196" s="2">
        <x:v>119554</x:v>
      </x:c>
      <x:c r="E196" s="2" t="s">
        <x:v>10</x:v>
      </x:c>
      <x:c r="F196" s="2" t="s">
        <x:v>235</x:v>
      </x:c>
      <x:c r="G196" s="2" t="s">
        <x:v>132</x:v>
      </x:c>
      <x:c r="H196" s="2" t="s">
        <x:v>107</x:v>
      </x:c>
      <x:c r="I196" s="2" t="s">
        <x:v>253</x:v>
      </x:c>
      <x:c r="J196" s="2">
        <x:v>2</x:v>
      </x:c>
      <x:c r="K196" s="2" t="s">
        <x:v>117</x:v>
      </x:c>
      <x:c r="L196" s="2" t="s">
        <x:v>120</x:v>
      </x:c>
      <x:c r="M196" s="2"/>
      <x:c r="N196" s="2">
        <x:v>256</x:v>
      </x:c>
      <x:c r="O196" s="2"/>
      <x:c r="P196" s="2"/>
      <x:c r="Q196" s="2" t="s">
        <x:v>111</x:v>
      </x:c>
      <x:c r="R196" s="2">
        <x:v>256</x:v>
      </x:c>
      <x:c r="S196" s="2" t="s">
        <x:v>111</x:v>
      </x:c>
      <x:c r="T196" s="2">
        <x:v>20</x:v>
      </x:c>
      <x:c r="U196" s="2">
        <x:v>35</x:v>
      </x:c>
      <x:c r="V196" s="2">
        <x:v>8.1999999999999993</x:v>
      </x:c>
      <x:c r="W196" s="2"/>
      <x:c r="X196" s="2" t="s">
        <x:v>252</x:v>
      </x:c>
      <x:c r="Y196" s="2" t="s">
        <x:v>113</x:v>
      </x:c>
      <x:c r="Z196" s="2" t="s">
        <x:v>114</x:v>
      </x:c>
      <x:c r="AA196" s="11" t="n">
        <x:f>IFERROR(VLOOKUP(E196,Harmonization_Rules!$A$2:$B$9,2,FALSE),"")</x:f>
        <x:v>63.546</x:v>
      </x:c>
      <x:c r="AB196" s="2" t="str">
        <x:f t="shared" si="21"/>
        <x:v>ECOTOX_STANDARDIZED_TARGET_METAL</x:v>
      </x:c>
      <x:c r="AC196" s="12">
        <x:f t="shared" si="22"/>
        <x:v>0.25600000000000001</x:v>
      </x:c>
      <x:c r="AD196" s="12">
        <x:f t="shared" si="23"/>
        <x:v>4.0285777232241209</x:v>
      </x:c>
      <x:c r="AE196" s="12">
        <x:f t="shared" si="24"/>
        <x:v>1.3934133913899753</x:v>
      </x:c>
      <x:c r="AF196" s="2" t="str">
        <x:f t="shared" si="25"/>
        <x:v>HARMONIZED</x:v>
      </x:c>
      <x:c r="AG196" s="2" t="str">
        <x:f>IF(E196="Cr","Cr(VI) chromate/dichromate rows are retained but molar conversion is held until source-specific compound-vs-ion basis is resolved.",IF(D196=2977,"OBrien 1988 reports total dissolved Cu LC244 values in 10^-6 M; the numeric Analysis_Point is therefore treated directly as umol Cu/L.",IF(AND(D196=6825,L196="Formulation"),"Nipper 1993 source check showed the reported concentrations are nominal Zn; formulation coding does not trigger compound-mass conversion.",IF(Y196="PRIMARY_RECOVERED","Source-recovered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6" s="2" t="str">
        <x:f t="shared" si="26"/>
        <x:v>CORE</x:v>
      </x:c>
      <x:c r="AI196" s="2" t="str">
        <x:f t="shared" si="27"/>
        <x:v>YES</x:v>
      </x:c>
    </x:row>
    <x:row r="197" ht="40.5">
      <x:c r="A197" s="2">
        <x:v>1475</x:v>
      </x:c>
      <x:c r="B197" s="2">
        <x:v>1053588</x:v>
      </x:c>
      <x:c r="C197" s="2">
        <x:v>126384</x:v>
      </x:c>
      <x:c r="D197" s="2">
        <x:v>3740</x:v>
      </x:c>
      <x:c r="E197" s="2" t="s">
        <x:v>27</x:v>
      </x:c>
      <x:c r="F197" s="2" t="s">
        <x:v>258</x:v>
      </x:c>
      <x:c r="G197" s="2" t="s">
        <x:v>134</x:v>
      </x:c>
      <x:c r="H197" s="2" t="s">
        <x:v>135</x:v>
      </x:c>
      <x:c r="I197" s="2"/>
      <x:c r="J197" s="2">
        <x:v>4</x:v>
      </x:c>
      <x:c r="K197" s="2" t="s">
        <x:v>117</x:v>
      </x:c>
      <x:c r="L197" s="2" t="s">
        <x:v>110</x:v>
      </x:c>
      <x:c r="M197" s="2"/>
      <x:c r="N197" s="2">
        <x:v>30.9</x:v>
      </x:c>
      <x:c r="O197" s="2">
        <x:v>22.3</x:v>
      </x:c>
      <x:c r="P197" s="2">
        <x:v>46.7</x:v>
      </x:c>
      <x:c r="Q197" s="2" t="s">
        <x:v>111</x:v>
      </x:c>
      <x:c r="R197" s="2">
        <x:v>30.9</x:v>
      </x:c>
      <x:c r="S197" s="2" t="s">
        <x:v>111</x:v>
      </x:c>
      <x:c r="T197" s="2">
        <x:v>22</x:v>
      </x:c>
      <x:c r="U197" s="2">
        <x:v>28</x:v>
      </x:c>
      <x:c r="V197" s="2"/>
      <x:c r="W197" s="2"/>
      <x:c r="X197" s="2" t="s">
        <x:v>259</x:v>
      </x:c>
      <x:c r="Y197" s="2" t="s">
        <x:v>113</x:v>
      </x:c>
      <x:c r="Z197" s="2" t="s">
        <x:v>114</x:v>
      </x:c>
      <x:c r="AA197" s="11" t="n">
        <x:f>IFERROR(VLOOKUP(E197,Harmonization_Rules!$A$2:$B$9,2,FALSE),"")</x:f>
        <x:v>107.8682</x:v>
      </x:c>
      <x:c r="AB197" s="2" t="str">
        <x:f t="shared" si="21"/>
        <x:v>ECOTOX_STANDARDIZED_TARGET_METAL</x:v>
      </x:c>
      <x:c r="AC197" s="12">
        <x:f t="shared" si="22"/>
        <x:v>3.0899999999999997E-2</x:v>
      </x:c>
      <x:c r="AD197" s="12">
        <x:f t="shared" si="23"/>
        <x:v>0.28646069926076451</x:v>
      </x:c>
      <x:c r="AE197" s="12">
        <x:f t="shared" si="24"/>
        <x:v>-1.2501539275918401</x:v>
      </x:c>
      <x:c r="AF197" s="2" t="str">
        <x:f t="shared" si="25"/>
        <x:v>HARMONIZED</x:v>
      </x:c>
      <x:c r="AG197" s="2" t="str">
        <x:f>IF(E197="Cr","Cr(VI) chromate/dichromate rows are retained but molar conversion is held until source-specific compound-vs-ion basis is resolved.",IF(D197=2977,"OBrien 1988 reports total dissolved Cu LC245 values in 10^-6 M; the numeric Analysis_Point is therefore treated directly as umol Cu/L.",IF(AND(D197=6825,L197="Formulation"),"Nipper 1993 source check showed the reported concentrations are nominal Zn; formulation coding does not trigger compound-mass conversion.",IF(Y197="PRIMARY_RECOVERED","Source-recovered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7" s="2" t="str">
        <x:f t="shared" si="26"/>
        <x:v>SECONDARY</x:v>
      </x:c>
      <x:c r="AI197" s="2" t="str">
        <x:f t="shared" si="27"/>
        <x:v>NO</x:v>
      </x:c>
    </x:row>
    <x:row r="198" ht="40.5">
      <x:c r="A198" s="2">
        <x:v>1478</x:v>
      </x:c>
      <x:c r="B198" s="2">
        <x:v>1053718</x:v>
      </x:c>
      <x:c r="C198" s="2">
        <x:v>194909</x:v>
      </x:c>
      <x:c r="D198" s="2">
        <x:v>3751</x:v>
      </x:c>
      <x:c r="E198" s="2" t="s">
        <x:v>27</x:v>
      </x:c>
      <x:c r="F198" s="2" t="s">
        <x:v>258</x:v>
      </x:c>
      <x:c r="G198" s="2" t="s">
        <x:v>134</x:v>
      </x:c>
      <x:c r="H198" s="2" t="s">
        <x:v>135</x:v>
      </x:c>
      <x:c r="I198" s="2" t="s">
        <x:v>108</x:v>
      </x:c>
      <x:c r="J198" s="2">
        <x:v>4</x:v>
      </x:c>
      <x:c r="K198" s="2" t="s">
        <x:v>117</x:v>
      </x:c>
      <x:c r="L198" s="2" t="s">
        <x:v>110</x:v>
      </x:c>
      <x:c r="M198" s="2"/>
      <x:c r="N198" s="2">
        <x:v>36.299999999999997</x:v>
      </x:c>
      <x:c r="O198" s="2">
        <x:v>21.8</x:v>
      </x:c>
      <x:c r="P198" s="2">
        <x:v>102</x:v>
      </x:c>
      <x:c r="Q198" s="2" t="s">
        <x:v>111</x:v>
      </x:c>
      <x:c r="R198" s="2">
        <x:v>36.299999999999997</x:v>
      </x:c>
      <x:c r="S198" s="2" t="s">
        <x:v>111</x:v>
      </x:c>
      <x:c r="T198" s="2">
        <x:v>20</x:v>
      </x:c>
      <x:c r="U198" s="2">
        <x:v>30</x:v>
      </x:c>
      <x:c r="V198" s="2"/>
      <x:c r="W198" s="2"/>
      <x:c r="X198" s="2" t="s">
        <x:v>143</x:v>
      </x:c>
      <x:c r="Y198" s="2" t="s">
        <x:v>113</x:v>
      </x:c>
      <x:c r="Z198" s="2" t="s">
        <x:v>114</x:v>
      </x:c>
      <x:c r="AA198" s="11" t="n">
        <x:f>IFERROR(VLOOKUP(E198,Harmonization_Rules!$A$2:$B$9,2,FALSE),"")</x:f>
        <x:v>107.8682</x:v>
      </x:c>
      <x:c r="AB198" s="2" t="str">
        <x:f t="shared" si="21"/>
        <x:v>ECOTOX_STANDARDIZED_TARGET_METAL</x:v>
      </x:c>
      <x:c r="AC198" s="12">
        <x:f t="shared" si="22"/>
        <x:v>3.6299999999999999E-2</x:v>
      </x:c>
      <x:c r="AD198" s="12">
        <x:f t="shared" si="23"/>
        <x:v>0.3365217923354612</x:v>
      </x:c>
      <x:c r="AE198" s="12">
        <x:f t="shared" si="24"/>
        <x:v>-1.0890923702247348</x:v>
      </x:c>
      <x:c r="AF198" s="2" t="str">
        <x:f t="shared" si="25"/>
        <x:v>HARMONIZED</x:v>
      </x:c>
      <x:c r="AG198" s="2" t="str">
        <x:f>IF(E198="Cr","Cr(VI) chromate/dichromate rows are retained but molar conversion is held until source-specific compound-vs-ion basis is resolved.",IF(D198=2977,"OBrien 1988 reports total dissolved Cu LC246 values in 10^-6 M; the numeric Analysis_Point is therefore treated directly as umol Cu/L.",IF(AND(D198=6825,L198="Formulation"),"Nipper 1993 source check showed the reported concentrations are nominal Zn; formulation coding does not trigger compound-mass conversion.",IF(Y198="PRIMARY_RECOVERED","Source-recovered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8" s="2" t="str">
        <x:f t="shared" si="26"/>
        <x:v>SECONDARY</x:v>
      </x:c>
      <x:c r="AI198" s="2" t="str">
        <x:f t="shared" si="27"/>
        <x:v>NO</x:v>
      </x:c>
    </x:row>
    <x:row r="199" ht="40.5">
      <x:c r="A199" s="2">
        <x:v>1479</x:v>
      </x:c>
      <x:c r="B199" s="2">
        <x:v>1054942</x:v>
      </x:c>
      <x:c r="C199" s="2">
        <x:v>134343</x:v>
      </x:c>
      <x:c r="D199" s="2">
        <x:v>3825</x:v>
      </x:c>
      <x:c r="E199" s="2" t="s">
        <x:v>27</x:v>
      </x:c>
      <x:c r="F199" s="2" t="s">
        <x:v>258</x:v>
      </x:c>
      <x:c r="G199" s="2" t="s">
        <x:v>141</x:v>
      </x:c>
      <x:c r="H199" s="2" t="s">
        <x:v>135</x:v>
      </x:c>
      <x:c r="I199" s="2" t="s">
        <x:v>108</x:v>
      </x:c>
      <x:c r="J199" s="2">
        <x:v>4</x:v>
      </x:c>
      <x:c r="K199" s="2" t="s">
        <x:v>117</x:v>
      </x:c>
      <x:c r="L199" s="2" t="s">
        <x:v>110</x:v>
      </x:c>
      <x:c r="M199" s="2"/>
      <x:c r="N199" s="2">
        <x:v>43</x:v>
      </x:c>
      <x:c r="O199" s="2"/>
      <x:c r="P199" s="2"/>
      <x:c r="Q199" s="2" t="s">
        <x:v>111</x:v>
      </x:c>
      <x:c r="R199" s="2">
        <x:v>43</x:v>
      </x:c>
      <x:c r="S199" s="2" t="s">
        <x:v>111</x:v>
      </x:c>
      <x:c r="T199" s="2">
        <x:v>8</x:v>
      </x:c>
      <x:c r="U199" s="2">
        <x:v>30</x:v>
      </x:c>
      <x:c r="V199" s="2"/>
      <x:c r="W199" s="2"/>
      <x:c r="X199" s="2" t="s">
        <x:v>142</x:v>
      </x:c>
      <x:c r="Y199" s="2" t="s">
        <x:v>113</x:v>
      </x:c>
      <x:c r="Z199" s="2" t="s">
        <x:v>114</x:v>
      </x:c>
      <x:c r="AA199" s="11" t="n">
        <x:f>IFERROR(VLOOKUP(E199,Harmonization_Rules!$A$2:$B$9,2,FALSE),"")</x:f>
        <x:v>107.8682</x:v>
      </x:c>
      <x:c r="AB199" s="2" t="str">
        <x:f t="shared" si="21"/>
        <x:v>ECOTOX_STANDARDIZED_TARGET_METAL</x:v>
      </x:c>
      <x:c r="AC199" s="12">
        <x:f t="shared" si="22"/>
        <x:v>4.2999999999999997E-2</x:v>
      </x:c>
      <x:c r="AD199" s="12">
        <x:f t="shared" si="23"/>
        <x:v>0.39863463003925159</x:v>
      </x:c>
      <x:c r="AE199" s="12">
        <x:f t="shared" si="24"/>
        <x:v>-0.91970999580197732</x:v>
      </x:c>
      <x:c r="AF199" s="2" t="str">
        <x:f t="shared" si="25"/>
        <x:v>HARMONIZED</x:v>
      </x:c>
      <x:c r="AG199" s="2" t="str">
        <x:f>IF(E199="Cr","Cr(VI) chromate/dichromate rows are retained but molar conversion is held until source-specific compound-vs-ion basis is resolved.",IF(D199=2977,"OBrien 1988 reports total dissolved Cu LC247 values in 10^-6 M; the numeric Analysis_Point is therefore treated directly as umol Cu/L.",IF(AND(D199=6825,L199="Formulation"),"Nipper 1993 source check showed the reported concentrations are nominal Zn; formulation coding does not trigger compound-mass conversion.",IF(Y199="PRIMARY_RECOVERED","Source-recovered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199" s="2" t="str">
        <x:f t="shared" si="26"/>
        <x:v>SECONDARY</x:v>
      </x:c>
      <x:c r="AI199" s="2" t="str">
        <x:f t="shared" si="27"/>
        <x:v>NO</x:v>
      </x:c>
    </x:row>
    <x:row r="200" ht="67.5">
      <x:c r="A200" s="2">
        <x:v>1485</x:v>
      </x:c>
      <x:c r="B200" s="2">
        <x:v>1205927</x:v>
      </x:c>
      <x:c r="C200" s="2">
        <x:v>171318</x:v>
      </x:c>
      <x:c r="D200" s="2">
        <x:v>18833</x:v>
      </x:c>
      <x:c r="E200" s="2" t="s">
        <x:v>27</x:v>
      </x:c>
      <x:c r="F200" s="2" t="s">
        <x:v>258</x:v>
      </x:c>
      <x:c r="G200" s="2" t="s">
        <x:v>226</x:v>
      </x:c>
      <x:c r="H200" s="2" t="s">
        <x:v>107</x:v>
      </x:c>
      <x:c r="I200" s="2" t="s">
        <x:v>173</x:v>
      </x:c>
      <x:c r="J200" s="2">
        <x:v>4</x:v>
      </x:c>
      <x:c r="K200" s="2" t="s">
        <x:v>126</x:v>
      </x:c>
      <x:c r="L200" s="2" t="s">
        <x:v>110</x:v>
      </x:c>
      <x:c r="M200" s="2"/>
      <x:c r="N200" s="2">
        <x:v>55.66</x:v>
      </x:c>
      <x:c r="O200" s="2"/>
      <x:c r="P200" s="2"/>
      <x:c r="Q200" s="2" t="s">
        <x:v>111</x:v>
      </x:c>
      <x:c r="R200" s="2">
        <x:v>55.66</x:v>
      </x:c>
      <x:c r="S200" s="2" t="s">
        <x:v>111</x:v>
      </x:c>
      <x:c r="T200" s="2">
        <x:v>20</x:v>
      </x:c>
      <x:c r="U200" s="2">
        <x:v>37</x:v>
      </x:c>
      <x:c r="V200" s="2"/>
      <x:c r="W200" s="2"/>
      <x:c r="X200" s="2" t="s">
        <x:v>251</x:v>
      </x:c>
      <x:c r="Y200" s="2" t="s">
        <x:v>113</x:v>
      </x:c>
      <x:c r="Z200" s="2" t="s">
        <x:v>114</x:v>
      </x:c>
      <x:c r="AA200" s="11" t="n">
        <x:f>IFERROR(VLOOKUP(E200,Harmonization_Rules!$A$2:$B$9,2,FALSE),"")</x:f>
        <x:v>107.8682</x:v>
      </x:c>
      <x:c r="AB200" s="2" t="str">
        <x:f t="shared" si="21"/>
        <x:v>ECOTOX_STANDARDIZED_TARGET_METAL</x:v>
      </x:c>
      <x:c r="AC200" s="12">
        <x:f t="shared" si="22"/>
        <x:v>5.5659999999999994E-2</x:v>
      </x:c>
      <x:c r="AD200" s="12">
        <x:f t="shared" si="23"/>
        <x:v>0.51600008158104049</x:v>
      </x:c>
      <x:c r="AE200" s="12">
        <x:f t="shared" si="24"/>
        <x:v>-0.66164835539779521</x:v>
      </x:c>
      <x:c r="AF200" s="2" t="str">
        <x:f t="shared" si="25"/>
        <x:v>HARMONIZED</x:v>
      </x:c>
      <x:c r="AG200" s="2" t="str">
        <x:f>IF(E200="Cr","Cr(VI) chromate/dichromate rows are retained but molar conversion is held until source-specific compound-vs-ion basis is resolved.",IF(D200=2977,"OBrien 1988 reports total dissolved Cu LC248 values in 10^-6 M; the numeric Analysis_Point is therefore treated directly as umol Cu/L.",IF(AND(D200=6825,L200="Formulation"),"Nipper 1993 source check showed the reported concentrations are nominal Zn; formulation coding does not trigger compound-mass conversion.",IF(Y200="PRIMARY_RECOVERED","Source-recovered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0" s="2" t="str">
        <x:f t="shared" si="26"/>
        <x:v>SECONDARY</x:v>
      </x:c>
      <x:c r="AI200" s="2" t="str">
        <x:f t="shared" si="27"/>
        <x:v>NO</x:v>
      </x:c>
    </x:row>
    <x:row r="201" ht="67.5">
      <x:c r="A201" s="2">
        <x:v>1491</x:v>
      </x:c>
      <x:c r="B201" s="2">
        <x:v>1205928</x:v>
      </x:c>
      <x:c r="C201" s="2">
        <x:v>171319</x:v>
      </x:c>
      <x:c r="D201" s="2">
        <x:v>18833</x:v>
      </x:c>
      <x:c r="E201" s="2" t="s">
        <x:v>27</x:v>
      </x:c>
      <x:c r="F201" s="2" t="s">
        <x:v>258</x:v>
      </x:c>
      <x:c r="G201" s="2" t="s">
        <x:v>226</x:v>
      </x:c>
      <x:c r="H201" s="2" t="s">
        <x:v>107</x:v>
      </x:c>
      <x:c r="I201" s="2" t="s">
        <x:v>108</x:v>
      </x:c>
      <x:c r="J201" s="2">
        <x:v>4</x:v>
      </x:c>
      <x:c r="K201" s="2" t="s">
        <x:v>126</x:v>
      </x:c>
      <x:c r="L201" s="2" t="s">
        <x:v>110</x:v>
      </x:c>
      <x:c r="M201" s="2"/>
      <x:c r="N201" s="2">
        <x:v>120.81</x:v>
      </x:c>
      <x:c r="O201" s="2"/>
      <x:c r="P201" s="2"/>
      <x:c r="Q201" s="2" t="s">
        <x:v>111</x:v>
      </x:c>
      <x:c r="R201" s="2">
        <x:v>120.81</x:v>
      </x:c>
      <x:c r="S201" s="2" t="s">
        <x:v>111</x:v>
      </x:c>
      <x:c r="T201" s="2">
        <x:v>20</x:v>
      </x:c>
      <x:c r="U201" s="2">
        <x:v>37</x:v>
      </x:c>
      <x:c r="V201" s="2"/>
      <x:c r="W201" s="2"/>
      <x:c r="X201" s="2" t="s">
        <x:v>251</x:v>
      </x:c>
      <x:c r="Y201" s="2" t="s">
        <x:v>113</x:v>
      </x:c>
      <x:c r="Z201" s="2" t="s">
        <x:v>114</x:v>
      </x:c>
      <x:c r="AA201" s="11" t="n">
        <x:f>IFERROR(VLOOKUP(E201,Harmonization_Rules!$A$2:$B$9,2,FALSE),"")</x:f>
        <x:v>107.8682</x:v>
      </x:c>
      <x:c r="AB201" s="2" t="str">
        <x:f t="shared" si="21"/>
        <x:v>ECOTOX_STANDARDIZED_TARGET_METAL</x:v>
      </x:c>
      <x:c r="AC201" s="12">
        <x:f t="shared" si="22"/>
        <x:v>0.12081</x:v>
      </x:c>
      <x:c r="AD201" s="12">
        <x:f t="shared" si="23"/>
        <x:v>1.1199778989544649</x:v>
      </x:c>
      <x:c r="AE201" s="12">
        <x:f t="shared" si="24"/>
        <x:v>0.1133089520359328</x:v>
      </x:c>
      <x:c r="AF201" s="2" t="str">
        <x:f t="shared" si="25"/>
        <x:v>HARMONIZED</x:v>
      </x:c>
      <x:c r="AG201" s="2" t="str">
        <x:f>IF(E201="Cr","Cr(VI) chromate/dichromate rows are retained but molar conversion is held until source-specific compound-vs-ion basis is resolved.",IF(D201=2977,"OBrien 1988 reports total dissolved Cu LC249 values in 10^-6 M; the numeric Analysis_Point is therefore treated directly as umol Cu/L.",IF(AND(D201=6825,L201="Formulation"),"Nipper 1993 source check showed the reported concentrations are nominal Zn; formulation coding does not trigger compound-mass conversion.",IF(Y201="PRIMARY_RECOVERED","Source-recovered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1" s="2" t="str">
        <x:f t="shared" si="26"/>
        <x:v>SECONDARY</x:v>
      </x:c>
      <x:c r="AI201" s="2" t="str">
        <x:f t="shared" si="27"/>
        <x:v>NO</x:v>
      </x:c>
    </x:row>
    <x:row r="202" ht="67.5">
      <x:c r="A202" s="2">
        <x:v>1493</x:v>
      </x:c>
      <x:c r="B202" s="2">
        <x:v>1205926</x:v>
      </x:c>
      <x:c r="C202" s="2">
        <x:v>171317</x:v>
      </x:c>
      <x:c r="D202" s="2">
        <x:v>18833</x:v>
      </x:c>
      <x:c r="E202" s="2" t="s">
        <x:v>27</x:v>
      </x:c>
      <x:c r="F202" s="2" t="s">
        <x:v>258</x:v>
      </x:c>
      <x:c r="G202" s="2" t="s">
        <x:v>226</x:v>
      </x:c>
      <x:c r="H202" s="2" t="s">
        <x:v>107</x:v>
      </x:c>
      <x:c r="I202" s="2" t="s">
        <x:v>125</x:v>
      </x:c>
      <x:c r="J202" s="2">
        <x:v>4</x:v>
      </x:c>
      <x:c r="K202" s="2" t="s">
        <x:v>126</x:v>
      </x:c>
      <x:c r="L202" s="2" t="s">
        <x:v>110</x:v>
      </x:c>
      <x:c r="M202" s="2"/>
      <x:c r="N202" s="2">
        <x:v>36.369999999999997</x:v>
      </x:c>
      <x:c r="O202" s="2"/>
      <x:c r="P202" s="2"/>
      <x:c r="Q202" s="2" t="s">
        <x:v>111</x:v>
      </x:c>
      <x:c r="R202" s="2">
        <x:v>36.369999999999997</x:v>
      </x:c>
      <x:c r="S202" s="2" t="s">
        <x:v>111</x:v>
      </x:c>
      <x:c r="T202" s="2">
        <x:v>20</x:v>
      </x:c>
      <x:c r="U202" s="2">
        <x:v>37</x:v>
      </x:c>
      <x:c r="V202" s="2"/>
      <x:c r="W202" s="2"/>
      <x:c r="X202" s="2" t="s">
        <x:v>251</x:v>
      </x:c>
      <x:c r="Y202" s="2" t="s">
        <x:v>113</x:v>
      </x:c>
      <x:c r="Z202" s="2" t="s">
        <x:v>114</x:v>
      </x:c>
      <x:c r="AA202" s="11" t="n">
        <x:f>IFERROR(VLOOKUP(E202,Harmonization_Rules!$A$2:$B$9,2,FALSE),"")</x:f>
        <x:v>107.8682</x:v>
      </x:c>
      <x:c r="AB202" s="2" t="str">
        <x:f t="shared" si="21"/>
        <x:v>ECOTOX_STANDARDIZED_TARGET_METAL</x:v>
      </x:c>
      <x:c r="AC202" s="12">
        <x:f t="shared" si="22"/>
        <x:v>3.637E-2</x:v>
      </x:c>
      <x:c r="AD202" s="12">
        <x:f t="shared" si="23"/>
        <x:v>0.33717073243087392</x:v>
      </x:c>
      <x:c r="AE202" s="12">
        <x:f t="shared" si="24"/>
        <x:v>-1.0871658524966423</x:v>
      </x:c>
      <x:c r="AF202" s="2" t="str">
        <x:f t="shared" si="25"/>
        <x:v>HARMONIZED</x:v>
      </x:c>
      <x:c r="AG202" s="2" t="str">
        <x:f>IF(E202="Cr","Cr(VI) chromate/dichromate rows are retained but molar conversion is held until source-specific compound-vs-ion basis is resolved.",IF(D202=2977,"OBrien 1988 reports total dissolved Cu LC250 values in 10^-6 M; the numeric Analysis_Point is therefore treated directly as umol Cu/L.",IF(AND(D202=6825,L202="Formulation"),"Nipper 1993 source check showed the reported concentrations are nominal Zn; formulation coding does not trigger compound-mass conversion.",IF(Y202="PRIMARY_RECOVERED","Source-recovered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2" s="2" t="str">
        <x:f t="shared" si="26"/>
        <x:v>SECONDARY</x:v>
      </x:c>
      <x:c r="AI202" s="2" t="str">
        <x:f t="shared" si="27"/>
        <x:v>NO</x:v>
      </x:c>
    </x:row>
    <x:row r="203" ht="54">
      <x:c r="A203" s="2">
        <x:v>1495</x:v>
      </x:c>
      <x:c r="B203" s="2">
        <x:v>1285255</x:v>
      </x:c>
      <x:c r="C203" s="2">
        <x:v>739335</x:v>
      </x:c>
      <x:c r="D203" s="2">
        <x:v>76315</x:v>
      </x:c>
      <x:c r="E203" s="2" t="s">
        <x:v>27</x:v>
      </x:c>
      <x:c r="F203" s="2" t="s">
        <x:v>258</x:v>
      </x:c>
      <x:c r="G203" s="2" t="s">
        <x:v>226</x:v>
      </x:c>
      <x:c r="H203" s="2" t="s">
        <x:v>107</x:v>
      </x:c>
      <x:c r="I203" s="2" t="s">
        <x:v>108</x:v>
      </x:c>
      <x:c r="J203" s="2">
        <x:v>4</x:v>
      </x:c>
      <x:c r="K203" s="2" t="s">
        <x:v>126</x:v>
      </x:c>
      <x:c r="L203" s="2" t="s">
        <x:v>110</x:v>
      </x:c>
      <x:c r="M203" s="2"/>
      <x:c r="N203" s="2">
        <x:v>95</x:v>
      </x:c>
      <x:c r="O203" s="2"/>
      <x:c r="P203" s="2"/>
      <x:c r="Q203" s="2" t="s">
        <x:v>111</x:v>
      </x:c>
      <x:c r="R203" s="2">
        <x:v>95</x:v>
      </x:c>
      <x:c r="S203" s="2" t="s">
        <x:v>111</x:v>
      </x:c>
      <x:c r="T203" s="2">
        <x:v>20</x:v>
      </x:c>
      <x:c r="U203" s="2">
        <x:v>34.5</x:v>
      </x:c>
      <x:c r="V203" s="2">
        <x:v>8.1999999999999993</x:v>
      </x:c>
      <x:c r="W203" s="2"/>
      <x:c r="X203" s="2" t="s">
        <x:v>261</x:v>
      </x:c>
      <x:c r="Y203" s="2" t="s">
        <x:v>113</x:v>
      </x:c>
      <x:c r="Z203" s="2" t="s">
        <x:v>114</x:v>
      </x:c>
      <x:c r="AA203" s="11" t="n">
        <x:f>IFERROR(VLOOKUP(E203,Harmonization_Rules!$A$2:$B$9,2,FALSE),"")</x:f>
        <x:v>107.8682</x:v>
      </x:c>
      <x:c r="AB203" s="2" t="str">
        <x:f t="shared" si="21"/>
        <x:v>ECOTOX_STANDARDIZED_TARGET_METAL</x:v>
      </x:c>
      <x:c r="AC203" s="12">
        <x:f t="shared" si="22"/>
        <x:v>9.5000000000000001E-2</x:v>
      </x:c>
      <x:c r="AD203" s="12">
        <x:f t="shared" si="23"/>
        <x:v>0.88070441520299769</x:v>
      </x:c>
      <x:c r="AE203" s="12">
        <x:f t="shared" si="24"/>
        <x:v>-0.12703321989499897</x:v>
      </x:c>
      <x:c r="AF203" s="2" t="str">
        <x:f t="shared" si="25"/>
        <x:v>HARMONIZED</x:v>
      </x:c>
      <x:c r="AG203" s="2" t="str">
        <x:f>IF(E203="Cr","Cr(VI) chromate/dichromate rows are retained but molar conversion is held until source-specific compound-vs-ion basis is resolved.",IF(D203=2977,"OBrien 1988 reports total dissolved Cu LC251 values in 10^-6 M; the numeric Analysis_Point is therefore treated directly as umol Cu/L.",IF(AND(D203=6825,L203="Formulation"),"Nipper 1993 source check showed the reported concentrations are nominal Zn; formulation coding does not trigger compound-mass conversion.",IF(Y203="PRIMARY_RECOVERED","Source-recovered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3" s="2" t="str">
        <x:f t="shared" si="26"/>
        <x:v>SECONDARY</x:v>
      </x:c>
      <x:c r="AI203" s="2" t="str">
        <x:f t="shared" si="27"/>
        <x:v>NO</x:v>
      </x:c>
    </x:row>
    <x:row r="204" ht="40.5">
      <x:c r="A204" s="2">
        <x:v>1497</x:v>
      </x:c>
      <x:c r="B204" s="2">
        <x:v>1054943</x:v>
      </x:c>
      <x:c r="C204" s="2">
        <x:v>134344</x:v>
      </x:c>
      <x:c r="D204" s="2">
        <x:v>3825</x:v>
      </x:c>
      <x:c r="E204" s="2" t="s">
        <x:v>27</x:v>
      </x:c>
      <x:c r="F204" s="2" t="s">
        <x:v>258</x:v>
      </x:c>
      <x:c r="G204" s="2" t="s">
        <x:v>134</x:v>
      </x:c>
      <x:c r="H204" s="2" t="s">
        <x:v>135</x:v>
      </x:c>
      <x:c r="I204" s="2" t="s">
        <x:v>108</x:v>
      </x:c>
      <x:c r="J204" s="2">
        <x:v>4</x:v>
      </x:c>
      <x:c r="K204" s="2" t="s">
        <x:v>117</x:v>
      </x:c>
      <x:c r="L204" s="2" t="s">
        <x:v>110</x:v>
      </x:c>
      <x:c r="M204" s="2"/>
      <x:c r="N204" s="2">
        <x:v>36.299999999999997</x:v>
      </x:c>
      <x:c r="O204" s="2"/>
      <x:c r="P204" s="2"/>
      <x:c r="Q204" s="2" t="s">
        <x:v>111</x:v>
      </x:c>
      <x:c r="R204" s="2">
        <x:v>36.299999999999997</x:v>
      </x:c>
      <x:c r="S204" s="2" t="s">
        <x:v>111</x:v>
      </x:c>
      <x:c r="T204" s="2">
        <x:v>20</x:v>
      </x:c>
      <x:c r="U204" s="2"/>
      <x:c r="V204" s="2"/>
      <x:c r="W204" s="2"/>
      <x:c r="X204" s="2" t="s">
        <x:v>142</x:v>
      </x:c>
      <x:c r="Y204" s="2" t="s">
        <x:v>113</x:v>
      </x:c>
      <x:c r="Z204" s="2" t="s">
        <x:v>114</x:v>
      </x:c>
      <x:c r="AA204" s="11" t="n">
        <x:f>IFERROR(VLOOKUP(E204,Harmonization_Rules!$A$2:$B$9,2,FALSE),"")</x:f>
        <x:v>107.8682</x:v>
      </x:c>
      <x:c r="AB204" s="2" t="str">
        <x:f t="shared" si="21"/>
        <x:v>ECOTOX_STANDARDIZED_TARGET_METAL</x:v>
      </x:c>
      <x:c r="AC204" s="12">
        <x:f t="shared" si="22"/>
        <x:v>3.6299999999999999E-2</x:v>
      </x:c>
      <x:c r="AD204" s="12">
        <x:f t="shared" si="23"/>
        <x:v>0.3365217923354612</x:v>
      </x:c>
      <x:c r="AE204" s="12">
        <x:f t="shared" si="24"/>
        <x:v>-1.0890923702247348</x:v>
      </x:c>
      <x:c r="AF204" s="2" t="str">
        <x:f t="shared" si="25"/>
        <x:v>HARMONIZED</x:v>
      </x:c>
      <x:c r="AG204" s="2" t="str">
        <x:f>IF(E204="Cr","Cr(VI) chromate/dichromate rows are retained but molar conversion is held until source-specific compound-vs-ion basis is resolved.",IF(D204=2977,"OBrien 1988 reports total dissolved Cu LC252 values in 10^-6 M; the numeric Analysis_Point is therefore treated directly as umol Cu/L.",IF(AND(D204=6825,L204="Formulation"),"Nipper 1993 source check showed the reported concentrations are nominal Zn; formulation coding does not trigger compound-mass conversion.",IF(Y204="PRIMARY_RECOVERED","Source-recovered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4" s="2" t="str">
        <x:f t="shared" si="26"/>
        <x:v>SECONDARY</x:v>
      </x:c>
      <x:c r="AI204" s="2" t="str">
        <x:f t="shared" si="27"/>
        <x:v>NO</x:v>
      </x:c>
    </x:row>
    <x:row r="205" ht="40.5">
      <x:c r="A205" s="2">
        <x:v>1501</x:v>
      </x:c>
      <x:c r="B205" s="2">
        <x:v>1053591</x:v>
      </x:c>
      <x:c r="C205" s="2">
        <x:v>126387</x:v>
      </x:c>
      <x:c r="D205" s="2">
        <x:v>3740</x:v>
      </x:c>
      <x:c r="E205" s="2" t="s">
        <x:v>27</x:v>
      </x:c>
      <x:c r="F205" s="2" t="s">
        <x:v>258</x:v>
      </x:c>
      <x:c r="G205" s="2" t="s">
        <x:v>134</x:v>
      </x:c>
      <x:c r="H205" s="2" t="s">
        <x:v>135</x:v>
      </x:c>
      <x:c r="I205" s="2"/>
      <x:c r="J205" s="2">
        <x:v>4</x:v>
      </x:c>
      <x:c r="K205" s="2" t="s">
        <x:v>117</x:v>
      </x:c>
      <x:c r="L205" s="2" t="s">
        <x:v>110</x:v>
      </x:c>
      <x:c r="M205" s="2"/>
      <x:c r="N205" s="2">
        <x:v>23.5</x:v>
      </x:c>
      <x:c r="O205" s="2">
        <x:v>17.2</x:v>
      </x:c>
      <x:c r="P205" s="2">
        <x:v>29.6</x:v>
      </x:c>
      <x:c r="Q205" s="2" t="s">
        <x:v>111</x:v>
      </x:c>
      <x:c r="R205" s="2">
        <x:v>23.5</x:v>
      </x:c>
      <x:c r="S205" s="2" t="s">
        <x:v>111</x:v>
      </x:c>
      <x:c r="T205" s="2">
        <x:v>22</x:v>
      </x:c>
      <x:c r="U205" s="2">
        <x:v>28</x:v>
      </x:c>
      <x:c r="V205" s="2"/>
      <x:c r="W205" s="2"/>
      <x:c r="X205" s="2" t="s">
        <x:v>259</x:v>
      </x:c>
      <x:c r="Y205" s="2" t="s">
        <x:v>113</x:v>
      </x:c>
      <x:c r="Z205" s="2" t="s">
        <x:v>114</x:v>
      </x:c>
      <x:c r="AA205" s="11" t="n">
        <x:f>IFERROR(VLOOKUP(E205,Harmonization_Rules!$A$2:$B$9,2,FALSE),"")</x:f>
        <x:v>107.8682</x:v>
      </x:c>
      <x:c r="AB205" s="2" t="str">
        <x:f t="shared" si="21"/>
        <x:v>ECOTOX_STANDARDIZED_TARGET_METAL</x:v>
      </x:c>
      <x:c r="AC205" s="12">
        <x:f t="shared" si="22"/>
        <x:v>2.35E-2</x:v>
      </x:c>
      <x:c r="AD205" s="12">
        <x:f t="shared" si="23"/>
        <x:v>0.2178584606028468</x:v>
      </x:c>
      <x:c r="AE205" s="12">
        <x:f t="shared" si="24"/>
        <x:v>-1.5239096903454266</x:v>
      </x:c>
      <x:c r="AF205" s="2" t="str">
        <x:f t="shared" si="25"/>
        <x:v>HARMONIZED</x:v>
      </x:c>
      <x:c r="AG205" s="2" t="str">
        <x:f>IF(E205="Cr","Cr(VI) chromate/dichromate rows are retained but molar conversion is held until source-specific compound-vs-ion basis is resolved.",IF(D205=2977,"OBrien 1988 reports total dissolved Cu LC253 values in 10^-6 M; the numeric Analysis_Point is therefore treated directly as umol Cu/L.",IF(AND(D205=6825,L205="Formulation"),"Nipper 1993 source check showed the reported concentrations are nominal Zn; formulation coding does not trigger compound-mass conversion.",IF(Y205="PRIMARY_RECOVERED","Source-recovered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5" s="2" t="str">
        <x:f t="shared" si="26"/>
        <x:v>SECONDARY</x:v>
      </x:c>
      <x:c r="AI205" s="2" t="str">
        <x:f t="shared" si="27"/>
        <x:v>NO</x:v>
      </x:c>
    </x:row>
    <x:row r="206" ht="40.5">
      <x:c r="A206" s="2">
        <x:v>1503</x:v>
      </x:c>
      <x:c r="B206" s="2">
        <x:v>1053592</x:v>
      </x:c>
      <x:c r="C206" s="2">
        <x:v>126388</x:v>
      </x:c>
      <x:c r="D206" s="2">
        <x:v>3740</x:v>
      </x:c>
      <x:c r="E206" s="2" t="s">
        <x:v>27</x:v>
      </x:c>
      <x:c r="F206" s="2" t="s">
        <x:v>258</x:v>
      </x:c>
      <x:c r="G206" s="2" t="s">
        <x:v>134</x:v>
      </x:c>
      <x:c r="H206" s="2" t="s">
        <x:v>135</x:v>
      </x:c>
      <x:c r="I206" s="2"/>
      <x:c r="J206" s="2">
        <x:v>4</x:v>
      </x:c>
      <x:c r="K206" s="2" t="s">
        <x:v>117</x:v>
      </x:c>
      <x:c r="L206" s="2" t="s">
        <x:v>110</x:v>
      </x:c>
      <x:c r="M206" s="2"/>
      <x:c r="N206" s="2">
        <x:v>36.4</x:v>
      </x:c>
      <x:c r="O206" s="2">
        <x:v>29.4</x:v>
      </x:c>
      <x:c r="P206" s="2">
        <x:v>45.8</x:v>
      </x:c>
      <x:c r="Q206" s="2" t="s">
        <x:v>111</x:v>
      </x:c>
      <x:c r="R206" s="2">
        <x:v>36.4</x:v>
      </x:c>
      <x:c r="S206" s="2" t="s">
        <x:v>111</x:v>
      </x:c>
      <x:c r="T206" s="2">
        <x:v>22</x:v>
      </x:c>
      <x:c r="U206" s="2">
        <x:v>28</x:v>
      </x:c>
      <x:c r="V206" s="2"/>
      <x:c r="W206" s="2"/>
      <x:c r="X206" s="2" t="s">
        <x:v>259</x:v>
      </x:c>
      <x:c r="Y206" s="2" t="s">
        <x:v>113</x:v>
      </x:c>
      <x:c r="Z206" s="2" t="s">
        <x:v>114</x:v>
      </x:c>
      <x:c r="AA206" s="11" t="n">
        <x:f>IFERROR(VLOOKUP(E206,Harmonization_Rules!$A$2:$B$9,2,FALSE),"")</x:f>
        <x:v>107.8682</x:v>
      </x:c>
      <x:c r="AB206" s="2" t="str">
        <x:f t="shared" si="21"/>
        <x:v>ECOTOX_STANDARDIZED_TARGET_METAL</x:v>
      </x:c>
      <x:c r="AC206" s="12">
        <x:f t="shared" si="22"/>
        <x:v>3.6400000000000002E-2</x:v>
      </x:c>
      <x:c r="AD206" s="12">
        <x:f t="shared" si="23"/>
        <x:v>0.33744884961462229</x:v>
      </x:c>
      <x:c r="AE206" s="12">
        <x:f t="shared" si="24"/>
        <x:v>-1.0863413368528447</x:v>
      </x:c>
      <x:c r="AF206" s="2" t="str">
        <x:f t="shared" si="25"/>
        <x:v>HARMONIZED</x:v>
      </x:c>
      <x:c r="AG206" s="2" t="str">
        <x:f>IF(E206="Cr","Cr(VI) chromate/dichromate rows are retained but molar conversion is held until source-specific compound-vs-ion basis is resolved.",IF(D206=2977,"OBrien 1988 reports total dissolved Cu LC254 values in 10^-6 M; the numeric Analysis_Point is therefore treated directly as umol Cu/L.",IF(AND(D206=6825,L206="Formulation"),"Nipper 1993 source check showed the reported concentrations are nominal Zn; formulation coding does not trigger compound-mass conversion.",IF(Y206="PRIMARY_RECOVERED","Source-recovered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6" s="2" t="str">
        <x:f t="shared" si="26"/>
        <x:v>SECONDARY</x:v>
      </x:c>
      <x:c r="AI206" s="2" t="str">
        <x:f t="shared" si="27"/>
        <x:v>NO</x:v>
      </x:c>
    </x:row>
    <x:row r="207" ht="40.5">
      <x:c r="A207" s="2">
        <x:v>1506</x:v>
      </x:c>
      <x:c r="B207" s="2">
        <x:v>1326414</x:v>
      </x:c>
      <x:c r="C207" s="2">
        <x:v>785777</x:v>
      </x:c>
      <x:c r="D207" s="2">
        <x:v>107127</x:v>
      </x:c>
      <x:c r="E207" s="2" t="s">
        <x:v>27</x:v>
      </x:c>
      <x:c r="F207" s="2" t="s">
        <x:v>258</x:v>
      </x:c>
      <x:c r="G207" s="2" t="s">
        <x:v>106</x:v>
      </x:c>
      <x:c r="H207" s="2" t="s">
        <x:v>107</x:v>
      </x:c>
      <x:c r="I207" s="2" t="s">
        <x:v>108</x:v>
      </x:c>
      <x:c r="J207" s="2">
        <x:v>4</x:v>
      </x:c>
      <x:c r="K207" s="2" t="s">
        <x:v>126</x:v>
      </x:c>
      <x:c r="L207" s="2" t="s">
        <x:v>110</x:v>
      </x:c>
      <x:c r="M207" s="2"/>
      <x:c r="N207" s="2">
        <x:v>2.4E-2</x:v>
      </x:c>
      <x:c r="O207" s="2">
        <x:v>2.1999999999999999E-2</x:v>
      </x:c>
      <x:c r="P207" s="2">
        <x:v>2.8000000000000001E-2</x:v>
      </x:c>
      <x:c r="Q207" s="2" t="s">
        <x:v>121</x:v>
      </x:c>
      <x:c r="R207" s="2">
        <x:v>2.4E-2</x:v>
      </x:c>
      <x:c r="S207" s="2" t="s">
        <x:v>121</x:v>
      </x:c>
      <x:c r="T207" s="2">
        <x:v>20</x:v>
      </x:c>
      <x:c r="U207" s="2">
        <x:v>32</x:v>
      </x:c>
      <x:c r="V207" s="2"/>
      <x:c r="W207" s="2"/>
      <x:c r="X207" s="2" t="s">
        <x:v>262</x:v>
      </x:c>
      <x:c r="Y207" s="2" t="s">
        <x:v>113</x:v>
      </x:c>
      <x:c r="Z207" s="2" t="s">
        <x:v>114</x:v>
      </x:c>
      <x:c r="AA207" s="11" t="n">
        <x:f>IFERROR(VLOOKUP(E207,Harmonization_Rules!$A$2:$B$9,2,FALSE),"")</x:f>
        <x:v>107.8682</x:v>
      </x:c>
      <x:c r="AB207" s="2" t="str">
        <x:f t="shared" si="21"/>
        <x:v>ECOTOX_STANDARDIZED_TARGET_METAL</x:v>
      </x:c>
      <x:c r="AC207" s="12">
        <x:f t="shared" si="22"/>
        <x:v>2.4E-2</x:v>
      </x:c>
      <x:c r="AD207" s="12">
        <x:f t="shared" si="23"/>
        <x:v>0.22249374699865204</x:v>
      </x:c>
      <x:c r="AE207" s="12">
        <x:f t="shared" si="24"/>
        <x:v>-1.5028562811475943</x:v>
      </x:c>
      <x:c r="AF207" s="2" t="str">
        <x:f t="shared" si="25"/>
        <x:v>HARMONIZED</x:v>
      </x:c>
      <x:c r="AG207" s="2" t="str">
        <x:f>IF(E207="Cr","Cr(VI) chromate/dichromate rows are retained but molar conversion is held until source-specific compound-vs-ion basis is resolved.",IF(D207=2977,"OBrien 1988 reports total dissolved Cu LC255 values in 10^-6 M; the numeric Analysis_Point is therefore treated directly as umol Cu/L.",IF(AND(D207=6825,L207="Formulation"),"Nipper 1993 source check showed the reported concentrations are nominal Zn; formulation coding does not trigger compound-mass conversion.",IF(Y207="PRIMARY_RECOVERED","Source-recovered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7" s="2" t="str">
        <x:f t="shared" si="26"/>
        <x:v>SECONDARY</x:v>
      </x:c>
      <x:c r="AI207" s="2" t="str">
        <x:f t="shared" si="27"/>
        <x:v>NO</x:v>
      </x:c>
    </x:row>
    <x:row r="208" ht="67.5">
      <x:c r="A208" s="2">
        <x:v>1510</x:v>
      </x:c>
      <x:c r="B208" s="2">
        <x:v>1205929</x:v>
      </x:c>
      <x:c r="C208" s="2">
        <x:v>171320</x:v>
      </x:c>
      <x:c r="D208" s="2">
        <x:v>18833</x:v>
      </x:c>
      <x:c r="E208" s="2" t="s">
        <x:v>27</x:v>
      </x:c>
      <x:c r="F208" s="2" t="s">
        <x:v>258</x:v>
      </x:c>
      <x:c r="G208" s="2" t="s">
        <x:v>226</x:v>
      </x:c>
      <x:c r="H208" s="2" t="s">
        <x:v>107</x:v>
      </x:c>
      <x:c r="I208" s="2" t="s">
        <x:v>108</x:v>
      </x:c>
      <x:c r="J208" s="2">
        <x:v>4</x:v>
      </x:c>
      <x:c r="K208" s="2" t="s">
        <x:v>126</x:v>
      </x:c>
      <x:c r="L208" s="2" t="s">
        <x:v>110</x:v>
      </x:c>
      <x:c r="M208" s="2"/>
      <x:c r="N208" s="2">
        <x:v>159</x:v>
      </x:c>
      <x:c r="O208" s="2"/>
      <x:c r="P208" s="2"/>
      <x:c r="Q208" s="2" t="s">
        <x:v>111</x:v>
      </x:c>
      <x:c r="R208" s="2">
        <x:v>159</x:v>
      </x:c>
      <x:c r="S208" s="2" t="s">
        <x:v>111</x:v>
      </x:c>
      <x:c r="T208" s="2">
        <x:v>20</x:v>
      </x:c>
      <x:c r="U208" s="2">
        <x:v>37</x:v>
      </x:c>
      <x:c r="V208" s="2"/>
      <x:c r="W208" s="2"/>
      <x:c r="X208" s="2" t="s">
        <x:v>251</x:v>
      </x:c>
      <x:c r="Y208" s="2" t="s">
        <x:v>113</x:v>
      </x:c>
      <x:c r="Z208" s="2" t="s">
        <x:v>114</x:v>
      </x:c>
      <x:c r="AA208" s="11" t="n">
        <x:f>IFERROR(VLOOKUP(E208,Harmonization_Rules!$A$2:$B$9,2,FALSE),"")</x:f>
        <x:v>107.8682</x:v>
      </x:c>
      <x:c r="AB208" s="2" t="str">
        <x:f t="shared" si="21"/>
        <x:v>ECOTOX_STANDARDIZED_TARGET_METAL</x:v>
      </x:c>
      <x:c r="AC208" s="12">
        <x:f t="shared" si="22"/>
        <x:v>0.159</x:v>
      </x:c>
      <x:c r="AD208" s="12">
        <x:f t="shared" si="23"/>
        <x:v>1.47402107386607</x:v>
      </x:c>
      <x:c r="AE208" s="12">
        <x:f t="shared" si="24"/>
        <x:v>0.38799409072469182</x:v>
      </x:c>
      <x:c r="AF208" s="2" t="str">
        <x:f t="shared" si="25"/>
        <x:v>HARMONIZED</x:v>
      </x:c>
      <x:c r="AG208" s="2" t="str">
        <x:f>IF(E208="Cr","Cr(VI) chromate/dichromate rows are retained but molar conversion is held until source-specific compound-vs-ion basis is resolved.",IF(D208=2977,"OBrien 1988 reports total dissolved Cu LC256 values in 10^-6 M; the numeric Analysis_Point is therefore treated directly as umol Cu/L.",IF(AND(D208=6825,L208="Formulation"),"Nipper 1993 source check showed the reported concentrations are nominal Zn; formulation coding does not trigger compound-mass conversion.",IF(Y208="PRIMARY_RECOVERED","Source-recovered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8" s="2" t="str">
        <x:f t="shared" si="26"/>
        <x:v>SECONDARY</x:v>
      </x:c>
      <x:c r="AI208" s="2" t="str">
        <x:f t="shared" si="27"/>
        <x:v>NO</x:v>
      </x:c>
    </x:row>
    <x:row r="209" ht="40.5">
      <x:c r="A209" s="2">
        <x:v>1511</x:v>
      </x:c>
      <x:c r="B209" s="2">
        <x:v>1053590</x:v>
      </x:c>
      <x:c r="C209" s="2">
        <x:v>126386</x:v>
      </x:c>
      <x:c r="D209" s="2">
        <x:v>3740</x:v>
      </x:c>
      <x:c r="E209" s="2" t="s">
        <x:v>27</x:v>
      </x:c>
      <x:c r="F209" s="2" t="s">
        <x:v>258</x:v>
      </x:c>
      <x:c r="G209" s="2" t="s">
        <x:v>134</x:v>
      </x:c>
      <x:c r="H209" s="2" t="s">
        <x:v>135</x:v>
      </x:c>
      <x:c r="I209" s="2"/>
      <x:c r="J209" s="2">
        <x:v>4</x:v>
      </x:c>
      <x:c r="K209" s="2" t="s">
        <x:v>117</x:v>
      </x:c>
      <x:c r="L209" s="2" t="s">
        <x:v>110</x:v>
      </x:c>
      <x:c r="M209" s="2"/>
      <x:c r="N209" s="2">
        <x:v>35.799999999999997</x:v>
      </x:c>
      <x:c r="O209" s="2">
        <x:v>30.5</x:v>
      </x:c>
      <x:c r="P209" s="2">
        <x:v>41.6</x:v>
      </x:c>
      <x:c r="Q209" s="2" t="s">
        <x:v>111</x:v>
      </x:c>
      <x:c r="R209" s="2">
        <x:v>35.799999999999997</x:v>
      </x:c>
      <x:c r="S209" s="2" t="s">
        <x:v>111</x:v>
      </x:c>
      <x:c r="T209" s="2">
        <x:v>22</x:v>
      </x:c>
      <x:c r="U209" s="2">
        <x:v>28</x:v>
      </x:c>
      <x:c r="V209" s="2"/>
      <x:c r="W209" s="2"/>
      <x:c r="X209" s="2" t="s">
        <x:v>259</x:v>
      </x:c>
      <x:c r="Y209" s="2" t="s">
        <x:v>113</x:v>
      </x:c>
      <x:c r="Z209" s="2" t="s">
        <x:v>114</x:v>
      </x:c>
      <x:c r="AA209" s="11" t="n">
        <x:f>IFERROR(VLOOKUP(E209,Harmonization_Rules!$A$2:$B$9,2,FALSE),"")</x:f>
        <x:v>107.8682</x:v>
      </x:c>
      <x:c r="AB209" s="2" t="str">
        <x:f t="shared" si="21"/>
        <x:v>ECOTOX_STANDARDIZED_TARGET_METAL</x:v>
      </x:c>
      <x:c r="AC209" s="12">
        <x:f t="shared" si="22"/>
        <x:v>3.5799999999999998E-2</x:v>
      </x:c>
      <x:c r="AD209" s="12">
        <x:f t="shared" si="23"/>
        <x:v>0.33188650593965596</x:v>
      </x:c>
      <x:c r="AE209" s="12">
        <x:f t="shared" si="24"/>
        <x:v>-1.1029622180888852</x:v>
      </x:c>
      <x:c r="AF209" s="2" t="str">
        <x:f t="shared" si="25"/>
        <x:v>HARMONIZED</x:v>
      </x:c>
      <x:c r="AG209" s="2" t="str">
        <x:f>IF(E209="Cr","Cr(VI) chromate/dichromate rows are retained but molar conversion is held until source-specific compound-vs-ion basis is resolved.",IF(D209=2977,"OBrien 1988 reports total dissolved Cu LC257 values in 10^-6 M; the numeric Analysis_Point is therefore treated directly as umol Cu/L.",IF(AND(D209=6825,L209="Formulation"),"Nipper 1993 source check showed the reported concentrations are nominal Zn; formulation coding does not trigger compound-mass conversion.",IF(Y209="PRIMARY_RECOVERED","Source-recovered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09" s="2" t="str">
        <x:f t="shared" si="26"/>
        <x:v>SECONDARY</x:v>
      </x:c>
      <x:c r="AI209" s="2" t="str">
        <x:f t="shared" si="27"/>
        <x:v>NO</x:v>
      </x:c>
    </x:row>
    <x:row r="210" ht="40.5">
      <x:c r="A210" s="2">
        <x:v>1512</x:v>
      </x:c>
      <x:c r="B210" s="2">
        <x:v>1053589</x:v>
      </x:c>
      <x:c r="C210" s="2">
        <x:v>126385</x:v>
      </x:c>
      <x:c r="D210" s="2">
        <x:v>3740</x:v>
      </x:c>
      <x:c r="E210" s="2" t="s">
        <x:v>27</x:v>
      </x:c>
      <x:c r="F210" s="2" t="s">
        <x:v>258</x:v>
      </x:c>
      <x:c r="G210" s="2" t="s">
        <x:v>134</x:v>
      </x:c>
      <x:c r="H210" s="2" t="s">
        <x:v>135</x:v>
      </x:c>
      <x:c r="I210" s="2"/>
      <x:c r="J210" s="2">
        <x:v>4</x:v>
      </x:c>
      <x:c r="K210" s="2" t="s">
        <x:v>117</x:v>
      </x:c>
      <x:c r="L210" s="2" t="s">
        <x:v>110</x:v>
      </x:c>
      <x:c r="M210" s="2"/>
      <x:c r="N210" s="2">
        <x:v>66</x:v>
      </x:c>
      <x:c r="O210" s="2">
        <x:v>59</x:v>
      </x:c>
      <x:c r="P210" s="2">
        <x:v>74</x:v>
      </x:c>
      <x:c r="Q210" s="2" t="s">
        <x:v>111</x:v>
      </x:c>
      <x:c r="R210" s="2">
        <x:v>66</x:v>
      </x:c>
      <x:c r="S210" s="2" t="s">
        <x:v>111</x:v>
      </x:c>
      <x:c r="T210" s="2">
        <x:v>22</x:v>
      </x:c>
      <x:c r="U210" s="2">
        <x:v>28</x:v>
      </x:c>
      <x:c r="V210" s="2"/>
      <x:c r="W210" s="2"/>
      <x:c r="X210" s="2" t="s">
        <x:v>259</x:v>
      </x:c>
      <x:c r="Y210" s="2" t="s">
        <x:v>113</x:v>
      </x:c>
      <x:c r="Z210" s="2" t="s">
        <x:v>114</x:v>
      </x:c>
      <x:c r="AA210" s="11" t="n">
        <x:f>IFERROR(VLOOKUP(E210,Harmonization_Rules!$A$2:$B$9,2,FALSE),"")</x:f>
        <x:v>107.8682</x:v>
      </x:c>
      <x:c r="AB210" s="2" t="str">
        <x:f t="shared" si="21"/>
        <x:v>ECOTOX_STANDARDIZED_TARGET_METAL</x:v>
      </x:c>
      <x:c r="AC210" s="12">
        <x:f t="shared" si="22"/>
        <x:v>6.6000000000000003E-2</x:v>
      </x:c>
      <x:c r="AD210" s="12">
        <x:f t="shared" si="23"/>
        <x:v>0.6118578042462931</x:v>
      </x:c>
      <x:c r="AE210" s="12">
        <x:f t="shared" si="24"/>
        <x:v>-0.4912553694691143</x:v>
      </x:c>
      <x:c r="AF210" s="2" t="str">
        <x:f t="shared" si="25"/>
        <x:v>HARMONIZED</x:v>
      </x:c>
      <x:c r="AG210" s="2" t="str">
        <x:f>IF(E210="Cr","Cr(VI) chromate/dichromate rows are retained but molar conversion is held until source-specific compound-vs-ion basis is resolved.",IF(D210=2977,"OBrien 1988 reports total dissolved Cu LC258 values in 10^-6 M; the numeric Analysis_Point is therefore treated directly as umol Cu/L.",IF(AND(D210=6825,L210="Formulation"),"Nipper 1993 source check showed the reported concentrations are nominal Zn; formulation coding does not trigger compound-mass conversion.",IF(Y210="PRIMARY_RECOVERED","Source-recovered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10" s="2" t="str">
        <x:f t="shared" si="26"/>
        <x:v>SECONDARY</x:v>
      </x:c>
      <x:c r="AI210" s="2" t="str">
        <x:f t="shared" si="27"/>
        <x:v>NO</x:v>
      </x:c>
    </x:row>
    <x:row r="211" ht="40.5">
      <x:c r="A211" s="2">
        <x:v>1513</x:v>
      </x:c>
      <x:c r="B211" s="2">
        <x:v>1054976</x:v>
      </x:c>
      <x:c r="C211" s="2">
        <x:v>220863</x:v>
      </x:c>
      <x:c r="D211" s="2">
        <x:v>3825</x:v>
      </x:c>
      <x:c r="E211" s="2" t="s">
        <x:v>27</x:v>
      </x:c>
      <x:c r="F211" s="2" t="s">
        <x:v>258</x:v>
      </x:c>
      <x:c r="G211" s="2" t="s">
        <x:v>134</x:v>
      </x:c>
      <x:c r="H211" s="2" t="s">
        <x:v>135</x:v>
      </x:c>
      <x:c r="I211" s="2" t="s">
        <x:v>108</x:v>
      </x:c>
      <x:c r="J211" s="2">
        <x:v>4</x:v>
      </x:c>
      <x:c r="K211" s="2" t="s">
        <x:v>117</x:v>
      </x:c>
      <x:c r="L211" s="2" t="s">
        <x:v>110</x:v>
      </x:c>
      <x:c r="M211" s="2"/>
      <x:c r="N211" s="2">
        <x:v>36.299999999999997</x:v>
      </x:c>
      <x:c r="O211" s="2">
        <x:v>21.8</x:v>
      </x:c>
      <x:c r="P211" s="2">
        <x:v>102</x:v>
      </x:c>
      <x:c r="Q211" s="2" t="s">
        <x:v>195</x:v>
      </x:c>
      <x:c r="R211" s="2">
        <x:v>36.299999999999997</x:v>
      </x:c>
      <x:c r="S211" s="2" t="s">
        <x:v>195</x:v>
      </x:c>
      <x:c r="T211" s="2">
        <x:v>20</x:v>
      </x:c>
      <x:c r="U211" s="2">
        <x:v>30</x:v>
      </x:c>
      <x:c r="V211" s="2"/>
      <x:c r="W211" s="2"/>
      <x:c r="X211" s="2" t="s">
        <x:v>142</x:v>
      </x:c>
      <x:c r="Y211" s="2" t="s">
        <x:v>113</x:v>
      </x:c>
      <x:c r="Z211" s="2" t="s">
        <x:v>114</x:v>
      </x:c>
      <x:c r="AA211" s="11" t="n">
        <x:f>IFERROR(VLOOKUP(E211,Harmonization_Rules!$A$2:$B$9,2,FALSE),"")</x:f>
        <x:v>107.8682</x:v>
      </x:c>
      <x:c r="AB211" s="2" t="str">
        <x:f t="shared" si="21"/>
        <x:v>ECOTOX_STANDARDIZED_TARGET_METAL</x:v>
      </x:c>
      <x:c r="AC211" s="12">
        <x:f t="shared" si="22"/>
        <x:v>3.6299999999999999E-2</x:v>
      </x:c>
      <x:c r="AD211" s="12">
        <x:f t="shared" si="23"/>
        <x:v>0.3365217923354612</x:v>
      </x:c>
      <x:c r="AE211" s="12">
        <x:f t="shared" si="24"/>
        <x:v>-1.0890923702247348</x:v>
      </x:c>
      <x:c r="AF211" s="2" t="str">
        <x:f t="shared" si="25"/>
        <x:v>HARMONIZED</x:v>
      </x:c>
      <x:c r="AG211" s="2" t="str">
        <x:f>IF(E211="Cr","Cr(VI) chromate/dichromate rows are retained but molar conversion is held until source-specific compound-vs-ion basis is resolved.",IF(D211=2977,"OBrien 1988 reports total dissolved Cu LC259 values in 10^-6 M; the numeric Analysis_Point is therefore treated directly as umol Cu/L.",IF(AND(D211=6825,L211="Formulation"),"Nipper 1993 source check showed the reported concentrations are nominal Zn; formulation coding does not trigger compound-mass conversion.",IF(Y211="PRIMARY_RECOVERED","Source-recovered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11" s="2" t="str">
        <x:f t="shared" si="26"/>
        <x:v>SECONDARY</x:v>
      </x:c>
      <x:c r="AI211" s="2" t="str">
        <x:f t="shared" si="27"/>
        <x:v>NO</x:v>
      </x:c>
    </x:row>
    <x:row r="212" ht="54">
      <x:c r="A212" s="2">
        <x:v>1523</x:v>
      </x:c>
      <x:c r="B212" s="2">
        <x:v>2114337</x:v>
      </x:c>
      <x:c r="C212" s="2">
        <x:v>2208951</x:v>
      </x:c>
      <x:c r="D212" s="2">
        <x:v>52250</x:v>
      </x:c>
      <x:c r="E212" s="2" t="s">
        <x:v>163</x:v>
      </x:c>
      <x:c r="F212" s="2" t="s">
        <x:v>263</x:v>
      </x:c>
      <x:c r="G212" s="2" t="s">
        <x:v>116</x:v>
      </x:c>
      <x:c r="H212" s="2" t="s">
        <x:v>107</x:v>
      </x:c>
      <x:c r="I212" s="2" t="s">
        <x:v>264</x:v>
      </x:c>
      <x:c r="J212" s="2">
        <x:v>2</x:v>
      </x:c>
      <x:c r="K212" s="2" t="s">
        <x:v>117</x:v>
      </x:c>
      <x:c r="L212" s="2" t="s">
        <x:v>110</x:v>
      </x:c>
      <x:c r="M212" s="2"/>
      <x:c r="N212" s="2">
        <x:v>9.6</x:v>
      </x:c>
      <x:c r="O212" s="2">
        <x:v>7.0469999999999997</x:v>
      </x:c>
      <x:c r="P212" s="2">
        <x:v>13.497</x:v>
      </x:c>
      <x:c r="Q212" s="2" t="s">
        <x:v>207</x:v>
      </x:c>
      <x:c r="R212" s="2">
        <x:v>9.6</x:v>
      </x:c>
      <x:c r="S212" s="2" t="s">
        <x:v>207</x:v>
      </x:c>
      <x:c r="T212" s="2">
        <x:v>19</x:v>
      </x:c>
      <x:c r="U212" s="2">
        <x:v>38</x:v>
      </x:c>
      <x:c r="V212" s="2"/>
      <x:c r="W212" s="2"/>
      <x:c r="X212" s="2" t="s">
        <x:v>265</x:v>
      </x:c>
      <x:c r="Y212" s="2" t="s">
        <x:v>113</x:v>
      </x:c>
      <x:c r="Z212" s="2" t="s">
        <x:v>114</x:v>
      </x:c>
      <x:c r="AA212" s="11" t="n">
        <x:f>IFERROR(VLOOKUP(E212,Harmonization_Rules!$A$2:$B$9,2,FALSE),"")</x:f>
        <x:v>51.9961</x:v>
      </x:c>
      <x:c r="AB212" s="2" t="str">
        <x:f t="shared" si="21"/>
        <x:v>PENDING_SOURCE_BASIS</x:v>
      </x:c>
      <x:c r="AC212" s="12" t="str">
        <x:f t="shared" si="22"/>
      </x:c>
      <x:c r="AD212" s="12" t="str">
        <x:f t="shared" si="23"/>
      </x:c>
      <x:c r="AE212" s="12" t="str">
        <x:f t="shared" si="24"/>
      </x:c>
      <x:c r="AF212" s="2" t="str">
        <x:f t="shared" si="25"/>
        <x:v>PENDING_CR_SOURCE_BASIS</x:v>
      </x:c>
      <x:c r="AG212" s="2" t="str">
        <x:f>IF(E212="Cr","Cr(VI) chromate/dichromate rows are retained but molar conversion is held until source-specific compound-vs-ion basis is resolved.",IF(D212=2977,"OBrien 1988 reports total dissolved Cu LC260 values in 10^-6 M; the numeric Analysis_Point is therefore treated directly as umol Cu/L.",IF(AND(D212=6825,L212="Formulation"),"Nipper 1993 source check showed the reported concentrations are nominal Zn; formulation coding does not trigger compound-mass conversion.",IF(Y212="PRIMARY_RECOVERED","Source-recovered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12" s="2" t="str">
        <x:f t="shared" si="26"/>
        <x:v>SECONDARY</x:v>
      </x:c>
      <x:c r="AI212" s="2" t="str">
        <x:f t="shared" si="27"/>
        <x:v>NO</x:v>
      </x:c>
    </x:row>
    <x:row r="213" ht="54">
      <x:c r="A213" s="2">
        <x:v>1525</x:v>
      </x:c>
      <x:c r="B213" s="2">
        <x:v>2114334</x:v>
      </x:c>
      <x:c r="C213" s="2">
        <x:v>2208948</x:v>
      </x:c>
      <x:c r="D213" s="2">
        <x:v>52250</x:v>
      </x:c>
      <x:c r="E213" s="2" t="s">
        <x:v>163</x:v>
      </x:c>
      <x:c r="F213" s="2" t="s">
        <x:v>263</x:v>
      </x:c>
      <x:c r="G213" s="2" t="s">
        <x:v>116</x:v>
      </x:c>
      <x:c r="H213" s="2" t="s">
        <x:v>107</x:v>
      </x:c>
      <x:c r="I213" s="2" t="s">
        <x:v>264</x:v>
      </x:c>
      <x:c r="J213" s="2">
        <x:v>2</x:v>
      </x:c>
      <x:c r="K213" s="2" t="s">
        <x:v>117</x:v>
      </x:c>
      <x:c r="L213" s="2" t="s">
        <x:v>110</x:v>
      </x:c>
      <x:c r="M213" s="2"/>
      <x:c r="N213" s="2">
        <x:v>2.8370000000000002</x:v>
      </x:c>
      <x:c r="O213" s="2">
        <x:v>1.07</x:v>
      </x:c>
      <x:c r="P213" s="2">
        <x:v>4.2240000000000002</x:v>
      </x:c>
      <x:c r="Q213" s="2" t="s">
        <x:v>207</x:v>
      </x:c>
      <x:c r="R213" s="2">
        <x:v>2.8370000000000002</x:v>
      </x:c>
      <x:c r="S213" s="2" t="s">
        <x:v>207</x:v>
      </x:c>
      <x:c r="T213" s="2">
        <x:v>19</x:v>
      </x:c>
      <x:c r="U213" s="2">
        <x:v>38</x:v>
      </x:c>
      <x:c r="V213" s="2"/>
      <x:c r="W213" s="2"/>
      <x:c r="X213" s="2" t="s">
        <x:v>265</x:v>
      </x:c>
      <x:c r="Y213" s="2" t="s">
        <x:v>113</x:v>
      </x:c>
      <x:c r="Z213" s="2" t="s">
        <x:v>114</x:v>
      </x:c>
      <x:c r="AA213" s="11" t="n">
        <x:f>IFERROR(VLOOKUP(E213,Harmonization_Rules!$A$2:$B$9,2,FALSE),"")</x:f>
        <x:v>51.9961</x:v>
      </x:c>
      <x:c r="AB213" s="2" t="str">
        <x:f t="shared" si="21"/>
        <x:v>PENDING_SOURCE_BASIS</x:v>
      </x:c>
      <x:c r="AC213" s="12" t="str">
        <x:f t="shared" si="22"/>
      </x:c>
      <x:c r="AD213" s="12" t="str">
        <x:f t="shared" si="23"/>
      </x:c>
      <x:c r="AE213" s="12" t="str">
        <x:f t="shared" si="24"/>
      </x:c>
      <x:c r="AF213" s="2" t="str">
        <x:f t="shared" si="25"/>
        <x:v>PENDING_CR_SOURCE_BASIS</x:v>
      </x:c>
      <x:c r="AG213" s="2" t="str">
        <x:f>IF(E213="Cr","Cr(VI) chromate/dichromate rows are retained but molar conversion is held until source-specific compound-vs-ion basis is resolved.",IF(D213=2977,"OBrien 1988 reports total dissolved Cu LC261 values in 10^-6 M; the numeric Analysis_Point is therefore treated directly as umol Cu/L.",IF(AND(D213=6825,L213="Formulation"),"Nipper 1993 source check showed the reported concentrations are nominal Zn; formulation coding does not trigger compound-mass conversion.",IF(Y213="PRIMARY_RECOVERED","Source-recovered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13" s="2" t="str">
        <x:f t="shared" si="26"/>
        <x:v>SECONDARY</x:v>
      </x:c>
      <x:c r="AI213" s="2" t="str">
        <x:f t="shared" si="27"/>
        <x:v>NO</x:v>
      </x:c>
    </x:row>
    <x:row r="214" ht="40.5">
      <x:c r="A214" s="2">
        <x:v>1529</x:v>
      </x:c>
      <x:c r="B214" s="2">
        <x:v>1179973</x:v>
      </x:c>
      <x:c r="C214" s="2">
        <x:v>82439</x:v>
      </x:c>
      <x:c r="D214" s="2">
        <x:v>15726</x:v>
      </x:c>
      <x:c r="E214" s="2" t="s">
        <x:v>163</x:v>
      </x:c>
      <x:c r="F214" s="2" t="s">
        <x:v>263</x:v>
      </x:c>
      <x:c r="G214" s="2" t="s">
        <x:v>116</x:v>
      </x:c>
      <x:c r="H214" s="2" t="s">
        <x:v>107</x:v>
      </x:c>
      <x:c r="I214" s="2" t="s">
        <x:v>108</x:v>
      </x:c>
      <x:c r="J214" s="2">
        <x:v>2</x:v>
      </x:c>
      <x:c r="K214" s="2" t="s">
        <x:v>117</x:v>
      </x:c>
      <x:c r="L214" s="2" t="s">
        <x:v>110</x:v>
      </x:c>
      <x:c r="M214" s="2"/>
      <x:c r="N214" s="2">
        <x:v>8140</x:v>
      </x:c>
      <x:c r="O214" s="2"/>
      <x:c r="P214" s="2"/>
      <x:c r="Q214" s="2" t="s">
        <x:v>111</x:v>
      </x:c>
      <x:c r="R214" s="2">
        <x:v>8140</x:v>
      </x:c>
      <x:c r="S214" s="2" t="s">
        <x:v>111</x:v>
      </x:c>
      <x:c r="T214" s="2">
        <x:v>24</x:v>
      </x:c>
      <x:c r="U214" s="2"/>
      <x:c r="V214" s="2"/>
      <x:c r="W214" s="2"/>
      <x:c r="X214" s="2" t="s">
        <x:v>248</x:v>
      </x:c>
      <x:c r="Y214" s="2" t="s">
        <x:v>113</x:v>
      </x:c>
      <x:c r="Z214" s="2" t="s">
        <x:v>114</x:v>
      </x:c>
      <x:c r="AA214" s="11" t="n">
        <x:f>IFERROR(VLOOKUP(E214,Harmonization_Rules!$A$2:$B$9,2,FALSE),"")</x:f>
        <x:v>51.9961</x:v>
      </x:c>
      <x:c r="AB214" s="2" t="str">
        <x:f t="shared" si="21"/>
        <x:v>PENDING_SOURCE_BASIS</x:v>
      </x:c>
      <x:c r="AC214" s="12" t="str">
        <x:f t="shared" si="22"/>
      </x:c>
      <x:c r="AD214" s="12" t="str">
        <x:f t="shared" si="23"/>
      </x:c>
      <x:c r="AE214" s="12" t="str">
        <x:f t="shared" si="24"/>
      </x:c>
      <x:c r="AF214" s="2" t="str">
        <x:f t="shared" si="25"/>
        <x:v>PENDING_CR_SOURCE_BASIS</x:v>
      </x:c>
      <x:c r="AG214" s="2" t="str">
        <x:f>IF(E214="Cr","Cr(VI) chromate/dichromate rows are retained but molar conversion is held until source-specific compound-vs-ion basis is resolved.",IF(D214=2977,"OBrien 1988 reports total dissolved Cu LC262 values in 10^-6 M; the numeric Analysis_Point is therefore treated directly as umol Cu/L.",IF(AND(D214=6825,L214="Formulation"),"Nipper 1993 source check showed the reported concentrations are nominal Zn; formulation coding does not trigger compound-mass conversion.",IF(Y214="PRIMARY_RECOVERED","Source-recovered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14" s="2" t="str">
        <x:f t="shared" si="26"/>
        <x:v>SECONDARY</x:v>
      </x:c>
      <x:c r="AI214" s="2" t="str">
        <x:f t="shared" si="27"/>
        <x:v>NO</x:v>
      </x:c>
    </x:row>
    <x:row r="215" ht="54">
      <x:c r="A215" s="2">
        <x:v>1533</x:v>
      </x:c>
      <x:c r="B215" s="2">
        <x:v>2114335</x:v>
      </x:c>
      <x:c r="C215" s="2">
        <x:v>2208949</x:v>
      </x:c>
      <x:c r="D215" s="2">
        <x:v>52250</x:v>
      </x:c>
      <x:c r="E215" s="2" t="s">
        <x:v>163</x:v>
      </x:c>
      <x:c r="F215" s="2" t="s">
        <x:v>263</x:v>
      </x:c>
      <x:c r="G215" s="2" t="s">
        <x:v>116</x:v>
      </x:c>
      <x:c r="H215" s="2" t="s">
        <x:v>107</x:v>
      </x:c>
      <x:c r="I215" s="2" t="s">
        <x:v>264</x:v>
      </x:c>
      <x:c r="J215" s="2">
        <x:v>2</x:v>
      </x:c>
      <x:c r="K215" s="2" t="s">
        <x:v>117</x:v>
      </x:c>
      <x:c r="L215" s="2" t="s">
        <x:v>110</x:v>
      </x:c>
      <x:c r="M215" s="2"/>
      <x:c r="N215" s="2">
        <x:v>1.6990000000000001</x:v>
      </x:c>
      <x:c r="O215" s="2">
        <x:v>7.1999999999999995E-2</x:v>
      </x:c>
      <x:c r="P215" s="2">
        <x:v>2.8860000000000001</x:v>
      </x:c>
      <x:c r="Q215" s="2" t="s">
        <x:v>207</x:v>
      </x:c>
      <x:c r="R215" s="2">
        <x:v>1.6990000000000001</x:v>
      </x:c>
      <x:c r="S215" s="2" t="s">
        <x:v>207</x:v>
      </x:c>
      <x:c r="T215" s="2">
        <x:v>19</x:v>
      </x:c>
      <x:c r="U215" s="2">
        <x:v>38</x:v>
      </x:c>
      <x:c r="V215" s="2"/>
      <x:c r="W215" s="2"/>
      <x:c r="X215" s="2" t="s">
        <x:v>265</x:v>
      </x:c>
      <x:c r="Y215" s="2" t="s">
        <x:v>113</x:v>
      </x:c>
      <x:c r="Z215" s="2" t="s">
        <x:v>114</x:v>
      </x:c>
      <x:c r="AA215" s="11" t="n">
        <x:f>IFERROR(VLOOKUP(E215,Harmonization_Rules!$A$2:$B$9,2,FALSE),"")</x:f>
        <x:v>51.9961</x:v>
      </x:c>
      <x:c r="AB215" s="2" t="str">
        <x:f t="shared" si="21"/>
        <x:v>PENDING_SOURCE_BASIS</x:v>
      </x:c>
      <x:c r="AC215" s="12" t="str">
        <x:f t="shared" si="22"/>
      </x:c>
      <x:c r="AD215" s="12" t="str">
        <x:f t="shared" si="23"/>
      </x:c>
      <x:c r="AE215" s="12" t="str">
        <x:f t="shared" si="24"/>
      </x:c>
      <x:c r="AF215" s="2" t="str">
        <x:f t="shared" si="25"/>
        <x:v>PENDING_CR_SOURCE_BASIS</x:v>
      </x:c>
      <x:c r="AG215" s="2" t="str">
        <x:f>IF(E215="Cr","Cr(VI) chromate/dichromate rows are retained but molar conversion is held until source-specific compound-vs-ion basis is resolved.",IF(D215=2977,"OBrien 1988 reports total dissolved Cu LC263 values in 10^-6 M; the numeric Analysis_Point is therefore treated directly as umol Cu/L.",IF(AND(D215=6825,L215="Formulation"),"Nipper 1993 source check showed the reported concentrations are nominal Zn; formulation coding does not trigger compound-mass conversion.",IF(Y215="PRIMARY_RECOVERED","Source-recovered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15" s="2" t="str">
        <x:f t="shared" si="26"/>
        <x:v>SECONDARY</x:v>
      </x:c>
      <x:c r="AI215" s="2" t="str">
        <x:f t="shared" si="27"/>
        <x:v>NO</x:v>
      </x:c>
    </x:row>
    <x:row r="216" ht="54">
      <x:c r="A216" s="2">
        <x:v>1534</x:v>
      </x:c>
      <x:c r="B216" s="2">
        <x:v>2114336</x:v>
      </x:c>
      <x:c r="C216" s="2">
        <x:v>2208950</x:v>
      </x:c>
      <x:c r="D216" s="2">
        <x:v>52250</x:v>
      </x:c>
      <x:c r="E216" s="2" t="s">
        <x:v>163</x:v>
      </x:c>
      <x:c r="F216" s="2" t="s">
        <x:v>263</x:v>
      </x:c>
      <x:c r="G216" s="2" t="s">
        <x:v>116</x:v>
      </x:c>
      <x:c r="H216" s="2" t="s">
        <x:v>107</x:v>
      </x:c>
      <x:c r="I216" s="2" t="s">
        <x:v>264</x:v>
      </x:c>
      <x:c r="J216" s="2">
        <x:v>2</x:v>
      </x:c>
      <x:c r="K216" s="2" t="s">
        <x:v>117</x:v>
      </x:c>
      <x:c r="L216" s="2" t="s">
        <x:v>110</x:v>
      </x:c>
      <x:c r="M216" s="2"/>
      <x:c r="N216" s="2">
        <x:v>7.327</x:v>
      </x:c>
      <x:c r="O216" s="2">
        <x:v>3.01</x:v>
      </x:c>
      <x:c r="P216" s="2">
        <x:v>12.49</x:v>
      </x:c>
      <x:c r="Q216" s="2" t="s">
        <x:v>207</x:v>
      </x:c>
      <x:c r="R216" s="2">
        <x:v>7.327</x:v>
      </x:c>
      <x:c r="S216" s="2" t="s">
        <x:v>207</x:v>
      </x:c>
      <x:c r="T216" s="2">
        <x:v>19</x:v>
      </x:c>
      <x:c r="U216" s="2">
        <x:v>38</x:v>
      </x:c>
      <x:c r="V216" s="2"/>
      <x:c r="W216" s="2"/>
      <x:c r="X216" s="2" t="s">
        <x:v>265</x:v>
      </x:c>
      <x:c r="Y216" s="2" t="s">
        <x:v>113</x:v>
      </x:c>
      <x:c r="Z216" s="2" t="s">
        <x:v>114</x:v>
      </x:c>
      <x:c r="AA216" s="11" t="n">
        <x:f>IFERROR(VLOOKUP(E216,Harmonization_Rules!$A$2:$B$9,2,FALSE),"")</x:f>
        <x:v>51.9961</x:v>
      </x:c>
      <x:c r="AB216" s="2" t="str">
        <x:f t="shared" si="21"/>
        <x:v>PENDING_SOURCE_BASIS</x:v>
      </x:c>
      <x:c r="AC216" s="12" t="str">
        <x:f t="shared" si="22"/>
      </x:c>
      <x:c r="AD216" s="12" t="str">
        <x:f t="shared" si="23"/>
      </x:c>
      <x:c r="AE216" s="12" t="str">
        <x:f t="shared" si="24"/>
      </x:c>
      <x:c r="AF216" s="2" t="str">
        <x:f t="shared" si="25"/>
        <x:v>PENDING_CR_SOURCE_BASIS</x:v>
      </x:c>
      <x:c r="AG216" s="2" t="str">
        <x:f>IF(E216="Cr","Cr(VI) chromate/dichromate rows are retained but molar conversion is held until source-specific compound-vs-ion basis is resolved.",IF(D216=2977,"OBrien 1988 reports total dissolved Cu LC264 values in 10^-6 M; the numeric Analysis_Point is therefore treated directly as umol Cu/L.",IF(AND(D216=6825,L216="Formulation"),"Nipper 1993 source check showed the reported concentrations are nominal Zn; formulation coding does not trigger compound-mass conversion.",IF(Y216="PRIMARY_RECOVERED","Source-recovered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16" s="2" t="str">
        <x:f t="shared" si="26"/>
        <x:v>SECONDARY</x:v>
      </x:c>
      <x:c r="AI216" s="2" t="str">
        <x:f t="shared" si="27"/>
        <x:v>NO</x:v>
      </x:c>
    </x:row>
    <x:row r="217" ht="40.5">
      <x:c r="A217" s="2">
        <x:v>1539</x:v>
      </x:c>
      <x:c r="B217" s="2">
        <x:v>1140048</x:v>
      </x:c>
      <x:c r="C217" s="2">
        <x:v>94094</x:v>
      </x:c>
      <x:c r="D217" s="2">
        <x:v>11673</x:v>
      </x:c>
      <x:c r="E217" s="2" t="s">
        <x:v>163</x:v>
      </x:c>
      <x:c r="F217" s="2" t="s">
        <x:v>263</x:v>
      </x:c>
      <x:c r="G217" s="2" t="s">
        <x:v>141</x:v>
      </x:c>
      <x:c r="H217" s="2" t="s">
        <x:v>135</x:v>
      </x:c>
      <x:c r="I217" s="2" t="s">
        <x:v>108</x:v>
      </x:c>
      <x:c r="J217" s="2">
        <x:v>2</x:v>
      </x:c>
      <x:c r="K217" s="2" t="s">
        <x:v>126</x:v>
      </x:c>
      <x:c r="L217" s="2" t="s">
        <x:v>110</x:v>
      </x:c>
      <x:c r="M217" s="2"/>
      <x:c r="N217" s="2">
        <x:v>12260</x:v>
      </x:c>
      <x:c r="O217" s="2"/>
      <x:c r="P217" s="2"/>
      <x:c r="Q217" s="2" t="s">
        <x:v>111</x:v>
      </x:c>
      <x:c r="R217" s="2">
        <x:v>12260</x:v>
      </x:c>
      <x:c r="S217" s="2" t="s">
        <x:v>111</x:v>
      </x:c>
      <x:c r="T217" s="2">
        <x:v>14</x:v>
      </x:c>
      <x:c r="U217" s="2"/>
      <x:c r="V217" s="2"/>
      <x:c r="W217" s="2"/>
      <x:c r="X217" s="2" t="s">
        <x:v>266</x:v>
      </x:c>
      <x:c r="Y217" s="2" t="s">
        <x:v>113</x:v>
      </x:c>
      <x:c r="Z217" s="2" t="s">
        <x:v>114</x:v>
      </x:c>
      <x:c r="AA217" s="11" t="n">
        <x:f>IFERROR(VLOOKUP(E217,Harmonization_Rules!$A$2:$B$9,2,FALSE),"")</x:f>
        <x:v>51.9961</x:v>
      </x:c>
      <x:c r="AB217" s="2" t="str">
        <x:f t="shared" si="21"/>
        <x:v>PENDING_SOURCE_BASIS</x:v>
      </x:c>
      <x:c r="AC217" s="12" t="str">
        <x:f t="shared" si="22"/>
      </x:c>
      <x:c r="AD217" s="12" t="str">
        <x:f t="shared" si="23"/>
      </x:c>
      <x:c r="AE217" s="12" t="str">
        <x:f t="shared" si="24"/>
      </x:c>
      <x:c r="AF217" s="2" t="str">
        <x:f t="shared" si="25"/>
        <x:v>PENDING_CR_SOURCE_BASIS</x:v>
      </x:c>
      <x:c r="AG217" s="2" t="str">
        <x:f>IF(E217="Cr","Cr(VI) chromate/dichromate rows are retained but molar conversion is held until source-specific compound-vs-ion basis is resolved.",IF(D217=2977,"OBrien 1988 reports total dissolved Cu LC265 values in 10^-6 M; the numeric Analysis_Point is therefore treated directly as umol Cu/L.",IF(AND(D217=6825,L217="Formulation"),"Nipper 1993 source check showed the reported concentrations are nominal Zn; formulation coding does not trigger compound-mass conversion.",IF(Y217="PRIMARY_RECOVERED","Source-recovered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17" s="2" t="str">
        <x:f t="shared" si="26"/>
        <x:v>SECONDARY</x:v>
      </x:c>
      <x:c r="AI217" s="2" t="str">
        <x:f t="shared" si="27"/>
        <x:v>NO</x:v>
      </x:c>
    </x:row>
    <x:row r="218" ht="40.5">
      <x:c r="A218" s="2">
        <x:v>1541</x:v>
      </x:c>
      <x:c r="B218" s="2">
        <x:v>1140047</x:v>
      </x:c>
      <x:c r="C218" s="2">
        <x:v>94093</x:v>
      </x:c>
      <x:c r="D218" s="2">
        <x:v>11673</x:v>
      </x:c>
      <x:c r="E218" s="2" t="s">
        <x:v>163</x:v>
      </x:c>
      <x:c r="F218" s="2" t="s">
        <x:v>263</x:v>
      </x:c>
      <x:c r="G218" s="2" t="s">
        <x:v>141</x:v>
      </x:c>
      <x:c r="H218" s="2" t="s">
        <x:v>135</x:v>
      </x:c>
      <x:c r="I218" s="2" t="s">
        <x:v>108</x:v>
      </x:c>
      <x:c r="J218" s="2">
        <x:v>2</x:v>
      </x:c>
      <x:c r="K218" s="2" t="s">
        <x:v>126</x:v>
      </x:c>
      <x:c r="L218" s="2" t="s">
        <x:v>110</x:v>
      </x:c>
      <x:c r="M218" s="2"/>
      <x:c r="N218" s="2">
        <x:v>16370</x:v>
      </x:c>
      <x:c r="O218" s="2"/>
      <x:c r="P218" s="2"/>
      <x:c r="Q218" s="2" t="s">
        <x:v>111</x:v>
      </x:c>
      <x:c r="R218" s="2">
        <x:v>16370</x:v>
      </x:c>
      <x:c r="S218" s="2" t="s">
        <x:v>111</x:v>
      </x:c>
      <x:c r="T218" s="2">
        <x:v>14</x:v>
      </x:c>
      <x:c r="U218" s="2"/>
      <x:c r="V218" s="2"/>
      <x:c r="W218" s="2"/>
      <x:c r="X218" s="2" t="s">
        <x:v>266</x:v>
      </x:c>
      <x:c r="Y218" s="2" t="s">
        <x:v>113</x:v>
      </x:c>
      <x:c r="Z218" s="2" t="s">
        <x:v>114</x:v>
      </x:c>
      <x:c r="AA218" s="11" t="n">
        <x:f>IFERROR(VLOOKUP(E218,Harmonization_Rules!$A$2:$B$9,2,FALSE),"")</x:f>
        <x:v>51.9961</x:v>
      </x:c>
      <x:c r="AB218" s="2" t="str">
        <x:f t="shared" si="21"/>
        <x:v>PENDING_SOURCE_BASIS</x:v>
      </x:c>
      <x:c r="AC218" s="12" t="str">
        <x:f t="shared" si="22"/>
      </x:c>
      <x:c r="AD218" s="12" t="str">
        <x:f t="shared" si="23"/>
      </x:c>
      <x:c r="AE218" s="12" t="str">
        <x:f t="shared" si="24"/>
      </x:c>
      <x:c r="AF218" s="2" t="str">
        <x:f t="shared" si="25"/>
        <x:v>PENDING_CR_SOURCE_BASIS</x:v>
      </x:c>
      <x:c r="AG218" s="2" t="str">
        <x:f>IF(E218="Cr","Cr(VI) chromate/dichromate rows are retained but molar conversion is held until source-specific compound-vs-ion basis is resolved.",IF(D218=2977,"OBrien 1988 reports total dissolved Cu LC266 values in 10^-6 M; the numeric Analysis_Point is therefore treated directly as umol Cu/L.",IF(AND(D218=6825,L218="Formulation"),"Nipper 1993 source check showed the reported concentrations are nominal Zn; formulation coding does not trigger compound-mass conversion.",IF(Y218="PRIMARY_RECOVERED","Source-recovered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18" s="2" t="str">
        <x:f t="shared" si="26"/>
        <x:v>SECONDARY</x:v>
      </x:c>
      <x:c r="AI218" s="2" t="str">
        <x:f t="shared" si="27"/>
        <x:v>NO</x:v>
      </x:c>
    </x:row>
    <x:row r="219" ht="40.5">
      <x:c r="A219" s="2">
        <x:v>1544</x:v>
      </x:c>
      <x:c r="B219" s="2">
        <x:v>1140045</x:v>
      </x:c>
      <x:c r="C219" s="2">
        <x:v>94091</x:v>
      </x:c>
      <x:c r="D219" s="2">
        <x:v>11673</x:v>
      </x:c>
      <x:c r="E219" s="2" t="s">
        <x:v>163</x:v>
      </x:c>
      <x:c r="F219" s="2" t="s">
        <x:v>263</x:v>
      </x:c>
      <x:c r="G219" s="2" t="s">
        <x:v>141</x:v>
      </x:c>
      <x:c r="H219" s="2" t="s">
        <x:v>135</x:v>
      </x:c>
      <x:c r="I219" s="2" t="s">
        <x:v>108</x:v>
      </x:c>
      <x:c r="J219" s="2">
        <x:v>2</x:v>
      </x:c>
      <x:c r="K219" s="2" t="s">
        <x:v>126</x:v>
      </x:c>
      <x:c r="L219" s="2" t="s">
        <x:v>110</x:v>
      </x:c>
      <x:c r="M219" s="2"/>
      <x:c r="N219" s="2">
        <x:v>11470</x:v>
      </x:c>
      <x:c r="O219" s="2"/>
      <x:c r="P219" s="2"/>
      <x:c r="Q219" s="2" t="s">
        <x:v>111</x:v>
      </x:c>
      <x:c r="R219" s="2">
        <x:v>11470</x:v>
      </x:c>
      <x:c r="S219" s="2" t="s">
        <x:v>111</x:v>
      </x:c>
      <x:c r="T219" s="2">
        <x:v>18</x:v>
      </x:c>
      <x:c r="U219" s="2"/>
      <x:c r="V219" s="2"/>
      <x:c r="W219" s="2"/>
      <x:c r="X219" s="2" t="s">
        <x:v>266</x:v>
      </x:c>
      <x:c r="Y219" s="2" t="s">
        <x:v>113</x:v>
      </x:c>
      <x:c r="Z219" s="2" t="s">
        <x:v>114</x:v>
      </x:c>
      <x:c r="AA219" s="11" t="n">
        <x:f>IFERROR(VLOOKUP(E219,Harmonization_Rules!$A$2:$B$9,2,FALSE),"")</x:f>
        <x:v>51.9961</x:v>
      </x:c>
      <x:c r="AB219" s="2" t="str">
        <x:f t="shared" si="21"/>
        <x:v>PENDING_SOURCE_BASIS</x:v>
      </x:c>
      <x:c r="AC219" s="12" t="str">
        <x:f t="shared" si="22"/>
      </x:c>
      <x:c r="AD219" s="12" t="str">
        <x:f t="shared" si="23"/>
      </x:c>
      <x:c r="AE219" s="12" t="str">
        <x:f t="shared" si="24"/>
      </x:c>
      <x:c r="AF219" s="2" t="str">
        <x:f t="shared" si="25"/>
        <x:v>PENDING_CR_SOURCE_BASIS</x:v>
      </x:c>
      <x:c r="AG219" s="2" t="str">
        <x:f>IF(E219="Cr","Cr(VI) chromate/dichromate rows are retained but molar conversion is held until source-specific compound-vs-ion basis is resolved.",IF(D219=2977,"OBrien 1988 reports total dissolved Cu LC267 values in 10^-6 M; the numeric Analysis_Point is therefore treated directly as umol Cu/L.",IF(AND(D219=6825,L219="Formulation"),"Nipper 1993 source check showed the reported concentrations are nominal Zn; formulation coding does not trigger compound-mass conversion.",IF(Y219="PRIMARY_RECOVERED","Source-recovered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19" s="2" t="str">
        <x:f t="shared" si="26"/>
        <x:v>SECONDARY</x:v>
      </x:c>
      <x:c r="AI219" s="2" t="str">
        <x:f t="shared" si="27"/>
        <x:v>NO</x:v>
      </x:c>
    </x:row>
    <x:row r="220" ht="40.5">
      <x:c r="A220" s="2">
        <x:v>1546</x:v>
      </x:c>
      <x:c r="B220" s="2">
        <x:v>1140046</x:v>
      </x:c>
      <x:c r="C220" s="2">
        <x:v>94092</x:v>
      </x:c>
      <x:c r="D220" s="2">
        <x:v>11673</x:v>
      </x:c>
      <x:c r="E220" s="2" t="s">
        <x:v>163</x:v>
      </x:c>
      <x:c r="F220" s="2" t="s">
        <x:v>263</x:v>
      </x:c>
      <x:c r="G220" s="2" t="s">
        <x:v>141</x:v>
      </x:c>
      <x:c r="H220" s="2" t="s">
        <x:v>135</x:v>
      </x:c>
      <x:c r="I220" s="2" t="s">
        <x:v>108</x:v>
      </x:c>
      <x:c r="J220" s="2">
        <x:v>2</x:v>
      </x:c>
      <x:c r="K220" s="2" t="s">
        <x:v>126</x:v>
      </x:c>
      <x:c r="L220" s="2" t="s">
        <x:v>110</x:v>
      </x:c>
      <x:c r="M220" s="2"/>
      <x:c r="N220" s="2">
        <x:v>8830</x:v>
      </x:c>
      <x:c r="O220" s="2"/>
      <x:c r="P220" s="2"/>
      <x:c r="Q220" s="2" t="s">
        <x:v>111</x:v>
      </x:c>
      <x:c r="R220" s="2">
        <x:v>8830</x:v>
      </x:c>
      <x:c r="S220" s="2" t="s">
        <x:v>111</x:v>
      </x:c>
      <x:c r="T220" s="2">
        <x:v>22</x:v>
      </x:c>
      <x:c r="U220" s="2"/>
      <x:c r="V220" s="2"/>
      <x:c r="W220" s="2"/>
      <x:c r="X220" s="2" t="s">
        <x:v>266</x:v>
      </x:c>
      <x:c r="Y220" s="2" t="s">
        <x:v>113</x:v>
      </x:c>
      <x:c r="Z220" s="2" t="s">
        <x:v>114</x:v>
      </x:c>
      <x:c r="AA220" s="11" t="n">
        <x:f>IFERROR(VLOOKUP(E220,Harmonization_Rules!$A$2:$B$9,2,FALSE),"")</x:f>
        <x:v>51.9961</x:v>
      </x:c>
      <x:c r="AB220" s="2" t="str">
        <x:f t="shared" si="21"/>
        <x:v>PENDING_SOURCE_BASIS</x:v>
      </x:c>
      <x:c r="AC220" s="12" t="str">
        <x:f t="shared" si="22"/>
      </x:c>
      <x:c r="AD220" s="12" t="str">
        <x:f t="shared" si="23"/>
      </x:c>
      <x:c r="AE220" s="12" t="str">
        <x:f t="shared" si="24"/>
      </x:c>
      <x:c r="AF220" s="2" t="str">
        <x:f t="shared" si="25"/>
        <x:v>PENDING_CR_SOURCE_BASIS</x:v>
      </x:c>
      <x:c r="AG220" s="2" t="str">
        <x:f>IF(E220="Cr","Cr(VI) chromate/dichromate rows are retained but molar conversion is held until source-specific compound-vs-ion basis is resolved.",IF(D220=2977,"OBrien 1988 reports total dissolved Cu LC268 values in 10^-6 M; the numeric Analysis_Point is therefore treated directly as umol Cu/L.",IF(AND(D220=6825,L220="Formulation"),"Nipper 1993 source check showed the reported concentrations are nominal Zn; formulation coding does not trigger compound-mass conversion.",IF(Y220="PRIMARY_RECOVERED","Source-recovered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0" s="2" t="str">
        <x:f t="shared" si="26"/>
        <x:v>SECONDARY</x:v>
      </x:c>
      <x:c r="AI220" s="2" t="str">
        <x:f t="shared" si="27"/>
        <x:v>NO</x:v>
      </x:c>
    </x:row>
    <x:row r="221" ht="40.5">
      <x:c r="A221" s="2">
        <x:v>1547</x:v>
      </x:c>
      <x:c r="B221" s="2">
        <x:v>1140044</x:v>
      </x:c>
      <x:c r="C221" s="2">
        <x:v>94090</x:v>
      </x:c>
      <x:c r="D221" s="2">
        <x:v>11673</x:v>
      </x:c>
      <x:c r="E221" s="2" t="s">
        <x:v>163</x:v>
      </x:c>
      <x:c r="F221" s="2" t="s">
        <x:v>263</x:v>
      </x:c>
      <x:c r="G221" s="2" t="s">
        <x:v>141</x:v>
      </x:c>
      <x:c r="H221" s="2" t="s">
        <x:v>135</x:v>
      </x:c>
      <x:c r="I221" s="2" t="s">
        <x:v>108</x:v>
      </x:c>
      <x:c r="J221" s="2">
        <x:v>2</x:v>
      </x:c>
      <x:c r="K221" s="2" t="s">
        <x:v>126</x:v>
      </x:c>
      <x:c r="L221" s="2" t="s">
        <x:v>110</x:v>
      </x:c>
      <x:c r="M221" s="2"/>
      <x:c r="N221" s="2">
        <x:v>16990</x:v>
      </x:c>
      <x:c r="O221" s="2"/>
      <x:c r="P221" s="2"/>
      <x:c r="Q221" s="2" t="s">
        <x:v>111</x:v>
      </x:c>
      <x:c r="R221" s="2">
        <x:v>16990</x:v>
      </x:c>
      <x:c r="S221" s="2" t="s">
        <x:v>111</x:v>
      </x:c>
      <x:c r="T221" s="2">
        <x:v>14</x:v>
      </x:c>
      <x:c r="U221" s="2"/>
      <x:c r="V221" s="2"/>
      <x:c r="W221" s="2"/>
      <x:c r="X221" s="2" t="s">
        <x:v>266</x:v>
      </x:c>
      <x:c r="Y221" s="2" t="s">
        <x:v>113</x:v>
      </x:c>
      <x:c r="Z221" s="2" t="s">
        <x:v>114</x:v>
      </x:c>
      <x:c r="AA221" s="11" t="n">
        <x:f>IFERROR(VLOOKUP(E221,Harmonization_Rules!$A$2:$B$9,2,FALSE),"")</x:f>
        <x:v>51.9961</x:v>
      </x:c>
      <x:c r="AB221" s="2" t="str">
        <x:f t="shared" si="21"/>
        <x:v>PENDING_SOURCE_BASIS</x:v>
      </x:c>
      <x:c r="AC221" s="12" t="str">
        <x:f t="shared" si="22"/>
      </x:c>
      <x:c r="AD221" s="12" t="str">
        <x:f t="shared" si="23"/>
      </x:c>
      <x:c r="AE221" s="12" t="str">
        <x:f t="shared" si="24"/>
      </x:c>
      <x:c r="AF221" s="2" t="str">
        <x:f t="shared" si="25"/>
        <x:v>PENDING_CR_SOURCE_BASIS</x:v>
      </x:c>
      <x:c r="AG221" s="2" t="str">
        <x:f>IF(E221="Cr","Cr(VI) chromate/dichromate rows are retained but molar conversion is held until source-specific compound-vs-ion basis is resolved.",IF(D221=2977,"OBrien 1988 reports total dissolved Cu LC269 values in 10^-6 M; the numeric Analysis_Point is therefore treated directly as umol Cu/L.",IF(AND(D221=6825,L221="Formulation"),"Nipper 1993 source check showed the reported concentrations are nominal Zn; formulation coding does not trigger compound-mass conversion.",IF(Y221="PRIMARY_RECOVERED","Source-recovered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1" s="2" t="str">
        <x:f t="shared" si="26"/>
        <x:v>SECONDARY</x:v>
      </x:c>
      <x:c r="AI221" s="2" t="str">
        <x:f t="shared" si="27"/>
        <x:v>NO</x:v>
      </x:c>
    </x:row>
    <x:row r="222" ht="40.5">
      <x:c r="A222" s="2">
        <x:v>1687</x:v>
      </x:c>
      <x:c r="B222" s="2">
        <x:v>1201121</x:v>
      </x:c>
      <x:c r="C222" s="2">
        <x:v>160584</x:v>
      </x:c>
      <x:c r="D222" s="2">
        <x:v>18307</x:v>
      </x:c>
      <x:c r="E222" s="2" t="s">
        <x:v>163</x:v>
      </x:c>
      <x:c r="F222" s="2" t="s">
        <x:v>267</x:v>
      </x:c>
      <x:c r="G222" s="2" t="s">
        <x:v>129</x:v>
      </x:c>
      <x:c r="H222" s="2" t="s">
        <x:v>107</x:v>
      </x:c>
      <x:c r="I222" s="2" t="s">
        <x:v>167</x:v>
      </x:c>
      <x:c r="J222" s="2">
        <x:v>4</x:v>
      </x:c>
      <x:c r="K222" s="2" t="s">
        <x:v>109</x:v>
      </x:c>
      <x:c r="L222" s="2" t="s">
        <x:v>110</x:v>
      </x:c>
      <x:c r="M222" s="2"/>
      <x:c r="N222" s="2">
        <x:v>22000</x:v>
      </x:c>
      <x:c r="O222" s="2"/>
      <x:c r="P222" s="2"/>
      <x:c r="Q222" s="2" t="s">
        <x:v>111</x:v>
      </x:c>
      <x:c r="R222" s="2">
        <x:v>22000</x:v>
      </x:c>
      <x:c r="S222" s="2" t="s">
        <x:v>111</x:v>
      </x:c>
      <x:c r="T222" s="2">
        <x:v>20</x:v>
      </x:c>
      <x:c r="U222" s="2">
        <x:v>9</x:v>
      </x:c>
      <x:c r="V222" s="2"/>
      <x:c r="W222" s="2"/>
      <x:c r="X222" s="2" t="s">
        <x:v>272</x:v>
      </x:c>
      <x:c r="Y222" s="2" t="s">
        <x:v>113</x:v>
      </x:c>
      <x:c r="Z222" s="2" t="s">
        <x:v>114</x:v>
      </x:c>
      <x:c r="AA222" s="11" t="n">
        <x:f>IFERROR(VLOOKUP(E222,Harmonization_Rules!$A$2:$B$9,2,FALSE),"")</x:f>
        <x:v>51.9961</x:v>
      </x:c>
      <x:c r="AB222" s="2" t="str">
        <x:f t="shared" si="21"/>
        <x:v>PENDING_SOURCE_BASIS</x:v>
      </x:c>
      <x:c r="AC222" s="12" t="str">
        <x:f t="shared" si="22"/>
      </x:c>
      <x:c r="AD222" s="12" t="str">
        <x:f t="shared" si="23"/>
      </x:c>
      <x:c r="AE222" s="12" t="str">
        <x:f t="shared" si="24"/>
      </x:c>
      <x:c r="AF222" s="2" t="str">
        <x:f t="shared" si="25"/>
        <x:v>PENDING_CR_SOURCE_BASIS</x:v>
      </x:c>
      <x:c r="AG222" s="2" t="str">
        <x:f>IF(E222="Cr","Cr(VI) chromate/dichromate rows are retained but molar conversion is held until source-specific compound-vs-ion basis is resolved.",IF(D222=2977,"OBrien 1988 reports total dissolved Cu LC270 values in 10^-6 M; the numeric Analysis_Point is therefore treated directly as umol Cu/L.",IF(AND(D222=6825,L222="Formulation"),"Nipper 1993 source check showed the reported concentrations are nominal Zn; formulation coding does not trigger compound-mass conversion.",IF(Y222="PRIMARY_RECOVERED","Source-recovered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2" s="2" t="str">
        <x:f t="shared" si="26"/>
        <x:v>SECONDARY</x:v>
      </x:c>
      <x:c r="AI222" s="2" t="str">
        <x:f t="shared" si="27"/>
        <x:v>NO</x:v>
      </x:c>
    </x:row>
    <x:row r="223" ht="40.5">
      <x:c r="A223" s="2">
        <x:v>1691</x:v>
      </x:c>
      <x:c r="B223" s="2">
        <x:v>1201116</x:v>
      </x:c>
      <x:c r="C223" s="2">
        <x:v>160579</x:v>
      </x:c>
      <x:c r="D223" s="2">
        <x:v>18307</x:v>
      </x:c>
      <x:c r="E223" s="2" t="s">
        <x:v>163</x:v>
      </x:c>
      <x:c r="F223" s="2" t="s">
        <x:v>267</x:v>
      </x:c>
      <x:c r="G223" s="2" t="s">
        <x:v>129</x:v>
      </x:c>
      <x:c r="H223" s="2" t="s">
        <x:v>107</x:v>
      </x:c>
      <x:c r="I223" s="2" t="s">
        <x:v>167</x:v>
      </x:c>
      <x:c r="J223" s="2">
        <x:v>4</x:v>
      </x:c>
      <x:c r="K223" s="2" t="s">
        <x:v>109</x:v>
      </x:c>
      <x:c r="L223" s="2" t="s">
        <x:v>110</x:v>
      </x:c>
      <x:c r="M223" s="2"/>
      <x:c r="N223" s="2">
        <x:v>50000</x:v>
      </x:c>
      <x:c r="O223" s="2">
        <x:v>38000</x:v>
      </x:c>
      <x:c r="P223" s="2">
        <x:v>77000</x:v>
      </x:c>
      <x:c r="Q223" s="2" t="s">
        <x:v>111</x:v>
      </x:c>
      <x:c r="R223" s="2">
        <x:v>50000</x:v>
      </x:c>
      <x:c r="S223" s="2" t="s">
        <x:v>111</x:v>
      </x:c>
      <x:c r="T223" s="2">
        <x:v>20</x:v>
      </x:c>
      <x:c r="U223" s="2">
        <x:v>27</x:v>
      </x:c>
      <x:c r="V223" s="2"/>
      <x:c r="W223" s="2"/>
      <x:c r="X223" s="2" t="s">
        <x:v>272</x:v>
      </x:c>
      <x:c r="Y223" s="2" t="s">
        <x:v>113</x:v>
      </x:c>
      <x:c r="Z223" s="2" t="s">
        <x:v>114</x:v>
      </x:c>
      <x:c r="AA223" s="11" t="n">
        <x:f>IFERROR(VLOOKUP(E223,Harmonization_Rules!$A$2:$B$9,2,FALSE),"")</x:f>
        <x:v>51.9961</x:v>
      </x:c>
      <x:c r="AB223" s="2" t="str">
        <x:f t="shared" si="21"/>
        <x:v>PENDING_SOURCE_BASIS</x:v>
      </x:c>
      <x:c r="AC223" s="12" t="str">
        <x:f t="shared" si="22"/>
      </x:c>
      <x:c r="AD223" s="12" t="str">
        <x:f t="shared" si="23"/>
      </x:c>
      <x:c r="AE223" s="12" t="str">
        <x:f t="shared" si="24"/>
      </x:c>
      <x:c r="AF223" s="2" t="str">
        <x:f t="shared" si="25"/>
        <x:v>PENDING_CR_SOURCE_BASIS</x:v>
      </x:c>
      <x:c r="AG223" s="2" t="str">
        <x:f>IF(E223="Cr","Cr(VI) chromate/dichromate rows are retained but molar conversion is held until source-specific compound-vs-ion basis is resolved.",IF(D223=2977,"OBrien 1988 reports total dissolved Cu LC271 values in 10^-6 M; the numeric Analysis_Point is therefore treated directly as umol Cu/L.",IF(AND(D223=6825,L223="Formulation"),"Nipper 1993 source check showed the reported concentrations are nominal Zn; formulation coding does not trigger compound-mass conversion.",IF(Y223="PRIMARY_RECOVERED","Source-recovered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3" s="2" t="str">
        <x:f t="shared" si="26"/>
        <x:v>SECONDARY</x:v>
      </x:c>
      <x:c r="AI223" s="2" t="str">
        <x:f t="shared" si="27"/>
        <x:v>NO</x:v>
      </x:c>
    </x:row>
    <x:row r="224" ht="40.5">
      <x:c r="A224" s="2">
        <x:v>1692</x:v>
      </x:c>
      <x:c r="B224" s="2">
        <x:v>1201130</x:v>
      </x:c>
      <x:c r="C224" s="2">
        <x:v>160593</x:v>
      </x:c>
      <x:c r="D224" s="2">
        <x:v>18307</x:v>
      </x:c>
      <x:c r="E224" s="2" t="s">
        <x:v>163</x:v>
      </x:c>
      <x:c r="F224" s="2" t="s">
        <x:v>267</x:v>
      </x:c>
      <x:c r="G224" s="2" t="s">
        <x:v>129</x:v>
      </x:c>
      <x:c r="H224" s="2" t="s">
        <x:v>107</x:v>
      </x:c>
      <x:c r="I224" s="2" t="s">
        <x:v>167</x:v>
      </x:c>
      <x:c r="J224" s="2">
        <x:v>4</x:v>
      </x:c>
      <x:c r="K224" s="2" t="s">
        <x:v>109</x:v>
      </x:c>
      <x:c r="L224" s="2" t="s">
        <x:v>110</x:v>
      </x:c>
      <x:c r="M224" s="2"/>
      <x:c r="N224" s="2">
        <x:v>34000</x:v>
      </x:c>
      <x:c r="O224" s="2"/>
      <x:c r="P224" s="2"/>
      <x:c r="Q224" s="2" t="s">
        <x:v>111</x:v>
      </x:c>
      <x:c r="R224" s="2">
        <x:v>34000</x:v>
      </x:c>
      <x:c r="S224" s="2" t="s">
        <x:v>111</x:v>
      </x:c>
      <x:c r="T224" s="2">
        <x:v>20</x:v>
      </x:c>
      <x:c r="U224" s="2">
        <x:v>16</x:v>
      </x:c>
      <x:c r="V224" s="2"/>
      <x:c r="W224" s="2"/>
      <x:c r="X224" s="2" t="s">
        <x:v>272</x:v>
      </x:c>
      <x:c r="Y224" s="2" t="s">
        <x:v>113</x:v>
      </x:c>
      <x:c r="Z224" s="2" t="s">
        <x:v>114</x:v>
      </x:c>
      <x:c r="AA224" s="11" t="n">
        <x:f>IFERROR(VLOOKUP(E224,Harmonization_Rules!$A$2:$B$9,2,FALSE),"")</x:f>
        <x:v>51.9961</x:v>
      </x:c>
      <x:c r="AB224" s="2" t="str">
        <x:f t="shared" si="21"/>
        <x:v>PENDING_SOURCE_BASIS</x:v>
      </x:c>
      <x:c r="AC224" s="12" t="str">
        <x:f t="shared" si="22"/>
      </x:c>
      <x:c r="AD224" s="12" t="str">
        <x:f t="shared" si="23"/>
      </x:c>
      <x:c r="AE224" s="12" t="str">
        <x:f t="shared" si="24"/>
      </x:c>
      <x:c r="AF224" s="2" t="str">
        <x:f t="shared" si="25"/>
        <x:v>PENDING_CR_SOURCE_BASIS</x:v>
      </x:c>
      <x:c r="AG224" s="2" t="str">
        <x:f>IF(E224="Cr","Cr(VI) chromate/dichromate rows are retained but molar conversion is held until source-specific compound-vs-ion basis is resolved.",IF(D224=2977,"OBrien 1988 reports total dissolved Cu LC272 values in 10^-6 M; the numeric Analysis_Point is therefore treated directly as umol Cu/L.",IF(AND(D224=6825,L224="Formulation"),"Nipper 1993 source check showed the reported concentrations are nominal Zn; formulation coding does not trigger compound-mass conversion.",IF(Y224="PRIMARY_RECOVERED","Source-recovered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4" s="2" t="str">
        <x:f t="shared" si="26"/>
        <x:v>SECONDARY</x:v>
      </x:c>
      <x:c r="AI224" s="2" t="str">
        <x:f t="shared" si="27"/>
        <x:v>NO</x:v>
      </x:c>
    </x:row>
    <x:row r="225" ht="40.5">
      <x:c r="A225" s="2">
        <x:v>1696</x:v>
      </x:c>
      <x:c r="B225" s="2">
        <x:v>1201119</x:v>
      </x:c>
      <x:c r="C225" s="2">
        <x:v>160582</x:v>
      </x:c>
      <x:c r="D225" s="2">
        <x:v>18307</x:v>
      </x:c>
      <x:c r="E225" s="2" t="s">
        <x:v>163</x:v>
      </x:c>
      <x:c r="F225" s="2" t="s">
        <x:v>267</x:v>
      </x:c>
      <x:c r="G225" s="2" t="s">
        <x:v>129</x:v>
      </x:c>
      <x:c r="H225" s="2" t="s">
        <x:v>107</x:v>
      </x:c>
      <x:c r="I225" s="2" t="s">
        <x:v>167</x:v>
      </x:c>
      <x:c r="J225" s="2">
        <x:v>4</x:v>
      </x:c>
      <x:c r="K225" s="2" t="s">
        <x:v>109</x:v>
      </x:c>
      <x:c r="L225" s="2" t="s">
        <x:v>110</x:v>
      </x:c>
      <x:c r="M225" s="2"/>
      <x:c r="N225" s="2">
        <x:v>22700</x:v>
      </x:c>
      <x:c r="O225" s="2"/>
      <x:c r="P225" s="2"/>
      <x:c r="Q225" s="2" t="s">
        <x:v>111</x:v>
      </x:c>
      <x:c r="R225" s="2">
        <x:v>22700</x:v>
      </x:c>
      <x:c r="S225" s="2" t="s">
        <x:v>111</x:v>
      </x:c>
      <x:c r="T225" s="2">
        <x:v>20</x:v>
      </x:c>
      <x:c r="U225" s="2">
        <x:v>9</x:v>
      </x:c>
      <x:c r="V225" s="2"/>
      <x:c r="W225" s="2"/>
      <x:c r="X225" s="2" t="s">
        <x:v>272</x:v>
      </x:c>
      <x:c r="Y225" s="2" t="s">
        <x:v>113</x:v>
      </x:c>
      <x:c r="Z225" s="2" t="s">
        <x:v>114</x:v>
      </x:c>
      <x:c r="AA225" s="11" t="n">
        <x:f>IFERROR(VLOOKUP(E225,Harmonization_Rules!$A$2:$B$9,2,FALSE),"")</x:f>
        <x:v>51.9961</x:v>
      </x:c>
      <x:c r="AB225" s="2" t="str">
        <x:f t="shared" si="21"/>
        <x:v>PENDING_SOURCE_BASIS</x:v>
      </x:c>
      <x:c r="AC225" s="12" t="str">
        <x:f t="shared" si="22"/>
      </x:c>
      <x:c r="AD225" s="12" t="str">
        <x:f t="shared" si="23"/>
      </x:c>
      <x:c r="AE225" s="12" t="str">
        <x:f t="shared" si="24"/>
      </x:c>
      <x:c r="AF225" s="2" t="str">
        <x:f t="shared" si="25"/>
        <x:v>PENDING_CR_SOURCE_BASIS</x:v>
      </x:c>
      <x:c r="AG225" s="2" t="str">
        <x:f>IF(E225="Cr","Cr(VI) chromate/dichromate rows are retained but molar conversion is held until source-specific compound-vs-ion basis is resolved.",IF(D225=2977,"OBrien 1988 reports total dissolved Cu LC273 values in 10^-6 M; the numeric Analysis_Point is therefore treated directly as umol Cu/L.",IF(AND(D225=6825,L225="Formulation"),"Nipper 1993 source check showed the reported concentrations are nominal Zn; formulation coding does not trigger compound-mass conversion.",IF(Y225="PRIMARY_RECOVERED","Source-recovered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5" s="2" t="str">
        <x:f t="shared" si="26"/>
        <x:v>SECONDARY</x:v>
      </x:c>
      <x:c r="AI225" s="2" t="str">
        <x:f t="shared" si="27"/>
        <x:v>NO</x:v>
      </x:c>
    </x:row>
    <x:row r="226" ht="40.5">
      <x:c r="A226" s="2">
        <x:v>1699</x:v>
      </x:c>
      <x:c r="B226" s="2">
        <x:v>1201120</x:v>
      </x:c>
      <x:c r="C226" s="2">
        <x:v>160583</x:v>
      </x:c>
      <x:c r="D226" s="2">
        <x:v>18307</x:v>
      </x:c>
      <x:c r="E226" s="2" t="s">
        <x:v>163</x:v>
      </x:c>
      <x:c r="F226" s="2" t="s">
        <x:v>267</x:v>
      </x:c>
      <x:c r="G226" s="2" t="s">
        <x:v>129</x:v>
      </x:c>
      <x:c r="H226" s="2" t="s">
        <x:v>107</x:v>
      </x:c>
      <x:c r="I226" s="2" t="s">
        <x:v>167</x:v>
      </x:c>
      <x:c r="J226" s="2">
        <x:v>4</x:v>
      </x:c>
      <x:c r="K226" s="2" t="s">
        <x:v>109</x:v>
      </x:c>
      <x:c r="L226" s="2" t="s">
        <x:v>110</x:v>
      </x:c>
      <x:c r="M226" s="2"/>
      <x:c r="N226" s="2">
        <x:v>15500</x:v>
      </x:c>
      <x:c r="O226" s="2"/>
      <x:c r="P226" s="2"/>
      <x:c r="Q226" s="2" t="s">
        <x:v>111</x:v>
      </x:c>
      <x:c r="R226" s="2">
        <x:v>15500</x:v>
      </x:c>
      <x:c r="S226" s="2" t="s">
        <x:v>111</x:v>
      </x:c>
      <x:c r="T226" s="2">
        <x:v>20</x:v>
      </x:c>
      <x:c r="U226" s="2">
        <x:v>9</x:v>
      </x:c>
      <x:c r="V226" s="2"/>
      <x:c r="W226" s="2"/>
      <x:c r="X226" s="2" t="s">
        <x:v>272</x:v>
      </x:c>
      <x:c r="Y226" s="2" t="s">
        <x:v>113</x:v>
      </x:c>
      <x:c r="Z226" s="2" t="s">
        <x:v>114</x:v>
      </x:c>
      <x:c r="AA226" s="11" t="n">
        <x:f>IFERROR(VLOOKUP(E226,Harmonization_Rules!$A$2:$B$9,2,FALSE),"")</x:f>
        <x:v>51.9961</x:v>
      </x:c>
      <x:c r="AB226" s="2" t="str">
        <x:f t="shared" si="21"/>
        <x:v>PENDING_SOURCE_BASIS</x:v>
      </x:c>
      <x:c r="AC226" s="12" t="str">
        <x:f t="shared" si="22"/>
      </x:c>
      <x:c r="AD226" s="12" t="str">
        <x:f t="shared" si="23"/>
      </x:c>
      <x:c r="AE226" s="12" t="str">
        <x:f t="shared" si="24"/>
      </x:c>
      <x:c r="AF226" s="2" t="str">
        <x:f t="shared" si="25"/>
        <x:v>PENDING_CR_SOURCE_BASIS</x:v>
      </x:c>
      <x:c r="AG226" s="2" t="str">
        <x:f>IF(E226="Cr","Cr(VI) chromate/dichromate rows are retained but molar conversion is held until source-specific compound-vs-ion basis is resolved.",IF(D226=2977,"OBrien 1988 reports total dissolved Cu LC274 values in 10^-6 M; the numeric Analysis_Point is therefore treated directly as umol Cu/L.",IF(AND(D226=6825,L226="Formulation"),"Nipper 1993 source check showed the reported concentrations are nominal Zn; formulation coding does not trigger compound-mass conversion.",IF(Y226="PRIMARY_RECOVERED","Source-recovered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6" s="2" t="str">
        <x:f t="shared" si="26"/>
        <x:v>SECONDARY</x:v>
      </x:c>
      <x:c r="AI226" s="2" t="str">
        <x:f t="shared" si="27"/>
        <x:v>NO</x:v>
      </x:c>
    </x:row>
    <x:row r="227" ht="40.5">
      <x:c r="A227" s="2">
        <x:v>1702</x:v>
      </x:c>
      <x:c r="B227" s="2">
        <x:v>1201107</x:v>
      </x:c>
      <x:c r="C227" s="2">
        <x:v>160570</x:v>
      </x:c>
      <x:c r="D227" s="2">
        <x:v>18307</x:v>
      </x:c>
      <x:c r="E227" s="2" t="s">
        <x:v>163</x:v>
      </x:c>
      <x:c r="F227" s="2" t="s">
        <x:v>267</x:v>
      </x:c>
      <x:c r="G227" s="2" t="s">
        <x:v>129</x:v>
      </x:c>
      <x:c r="H227" s="2" t="s">
        <x:v>107</x:v>
      </x:c>
      <x:c r="I227" s="2" t="s">
        <x:v>167</x:v>
      </x:c>
      <x:c r="J227" s="2">
        <x:v>3</x:v>
      </x:c>
      <x:c r="K227" s="2" t="s">
        <x:v>109</x:v>
      </x:c>
      <x:c r="L227" s="2" t="s">
        <x:v>110</x:v>
      </x:c>
      <x:c r="M227" s="2"/>
      <x:c r="N227" s="2">
        <x:v>16000</x:v>
      </x:c>
      <x:c r="O227" s="2">
        <x:v>12000</x:v>
      </x:c>
      <x:c r="P227" s="2">
        <x:v>21000</x:v>
      </x:c>
      <x:c r="Q227" s="2" t="s">
        <x:v>111</x:v>
      </x:c>
      <x:c r="R227" s="2">
        <x:v>16000</x:v>
      </x:c>
      <x:c r="S227" s="2" t="s">
        <x:v>111</x:v>
      </x:c>
      <x:c r="T227" s="2">
        <x:v>20</x:v>
      </x:c>
      <x:c r="U227" s="2">
        <x:v>6.8</x:v>
      </x:c>
      <x:c r="V227" s="2"/>
      <x:c r="W227" s="2"/>
      <x:c r="X227" s="2" t="s">
        <x:v>272</x:v>
      </x:c>
      <x:c r="Y227" s="2" t="s">
        <x:v>113</x:v>
      </x:c>
      <x:c r="Z227" s="2" t="s">
        <x:v>114</x:v>
      </x:c>
      <x:c r="AA227" s="11" t="n">
        <x:f>IFERROR(VLOOKUP(E227,Harmonization_Rules!$A$2:$B$9,2,FALSE),"")</x:f>
        <x:v>51.9961</x:v>
      </x:c>
      <x:c r="AB227" s="2" t="str">
        <x:f t="shared" si="21"/>
        <x:v>PENDING_SOURCE_BASIS</x:v>
      </x:c>
      <x:c r="AC227" s="12" t="str">
        <x:f t="shared" si="22"/>
      </x:c>
      <x:c r="AD227" s="12" t="str">
        <x:f t="shared" si="23"/>
      </x:c>
      <x:c r="AE227" s="12" t="str">
        <x:f t="shared" si="24"/>
      </x:c>
      <x:c r="AF227" s="2" t="str">
        <x:f t="shared" si="25"/>
        <x:v>PENDING_CR_SOURCE_BASIS</x:v>
      </x:c>
      <x:c r="AG227" s="2" t="str">
        <x:f>IF(E227="Cr","Cr(VI) chromate/dichromate rows are retained but molar conversion is held until source-specific compound-vs-ion basis is resolved.",IF(D227=2977,"OBrien 1988 reports total dissolved Cu LC275 values in 10^-6 M; the numeric Analysis_Point is therefore treated directly as umol Cu/L.",IF(AND(D227=6825,L227="Formulation"),"Nipper 1993 source check showed the reported concentrations are nominal Zn; formulation coding does not trigger compound-mass conversion.",IF(Y227="PRIMARY_RECOVERED","Source-recovered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7" s="2" t="str">
        <x:f t="shared" si="26"/>
        <x:v>SECONDARY</x:v>
      </x:c>
      <x:c r="AI227" s="2" t="str">
        <x:f t="shared" si="27"/>
        <x:v>NO</x:v>
      </x:c>
    </x:row>
    <x:row r="228" ht="40.5">
      <x:c r="A228" s="2">
        <x:v>1705</x:v>
      </x:c>
      <x:c r="B228" s="2">
        <x:v>2314542</x:v>
      </x:c>
      <x:c r="C228" s="2">
        <x:v>2781646</x:v>
      </x:c>
      <x:c r="D228" s="2">
        <x:v>52818</x:v>
      </x:c>
      <x:c r="E228" s="2" t="s">
        <x:v>163</x:v>
      </x:c>
      <x:c r="F228" s="2" t="s">
        <x:v>267</x:v>
      </x:c>
      <x:c r="G228" s="2" t="s">
        <x:v>134</x:v>
      </x:c>
      <x:c r="H228" s="2" t="s">
        <x:v>135</x:v>
      </x:c>
      <x:c r="I228" s="2" t="s">
        <x:v>108</x:v>
      </x:c>
      <x:c r="J228" s="2">
        <x:v>1</x:v>
      </x:c>
      <x:c r="K228" s="2" t="s">
        <x:v>117</x:v>
      </x:c>
      <x:c r="L228" s="2" t="s">
        <x:v>110</x:v>
      </x:c>
      <x:c r="M228" s="2"/>
      <x:c r="N228" s="2">
        <x:v>47</x:v>
      </x:c>
      <x:c r="O228" s="2">
        <x:v>38</x:v>
      </x:c>
      <x:c r="P228" s="2">
        <x:v>63</x:v>
      </x:c>
      <x:c r="Q228" s="2" t="s">
        <x:v>121</x:v>
      </x:c>
      <x:c r="R228" s="2">
        <x:v>47</x:v>
      </x:c>
      <x:c r="S228" s="2" t="s">
        <x:v>121</x:v>
      </x:c>
      <x:c r="T228" s="2">
        <x:v>20</x:v>
      </x:c>
      <x:c r="U228" s="2">
        <x:v>18</x:v>
      </x:c>
      <x:c r="V228" s="2"/>
      <x:c r="W228" s="2"/>
      <x:c r="X228" s="2" t="s">
        <x:v>273</x:v>
      </x:c>
      <x:c r="Y228" s="2" t="s">
        <x:v>113</x:v>
      </x:c>
      <x:c r="Z228" s="2" t="s">
        <x:v>114</x:v>
      </x:c>
      <x:c r="AA228" s="11" t="n">
        <x:f>IFERROR(VLOOKUP(E228,Harmonization_Rules!$A$2:$B$9,2,FALSE),"")</x:f>
        <x:v>51.9961</x:v>
      </x:c>
      <x:c r="AB228" s="2" t="str">
        <x:f t="shared" si="21"/>
        <x:v>PENDING_SOURCE_BASIS</x:v>
      </x:c>
      <x:c r="AC228" s="12" t="str">
        <x:f t="shared" si="22"/>
      </x:c>
      <x:c r="AD228" s="12" t="str">
        <x:f t="shared" si="23"/>
      </x:c>
      <x:c r="AE228" s="12" t="str">
        <x:f t="shared" si="24"/>
      </x:c>
      <x:c r="AF228" s="2" t="str">
        <x:f t="shared" si="25"/>
        <x:v>PENDING_CR_SOURCE_BASIS</x:v>
      </x:c>
      <x:c r="AG228" s="2" t="str">
        <x:f>IF(E228="Cr","Cr(VI) chromate/dichromate rows are retained but molar conversion is held until source-specific compound-vs-ion basis is resolved.",IF(D228=2977,"OBrien 1988 reports total dissolved Cu LC276 values in 10^-6 M; the numeric Analysis_Point is therefore treated directly as umol Cu/L.",IF(AND(D228=6825,L228="Formulation"),"Nipper 1993 source check showed the reported concentrations are nominal Zn; formulation coding does not trigger compound-mass conversion.",IF(Y228="PRIMARY_RECOVERED","Source-recovered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8" s="2" t="str">
        <x:f t="shared" si="26"/>
        <x:v>SECONDARY</x:v>
      </x:c>
      <x:c r="AI228" s="2" t="str">
        <x:f t="shared" si="27"/>
        <x:v>NO</x:v>
      </x:c>
    </x:row>
    <x:row r="229" ht="40.5">
      <x:c r="A229" s="2">
        <x:v>1706</x:v>
      </x:c>
      <x:c r="B229" s="2">
        <x:v>2314542</x:v>
      </x:c>
      <x:c r="C229" s="2">
        <x:v>2781647</x:v>
      </x:c>
      <x:c r="D229" s="2">
        <x:v>52818</x:v>
      </x:c>
      <x:c r="E229" s="2" t="s">
        <x:v>163</x:v>
      </x:c>
      <x:c r="F229" s="2" t="s">
        <x:v>267</x:v>
      </x:c>
      <x:c r="G229" s="2" t="s">
        <x:v>134</x:v>
      </x:c>
      <x:c r="H229" s="2" t="s">
        <x:v>135</x:v>
      </x:c>
      <x:c r="I229" s="2" t="s">
        <x:v>108</x:v>
      </x:c>
      <x:c r="J229" s="2">
        <x:v>2</x:v>
      </x:c>
      <x:c r="K229" s="2" t="s">
        <x:v>117</x:v>
      </x:c>
      <x:c r="L229" s="2" t="s">
        <x:v>110</x:v>
      </x:c>
      <x:c r="M229" s="2"/>
      <x:c r="N229" s="2">
        <x:v>16</x:v>
      </x:c>
      <x:c r="O229" s="2">
        <x:v>13</x:v>
      </x:c>
      <x:c r="P229" s="2">
        <x:v>21</x:v>
      </x:c>
      <x:c r="Q229" s="2" t="s">
        <x:v>121</x:v>
      </x:c>
      <x:c r="R229" s="2">
        <x:v>16</x:v>
      </x:c>
      <x:c r="S229" s="2" t="s">
        <x:v>121</x:v>
      </x:c>
      <x:c r="T229" s="2">
        <x:v>20</x:v>
      </x:c>
      <x:c r="U229" s="2">
        <x:v>18</x:v>
      </x:c>
      <x:c r="V229" s="2"/>
      <x:c r="W229" s="2"/>
      <x:c r="X229" s="2" t="s">
        <x:v>273</x:v>
      </x:c>
      <x:c r="Y229" s="2" t="s">
        <x:v>113</x:v>
      </x:c>
      <x:c r="Z229" s="2" t="s">
        <x:v>114</x:v>
      </x:c>
      <x:c r="AA229" s="11" t="n">
        <x:f>IFERROR(VLOOKUP(E229,Harmonization_Rules!$A$2:$B$9,2,FALSE),"")</x:f>
        <x:v>51.9961</x:v>
      </x:c>
      <x:c r="AB229" s="2" t="str">
        <x:f t="shared" si="21"/>
        <x:v>PENDING_SOURCE_BASIS</x:v>
      </x:c>
      <x:c r="AC229" s="12" t="str">
        <x:f t="shared" si="22"/>
      </x:c>
      <x:c r="AD229" s="12" t="str">
        <x:f t="shared" si="23"/>
      </x:c>
      <x:c r="AE229" s="12" t="str">
        <x:f t="shared" si="24"/>
      </x:c>
      <x:c r="AF229" s="2" t="str">
        <x:f t="shared" si="25"/>
        <x:v>PENDING_CR_SOURCE_BASIS</x:v>
      </x:c>
      <x:c r="AG229" s="2" t="str">
        <x:f>IF(E229="Cr","Cr(VI) chromate/dichromate rows are retained but molar conversion is held until source-specific compound-vs-ion basis is resolved.",IF(D229=2977,"OBrien 1988 reports total dissolved Cu LC277 values in 10^-6 M; the numeric Analysis_Point is therefore treated directly as umol Cu/L.",IF(AND(D229=6825,L229="Formulation"),"Nipper 1993 source check showed the reported concentrations are nominal Zn; formulation coding does not trigger compound-mass conversion.",IF(Y229="PRIMARY_RECOVERED","Source-recovered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29" s="2" t="str">
        <x:f t="shared" si="26"/>
        <x:v>SECONDARY</x:v>
      </x:c>
      <x:c r="AI229" s="2" t="str">
        <x:f t="shared" si="27"/>
        <x:v>NO</x:v>
      </x:c>
    </x:row>
    <x:row r="230" ht="40.5">
      <x:c r="A230" s="2">
        <x:v>1709</x:v>
      </x:c>
      <x:c r="B230" s="2">
        <x:v>1159875</x:v>
      </x:c>
      <x:c r="C230" s="2">
        <x:v>142884</x:v>
      </x:c>
      <x:c r="D230" s="2">
        <x:v>14137</x:v>
      </x:c>
      <x:c r="E230" s="2" t="s">
        <x:v>163</x:v>
      </x:c>
      <x:c r="F230" s="2" t="s">
        <x:v>267</x:v>
      </x:c>
      <x:c r="G230" s="2" t="s">
        <x:v>132</x:v>
      </x:c>
      <x:c r="H230" s="2" t="s">
        <x:v>107</x:v>
      </x:c>
      <x:c r="I230" s="2" t="s">
        <x:v>108</x:v>
      </x:c>
      <x:c r="J230" s="2">
        <x:v>4</x:v>
      </x:c>
      <x:c r="K230" s="2" t="s">
        <x:v>126</x:v>
      </x:c>
      <x:c r="L230" s="2" t="s">
        <x:v>110</x:v>
      </x:c>
      <x:c r="M230" s="2"/>
      <x:c r="N230" s="2">
        <x:v>5900</x:v>
      </x:c>
      <x:c r="O230" s="2"/>
      <x:c r="P230" s="2"/>
      <x:c r="Q230" s="2" t="s">
        <x:v>111</x:v>
      </x:c>
      <x:c r="R230" s="2">
        <x:v>5900</x:v>
      </x:c>
      <x:c r="S230" s="2" t="s">
        <x:v>111</x:v>
      </x:c>
      <x:c r="T230" s="2"/>
      <x:c r="U230" s="2"/>
      <x:c r="V230" s="2"/>
      <x:c r="W230" s="2"/>
      <x:c r="X230" s="2" t="s">
        <x:v>133</x:v>
      </x:c>
      <x:c r="Y230" s="2" t="s">
        <x:v>113</x:v>
      </x:c>
      <x:c r="Z230" s="2" t="s">
        <x:v>114</x:v>
      </x:c>
      <x:c r="AA230" s="11" t="n">
        <x:f>IFERROR(VLOOKUP(E230,Harmonization_Rules!$A$2:$B$9,2,FALSE),"")</x:f>
        <x:v>51.9961</x:v>
      </x:c>
      <x:c r="AB230" s="2" t="str">
        <x:f t="shared" si="21"/>
        <x:v>PENDING_SOURCE_BASIS</x:v>
      </x:c>
      <x:c r="AC230" s="12" t="str">
        <x:f t="shared" si="22"/>
      </x:c>
      <x:c r="AD230" s="12" t="str">
        <x:f t="shared" si="23"/>
      </x:c>
      <x:c r="AE230" s="12" t="str">
        <x:f t="shared" si="24"/>
      </x:c>
      <x:c r="AF230" s="2" t="str">
        <x:f t="shared" si="25"/>
        <x:v>PENDING_CR_SOURCE_BASIS</x:v>
      </x:c>
      <x:c r="AG230" s="2" t="str">
        <x:f>IF(E230="Cr","Cr(VI) chromate/dichromate rows are retained but molar conversion is held until source-specific compound-vs-ion basis is resolved.",IF(D230=2977,"OBrien 1988 reports total dissolved Cu LC278 values in 10^-6 M; the numeric Analysis_Point is therefore treated directly as umol Cu/L.",IF(AND(D230=6825,L230="Formulation"),"Nipper 1993 source check showed the reported concentrations are nominal Zn; formulation coding does not trigger compound-mass conversion.",IF(Y230="PRIMARY_RECOVERED","Source-recovered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0" s="2" t="str">
        <x:f t="shared" si="26"/>
        <x:v>SECONDARY</x:v>
      </x:c>
      <x:c r="AI230" s="2" t="str">
        <x:f t="shared" si="27"/>
        <x:v>NO</x:v>
      </x:c>
    </x:row>
    <x:row r="231" ht="40.5">
      <x:c r="A231" s="2">
        <x:v>1712</x:v>
      </x:c>
      <x:c r="B231" s="2">
        <x:v>2314544</x:v>
      </x:c>
      <x:c r="C231" s="2">
        <x:v>2781653</x:v>
      </x:c>
      <x:c r="D231" s="2">
        <x:v>52818</x:v>
      </x:c>
      <x:c r="E231" s="2" t="s">
        <x:v>163</x:v>
      </x:c>
      <x:c r="F231" s="2" t="s">
        <x:v>267</x:v>
      </x:c>
      <x:c r="G231" s="2" t="s">
        <x:v>134</x:v>
      </x:c>
      <x:c r="H231" s="2" t="s">
        <x:v>135</x:v>
      </x:c>
      <x:c r="I231" s="2" t="s">
        <x:v>108</x:v>
      </x:c>
      <x:c r="J231" s="2">
        <x:v>2</x:v>
      </x:c>
      <x:c r="K231" s="2" t="s">
        <x:v>117</x:v>
      </x:c>
      <x:c r="L231" s="2" t="s">
        <x:v>110</x:v>
      </x:c>
      <x:c r="M231" s="2"/>
      <x:c r="N231" s="2">
        <x:v>10</x:v>
      </x:c>
      <x:c r="O231" s="2">
        <x:v>8.6999999999999993</x:v>
      </x:c>
      <x:c r="P231" s="2">
        <x:v>12</x:v>
      </x:c>
      <x:c r="Q231" s="2" t="s">
        <x:v>121</x:v>
      </x:c>
      <x:c r="R231" s="2">
        <x:v>10</x:v>
      </x:c>
      <x:c r="S231" s="2" t="s">
        <x:v>121</x:v>
      </x:c>
      <x:c r="T231" s="2">
        <x:v>20</x:v>
      </x:c>
      <x:c r="U231" s="2">
        <x:v>18</x:v>
      </x:c>
      <x:c r="V231" s="2"/>
      <x:c r="W231" s="2"/>
      <x:c r="X231" s="2" t="s">
        <x:v>273</x:v>
      </x:c>
      <x:c r="Y231" s="2" t="s">
        <x:v>113</x:v>
      </x:c>
      <x:c r="Z231" s="2" t="s">
        <x:v>114</x:v>
      </x:c>
      <x:c r="AA231" s="11" t="n">
        <x:f>IFERROR(VLOOKUP(E231,Harmonization_Rules!$A$2:$B$9,2,FALSE),"")</x:f>
        <x:v>51.9961</x:v>
      </x:c>
      <x:c r="AB231" s="2" t="str">
        <x:f t="shared" si="21"/>
        <x:v>PENDING_SOURCE_BASIS</x:v>
      </x:c>
      <x:c r="AC231" s="12" t="str">
        <x:f t="shared" si="22"/>
      </x:c>
      <x:c r="AD231" s="12" t="str">
        <x:f t="shared" si="23"/>
      </x:c>
      <x:c r="AE231" s="12" t="str">
        <x:f t="shared" si="24"/>
      </x:c>
      <x:c r="AF231" s="2" t="str">
        <x:f t="shared" si="25"/>
        <x:v>PENDING_CR_SOURCE_BASIS</x:v>
      </x:c>
      <x:c r="AG231" s="2" t="str">
        <x:f>IF(E231="Cr","Cr(VI) chromate/dichromate rows are retained but molar conversion is held until source-specific compound-vs-ion basis is resolved.",IF(D231=2977,"OBrien 1988 reports total dissolved Cu LC279 values in 10^-6 M; the numeric Analysis_Point is therefore treated directly as umol Cu/L.",IF(AND(D231=6825,L231="Formulation"),"Nipper 1993 source check showed the reported concentrations are nominal Zn; formulation coding does not trigger compound-mass conversion.",IF(Y231="PRIMARY_RECOVERED","Source-recovered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1" s="2" t="str">
        <x:f t="shared" si="26"/>
        <x:v>SECONDARY</x:v>
      </x:c>
      <x:c r="AI231" s="2" t="str">
        <x:f t="shared" si="27"/>
        <x:v>NO</x:v>
      </x:c>
    </x:row>
    <x:row r="232" ht="40.5">
      <x:c r="A232" s="2">
        <x:v>1713</x:v>
      </x:c>
      <x:c r="B232" s="2">
        <x:v>2314544</x:v>
      </x:c>
      <x:c r="C232" s="2">
        <x:v>2781652</x:v>
      </x:c>
      <x:c r="D232" s="2">
        <x:v>52818</x:v>
      </x:c>
      <x:c r="E232" s="2" t="s">
        <x:v>163</x:v>
      </x:c>
      <x:c r="F232" s="2" t="s">
        <x:v>267</x:v>
      </x:c>
      <x:c r="G232" s="2" t="s">
        <x:v>134</x:v>
      </x:c>
      <x:c r="H232" s="2" t="s">
        <x:v>135</x:v>
      </x:c>
      <x:c r="I232" s="2" t="s">
        <x:v>108</x:v>
      </x:c>
      <x:c r="J232" s="2">
        <x:v>1</x:v>
      </x:c>
      <x:c r="K232" s="2" t="s">
        <x:v>117</x:v>
      </x:c>
      <x:c r="L232" s="2" t="s">
        <x:v>110</x:v>
      </x:c>
      <x:c r="M232" s="2"/>
      <x:c r="N232" s="2">
        <x:v>20</x:v>
      </x:c>
      <x:c r="O232" s="2">
        <x:v>17</x:v>
      </x:c>
      <x:c r="P232" s="2">
        <x:v>23</x:v>
      </x:c>
      <x:c r="Q232" s="2" t="s">
        <x:v>121</x:v>
      </x:c>
      <x:c r="R232" s="2">
        <x:v>20</x:v>
      </x:c>
      <x:c r="S232" s="2" t="s">
        <x:v>121</x:v>
      </x:c>
      <x:c r="T232" s="2">
        <x:v>20</x:v>
      </x:c>
      <x:c r="U232" s="2">
        <x:v>18</x:v>
      </x:c>
      <x:c r="V232" s="2"/>
      <x:c r="W232" s="2"/>
      <x:c r="X232" s="2" t="s">
        <x:v>273</x:v>
      </x:c>
      <x:c r="Y232" s="2" t="s">
        <x:v>113</x:v>
      </x:c>
      <x:c r="Z232" s="2" t="s">
        <x:v>114</x:v>
      </x:c>
      <x:c r="AA232" s="11" t="n">
        <x:f>IFERROR(VLOOKUP(E232,Harmonization_Rules!$A$2:$B$9,2,FALSE),"")</x:f>
        <x:v>51.9961</x:v>
      </x:c>
      <x:c r="AB232" s="2" t="str">
        <x:f t="shared" si="21"/>
        <x:v>PENDING_SOURCE_BASIS</x:v>
      </x:c>
      <x:c r="AC232" s="12" t="str">
        <x:f t="shared" si="22"/>
      </x:c>
      <x:c r="AD232" s="12" t="str">
        <x:f t="shared" si="23"/>
      </x:c>
      <x:c r="AE232" s="12" t="str">
        <x:f t="shared" si="24"/>
      </x:c>
      <x:c r="AF232" s="2" t="str">
        <x:f t="shared" si="25"/>
        <x:v>PENDING_CR_SOURCE_BASIS</x:v>
      </x:c>
      <x:c r="AG232" s="2" t="str">
        <x:f>IF(E232="Cr","Cr(VI) chromate/dichromate rows are retained but molar conversion is held until source-specific compound-vs-ion basis is resolved.",IF(D232=2977,"OBrien 1988 reports total dissolved Cu LC280 values in 10^-6 M; the numeric Analysis_Point is therefore treated directly as umol Cu/L.",IF(AND(D232=6825,L232="Formulation"),"Nipper 1993 source check showed the reported concentrations are nominal Zn; formulation coding does not trigger compound-mass conversion.",IF(Y232="PRIMARY_RECOVERED","Source-recovered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2" s="2" t="str">
        <x:f t="shared" si="26"/>
        <x:v>SECONDARY</x:v>
      </x:c>
      <x:c r="AI232" s="2" t="str">
        <x:f t="shared" si="27"/>
        <x:v>NO</x:v>
      </x:c>
    </x:row>
    <x:row r="233" ht="40.5">
      <x:c r="A233" s="2">
        <x:v>1715</x:v>
      </x:c>
      <x:c r="B233" s="2">
        <x:v>2114272</x:v>
      </x:c>
      <x:c r="C233" s="2">
        <x:v>2208825</x:v>
      </x:c>
      <x:c r="D233" s="2">
        <x:v>167149</x:v>
      </x:c>
      <x:c r="E233" s="2" t="s">
        <x:v>163</x:v>
      </x:c>
      <x:c r="F233" s="2" t="s">
        <x:v>267</x:v>
      </x:c>
      <x:c r="G233" s="2" t="s">
        <x:v>134</x:v>
      </x:c>
      <x:c r="H233" s="2" t="s">
        <x:v>135</x:v>
      </x:c>
      <x:c r="I233" s="2" t="s">
        <x:v>159</x:v>
      </x:c>
      <x:c r="J233" s="2">
        <x:v>2</x:v>
      </x:c>
      <x:c r="K233" s="2" t="s">
        <x:v>117</x:v>
      </x:c>
      <x:c r="L233" s="2" t="s">
        <x:v>110</x:v>
      </x:c>
      <x:c r="M233" s="2"/>
      <x:c r="N233" s="2">
        <x:v>10.6</x:v>
      </x:c>
      <x:c r="O233" s="2">
        <x:v>7.2</x:v>
      </x:c>
      <x:c r="P233" s="2">
        <x:v>26</x:v>
      </x:c>
      <x:c r="Q233" s="2" t="s">
        <x:v>121</x:v>
      </x:c>
      <x:c r="R233" s="2">
        <x:v>10.6</x:v>
      </x:c>
      <x:c r="S233" s="2" t="s">
        <x:v>121</x:v>
      </x:c>
      <x:c r="T233" s="2">
        <x:v>25</x:v>
      </x:c>
      <x:c r="U233" s="2"/>
      <x:c r="V233" s="2">
        <x:v>8.1</x:v>
      </x:c>
      <x:c r="W233" s="2"/>
      <x:c r="X233" s="2" t="s">
        <x:v>274</x:v>
      </x:c>
      <x:c r="Y233" s="2" t="s">
        <x:v>113</x:v>
      </x:c>
      <x:c r="Z233" s="2" t="s">
        <x:v>114</x:v>
      </x:c>
      <x:c r="AA233" s="11" t="n">
        <x:f>IFERROR(VLOOKUP(E233,Harmonization_Rules!$A$2:$B$9,2,FALSE),"")</x:f>
        <x:v>51.9961</x:v>
      </x:c>
      <x:c r="AB233" s="2" t="str">
        <x:f t="shared" si="21"/>
        <x:v>PENDING_SOURCE_BASIS</x:v>
      </x:c>
      <x:c r="AC233" s="12" t="str">
        <x:f t="shared" si="22"/>
      </x:c>
      <x:c r="AD233" s="12" t="str">
        <x:f t="shared" si="23"/>
      </x:c>
      <x:c r="AE233" s="12" t="str">
        <x:f t="shared" si="24"/>
      </x:c>
      <x:c r="AF233" s="2" t="str">
        <x:f t="shared" si="25"/>
        <x:v>PENDING_CR_SOURCE_BASIS</x:v>
      </x:c>
      <x:c r="AG233" s="2" t="str">
        <x:f>IF(E233="Cr","Cr(VI) chromate/dichromate rows are retained but molar conversion is held until source-specific compound-vs-ion basis is resolved.",IF(D233=2977,"OBrien 1988 reports total dissolved Cu LC281 values in 10^-6 M; the numeric Analysis_Point is therefore treated directly as umol Cu/L.",IF(AND(D233=6825,L233="Formulation"),"Nipper 1993 source check showed the reported concentrations are nominal Zn; formulation coding does not trigger compound-mass conversion.",IF(Y233="PRIMARY_RECOVERED","Source-recovered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3" s="2" t="str">
        <x:f t="shared" si="26"/>
        <x:v>SECONDARY</x:v>
      </x:c>
      <x:c r="AI233" s="2" t="str">
        <x:f t="shared" si="27"/>
        <x:v>NO</x:v>
      </x:c>
    </x:row>
    <x:row r="234" ht="40.5">
      <x:c r="A234" s="2">
        <x:v>1716</x:v>
      </x:c>
      <x:c r="B234" s="2">
        <x:v>2114255</x:v>
      </x:c>
      <x:c r="C234" s="2">
        <x:v>2208798</x:v>
      </x:c>
      <x:c r="D234" s="2">
        <x:v>167149</x:v>
      </x:c>
      <x:c r="E234" s="2" t="s">
        <x:v>163</x:v>
      </x:c>
      <x:c r="F234" s="2" t="s">
        <x:v>267</x:v>
      </x:c>
      <x:c r="G234" s="2" t="s">
        <x:v>134</x:v>
      </x:c>
      <x:c r="H234" s="2" t="s">
        <x:v>135</x:v>
      </x:c>
      <x:c r="I234" s="2" t="s">
        <x:v>159</x:v>
      </x:c>
      <x:c r="J234" s="2">
        <x:v>2</x:v>
      </x:c>
      <x:c r="K234" s="2" t="s">
        <x:v>117</x:v>
      </x:c>
      <x:c r="L234" s="2" t="s">
        <x:v>110</x:v>
      </x:c>
      <x:c r="M234" s="2"/>
      <x:c r="N234" s="2">
        <x:v>11.9</x:v>
      </x:c>
      <x:c r="O234" s="2">
        <x:v>7.2</x:v>
      </x:c>
      <x:c r="P234" s="2">
        <x:v>26</x:v>
      </x:c>
      <x:c r="Q234" s="2" t="s">
        <x:v>121</x:v>
      </x:c>
      <x:c r="R234" s="2">
        <x:v>11.9</x:v>
      </x:c>
      <x:c r="S234" s="2" t="s">
        <x:v>121</x:v>
      </x:c>
      <x:c r="T234" s="2">
        <x:v>25</x:v>
      </x:c>
      <x:c r="U234" s="2"/>
      <x:c r="V234" s="2"/>
      <x:c r="W234" s="2"/>
      <x:c r="X234" s="2" t="s">
        <x:v>274</x:v>
      </x:c>
      <x:c r="Y234" s="2" t="s">
        <x:v>113</x:v>
      </x:c>
      <x:c r="Z234" s="2" t="s">
        <x:v>114</x:v>
      </x:c>
      <x:c r="AA234" s="11" t="n">
        <x:f>IFERROR(VLOOKUP(E234,Harmonization_Rules!$A$2:$B$9,2,FALSE),"")</x:f>
        <x:v>51.9961</x:v>
      </x:c>
      <x:c r="AB234" s="2" t="str">
        <x:f t="shared" si="21"/>
        <x:v>PENDING_SOURCE_BASIS</x:v>
      </x:c>
      <x:c r="AC234" s="12" t="str">
        <x:f t="shared" si="22"/>
      </x:c>
      <x:c r="AD234" s="12" t="str">
        <x:f t="shared" si="23"/>
      </x:c>
      <x:c r="AE234" s="12" t="str">
        <x:f t="shared" si="24"/>
      </x:c>
      <x:c r="AF234" s="2" t="str">
        <x:f t="shared" si="25"/>
        <x:v>PENDING_CR_SOURCE_BASIS</x:v>
      </x:c>
      <x:c r="AG234" s="2" t="str">
        <x:f>IF(E234="Cr","Cr(VI) chromate/dichromate rows are retained but molar conversion is held until source-specific compound-vs-ion basis is resolved.",IF(D234=2977,"OBrien 1988 reports total dissolved Cu LC282 values in 10^-6 M; the numeric Analysis_Point is therefore treated directly as umol Cu/L.",IF(AND(D234=6825,L234="Formulation"),"Nipper 1993 source check showed the reported concentrations are nominal Zn; formulation coding does not trigger compound-mass conversion.",IF(Y234="PRIMARY_RECOVERED","Source-recovered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4" s="2" t="str">
        <x:f t="shared" si="26"/>
        <x:v>SECONDARY</x:v>
      </x:c>
      <x:c r="AI234" s="2" t="str">
        <x:f t="shared" si="27"/>
        <x:v>NO</x:v>
      </x:c>
    </x:row>
    <x:row r="235" ht="40.5">
      <x:c r="A235" s="2">
        <x:v>1717</x:v>
      </x:c>
      <x:c r="B235" s="2">
        <x:v>1201124</x:v>
      </x:c>
      <x:c r="C235" s="2">
        <x:v>160587</x:v>
      </x:c>
      <x:c r="D235" s="2">
        <x:v>18307</x:v>
      </x:c>
      <x:c r="E235" s="2" t="s">
        <x:v>163</x:v>
      </x:c>
      <x:c r="F235" s="2" t="s">
        <x:v>267</x:v>
      </x:c>
      <x:c r="G235" s="2" t="s">
        <x:v>129</x:v>
      </x:c>
      <x:c r="H235" s="2" t="s">
        <x:v>107</x:v>
      </x:c>
      <x:c r="I235" s="2" t="s">
        <x:v>167</x:v>
      </x:c>
      <x:c r="J235" s="2">
        <x:v>4</x:v>
      </x:c>
      <x:c r="K235" s="2" t="s">
        <x:v>109</x:v>
      </x:c>
      <x:c r="L235" s="2" t="s">
        <x:v>110</x:v>
      </x:c>
      <x:c r="M235" s="2"/>
      <x:c r="N235" s="2">
        <x:v>21000</x:v>
      </x:c>
      <x:c r="O235" s="2"/>
      <x:c r="P235" s="2"/>
      <x:c r="Q235" s="2" t="s">
        <x:v>111</x:v>
      </x:c>
      <x:c r="R235" s="2">
        <x:v>21000</x:v>
      </x:c>
      <x:c r="S235" s="2" t="s">
        <x:v>111</x:v>
      </x:c>
      <x:c r="T235" s="2">
        <x:v>20</x:v>
      </x:c>
      <x:c r="U235" s="2">
        <x:v>9</x:v>
      </x:c>
      <x:c r="V235" s="2"/>
      <x:c r="W235" s="2"/>
      <x:c r="X235" s="2" t="s">
        <x:v>272</x:v>
      </x:c>
      <x:c r="Y235" s="2" t="s">
        <x:v>113</x:v>
      </x:c>
      <x:c r="Z235" s="2" t="s">
        <x:v>114</x:v>
      </x:c>
      <x:c r="AA235" s="11" t="n">
        <x:f>IFERROR(VLOOKUP(E235,Harmonization_Rules!$A$2:$B$9,2,FALSE),"")</x:f>
        <x:v>51.9961</x:v>
      </x:c>
      <x:c r="AB235" s="2" t="str">
        <x:f t="shared" si="21"/>
        <x:v>PENDING_SOURCE_BASIS</x:v>
      </x:c>
      <x:c r="AC235" s="12" t="str">
        <x:f t="shared" si="22"/>
      </x:c>
      <x:c r="AD235" s="12" t="str">
        <x:f t="shared" si="23"/>
      </x:c>
      <x:c r="AE235" s="12" t="str">
        <x:f t="shared" si="24"/>
      </x:c>
      <x:c r="AF235" s="2" t="str">
        <x:f t="shared" si="25"/>
        <x:v>PENDING_CR_SOURCE_BASIS</x:v>
      </x:c>
      <x:c r="AG235" s="2" t="str">
        <x:f>IF(E235="Cr","Cr(VI) chromate/dichromate rows are retained but molar conversion is held until source-specific compound-vs-ion basis is resolved.",IF(D235=2977,"OBrien 1988 reports total dissolved Cu LC283 values in 10^-6 M; the numeric Analysis_Point is therefore treated directly as umol Cu/L.",IF(AND(D235=6825,L235="Formulation"),"Nipper 1993 source check showed the reported concentrations are nominal Zn; formulation coding does not trigger compound-mass conversion.",IF(Y235="PRIMARY_RECOVERED","Source-recovered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5" s="2" t="str">
        <x:f t="shared" si="26"/>
        <x:v>SECONDARY</x:v>
      </x:c>
      <x:c r="AI235" s="2" t="str">
        <x:f t="shared" si="27"/>
        <x:v>NO</x:v>
      </x:c>
    </x:row>
    <x:row r="236" ht="54">
      <x:c r="A236" s="2">
        <x:v>1723</x:v>
      </x:c>
      <x:c r="B236" s="2">
        <x:v>2299146</x:v>
      </x:c>
      <x:c r="C236" s="2">
        <x:v>2706683</x:v>
      </x:c>
      <x:c r="D236" s="2">
        <x:v>5185</x:v>
      </x:c>
      <x:c r="E236" s="2" t="s">
        <x:v>163</x:v>
      </x:c>
      <x:c r="F236" s="2" t="s">
        <x:v>267</x:v>
      </x:c>
      <x:c r="G236" s="2" t="s">
        <x:v>129</x:v>
      </x:c>
      <x:c r="H236" s="2" t="s">
        <x:v>107</x:v>
      </x:c>
      <x:c r="I236" s="2" t="s">
        <x:v>108</x:v>
      </x:c>
      <x:c r="J236" s="2">
        <x:v>4</x:v>
      </x:c>
      <x:c r="K236" s="2" t="s">
        <x:v>117</x:v>
      </x:c>
      <x:c r="L236" s="2" t="s">
        <x:v>110</x:v>
      </x:c>
      <x:c r="M236" s="2"/>
      <x:c r="N236" s="2">
        <x:v>16</x:v>
      </x:c>
      <x:c r="O236" s="2">
        <x:v>11</x:v>
      </x:c>
      <x:c r="P236" s="2">
        <x:v>23</x:v>
      </x:c>
      <x:c r="Q236" s="2" t="s">
        <x:v>121</x:v>
      </x:c>
      <x:c r="R236" s="2">
        <x:v>16</x:v>
      </x:c>
      <x:c r="S236" s="2" t="s">
        <x:v>121</x:v>
      </x:c>
      <x:c r="T236" s="2">
        <x:v>21</x:v>
      </x:c>
      <x:c r="U236" s="2">
        <x:v>7</x:v>
      </x:c>
      <x:c r="V236" s="2">
        <x:v>7.8</x:v>
      </x:c>
      <x:c r="W236" s="2"/>
      <x:c r="X236" s="2" t="s">
        <x:v>225</x:v>
      </x:c>
      <x:c r="Y236" s="2" t="s">
        <x:v>113</x:v>
      </x:c>
      <x:c r="Z236" s="2" t="s">
        <x:v>114</x:v>
      </x:c>
      <x:c r="AA236" s="11" t="n">
        <x:f>IFERROR(VLOOKUP(E236,Harmonization_Rules!$A$2:$B$9,2,FALSE),"")</x:f>
        <x:v>51.9961</x:v>
      </x:c>
      <x:c r="AB236" s="2" t="str">
        <x:f t="shared" si="21"/>
        <x:v>PENDING_SOURCE_BASIS</x:v>
      </x:c>
      <x:c r="AC236" s="12" t="str">
        <x:f t="shared" si="22"/>
      </x:c>
      <x:c r="AD236" s="12" t="str">
        <x:f t="shared" si="23"/>
      </x:c>
      <x:c r="AE236" s="12" t="str">
        <x:f t="shared" si="24"/>
      </x:c>
      <x:c r="AF236" s="2" t="str">
        <x:f t="shared" si="25"/>
        <x:v>PENDING_CR_SOURCE_BASIS</x:v>
      </x:c>
      <x:c r="AG236" s="2" t="str">
        <x:f>IF(E236="Cr","Cr(VI) chromate/dichromate rows are retained but molar conversion is held until source-specific compound-vs-ion basis is resolved.",IF(D236=2977,"OBrien 1988 reports total dissolved Cu LC284 values in 10^-6 M; the numeric Analysis_Point is therefore treated directly as umol Cu/L.",IF(AND(D236=6825,L236="Formulation"),"Nipper 1993 source check showed the reported concentrations are nominal Zn; formulation coding does not trigger compound-mass conversion.",IF(Y236="PRIMARY_RECOVERED","Source-recovered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6" s="2" t="str">
        <x:f t="shared" si="26"/>
        <x:v>SECONDARY</x:v>
      </x:c>
      <x:c r="AI236" s="2" t="str">
        <x:f t="shared" si="27"/>
        <x:v>NO</x:v>
      </x:c>
    </x:row>
    <x:row r="237" ht="40.5">
      <x:c r="A237" s="2">
        <x:v>1724</x:v>
      </x:c>
      <x:c r="B237" s="2">
        <x:v>1201105</x:v>
      </x:c>
      <x:c r="C237" s="2">
        <x:v>160568</x:v>
      </x:c>
      <x:c r="D237" s="2">
        <x:v>18307</x:v>
      </x:c>
      <x:c r="E237" s="2" t="s">
        <x:v>163</x:v>
      </x:c>
      <x:c r="F237" s="2" t="s">
        <x:v>267</x:v>
      </x:c>
      <x:c r="G237" s="2" t="s">
        <x:v>129</x:v>
      </x:c>
      <x:c r="H237" s="2" t="s">
        <x:v>107</x:v>
      </x:c>
      <x:c r="I237" s="2" t="s">
        <x:v>167</x:v>
      </x:c>
      <x:c r="J237" s="2">
        <x:v>1</x:v>
      </x:c>
      <x:c r="K237" s="2" t="s">
        <x:v>109</x:v>
      </x:c>
      <x:c r="L237" s="2" t="s">
        <x:v>110</x:v>
      </x:c>
      <x:c r="M237" s="2"/>
      <x:c r="N237" s="2">
        <x:v>51000</x:v>
      </x:c>
      <x:c r="O237" s="2">
        <x:v>36000</x:v>
      </x:c>
      <x:c r="P237" s="2">
        <x:v>94000</x:v>
      </x:c>
      <x:c r="Q237" s="2" t="s">
        <x:v>111</x:v>
      </x:c>
      <x:c r="R237" s="2">
        <x:v>51000</x:v>
      </x:c>
      <x:c r="S237" s="2" t="s">
        <x:v>111</x:v>
      </x:c>
      <x:c r="T237" s="2">
        <x:v>20</x:v>
      </x:c>
      <x:c r="U237" s="2">
        <x:v>6.8</x:v>
      </x:c>
      <x:c r="V237" s="2"/>
      <x:c r="W237" s="2"/>
      <x:c r="X237" s="2" t="s">
        <x:v>272</x:v>
      </x:c>
      <x:c r="Y237" s="2" t="s">
        <x:v>113</x:v>
      </x:c>
      <x:c r="Z237" s="2" t="s">
        <x:v>114</x:v>
      </x:c>
      <x:c r="AA237" s="11" t="n">
        <x:f>IFERROR(VLOOKUP(E237,Harmonization_Rules!$A$2:$B$9,2,FALSE),"")</x:f>
        <x:v>51.9961</x:v>
      </x:c>
      <x:c r="AB237" s="2" t="str">
        <x:f t="shared" si="21"/>
        <x:v>PENDING_SOURCE_BASIS</x:v>
      </x:c>
      <x:c r="AC237" s="12" t="str">
        <x:f t="shared" si="22"/>
      </x:c>
      <x:c r="AD237" s="12" t="str">
        <x:f t="shared" si="23"/>
      </x:c>
      <x:c r="AE237" s="12" t="str">
        <x:f t="shared" si="24"/>
      </x:c>
      <x:c r="AF237" s="2" t="str">
        <x:f t="shared" si="25"/>
        <x:v>PENDING_CR_SOURCE_BASIS</x:v>
      </x:c>
      <x:c r="AG237" s="2" t="str">
        <x:f>IF(E237="Cr","Cr(VI) chromate/dichromate rows are retained but molar conversion is held until source-specific compound-vs-ion basis is resolved.",IF(D237=2977,"OBrien 1988 reports total dissolved Cu LC285 values in 10^-6 M; the numeric Analysis_Point is therefore treated directly as umol Cu/L.",IF(AND(D237=6825,L237="Formulation"),"Nipper 1993 source check showed the reported concentrations are nominal Zn; formulation coding does not trigger compound-mass conversion.",IF(Y237="PRIMARY_RECOVERED","Source-recovered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7" s="2" t="str">
        <x:f t="shared" si="26"/>
        <x:v>SECONDARY</x:v>
      </x:c>
      <x:c r="AI237" s="2" t="str">
        <x:f t="shared" si="27"/>
        <x:v>NO</x:v>
      </x:c>
    </x:row>
    <x:row r="238" ht="40.5">
      <x:c r="A238" s="2">
        <x:v>1726</x:v>
      </x:c>
      <x:c r="B238" s="2">
        <x:v>1201129</x:v>
      </x:c>
      <x:c r="C238" s="2">
        <x:v>160592</x:v>
      </x:c>
      <x:c r="D238" s="2">
        <x:v>18307</x:v>
      </x:c>
      <x:c r="E238" s="2" t="s">
        <x:v>163</x:v>
      </x:c>
      <x:c r="F238" s="2" t="s">
        <x:v>267</x:v>
      </x:c>
      <x:c r="G238" s="2" t="s">
        <x:v>129</x:v>
      </x:c>
      <x:c r="H238" s="2" t="s">
        <x:v>107</x:v>
      </x:c>
      <x:c r="I238" s="2" t="s">
        <x:v>167</x:v>
      </x:c>
      <x:c r="J238" s="2">
        <x:v>4</x:v>
      </x:c>
      <x:c r="K238" s="2" t="s">
        <x:v>109</x:v>
      </x:c>
      <x:c r="L238" s="2" t="s">
        <x:v>110</x:v>
      </x:c>
      <x:c r="M238" s="2"/>
      <x:c r="N238" s="2">
        <x:v>54600</x:v>
      </x:c>
      <x:c r="O238" s="2"/>
      <x:c r="P238" s="2"/>
      <x:c r="Q238" s="2" t="s">
        <x:v>111</x:v>
      </x:c>
      <x:c r="R238" s="2">
        <x:v>54600</x:v>
      </x:c>
      <x:c r="S238" s="2" t="s">
        <x:v>111</x:v>
      </x:c>
      <x:c r="T238" s="2">
        <x:v>20</x:v>
      </x:c>
      <x:c r="U238" s="2">
        <x:v>15</x:v>
      </x:c>
      <x:c r="V238" s="2"/>
      <x:c r="W238" s="2"/>
      <x:c r="X238" s="2" t="s">
        <x:v>272</x:v>
      </x:c>
      <x:c r="Y238" s="2" t="s">
        <x:v>113</x:v>
      </x:c>
      <x:c r="Z238" s="2" t="s">
        <x:v>114</x:v>
      </x:c>
      <x:c r="AA238" s="11" t="n">
        <x:f>IFERROR(VLOOKUP(E238,Harmonization_Rules!$A$2:$B$9,2,FALSE),"")</x:f>
        <x:v>51.9961</x:v>
      </x:c>
      <x:c r="AB238" s="2" t="str">
        <x:f t="shared" si="21"/>
        <x:v>PENDING_SOURCE_BASIS</x:v>
      </x:c>
      <x:c r="AC238" s="12" t="str">
        <x:f t="shared" si="22"/>
      </x:c>
      <x:c r="AD238" s="12" t="str">
        <x:f t="shared" si="23"/>
      </x:c>
      <x:c r="AE238" s="12" t="str">
        <x:f t="shared" si="24"/>
      </x:c>
      <x:c r="AF238" s="2" t="str">
        <x:f t="shared" si="25"/>
        <x:v>PENDING_CR_SOURCE_BASIS</x:v>
      </x:c>
      <x:c r="AG238" s="2" t="str">
        <x:f>IF(E238="Cr","Cr(VI) chromate/dichromate rows are retained but molar conversion is held until source-specific compound-vs-ion basis is resolved.",IF(D238=2977,"OBrien 1988 reports total dissolved Cu LC286 values in 10^-6 M; the numeric Analysis_Point is therefore treated directly as umol Cu/L.",IF(AND(D238=6825,L238="Formulation"),"Nipper 1993 source check showed the reported concentrations are nominal Zn; formulation coding does not trigger compound-mass conversion.",IF(Y238="PRIMARY_RECOVERED","Source-recovered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8" s="2" t="str">
        <x:f t="shared" si="26"/>
        <x:v>SECONDARY</x:v>
      </x:c>
      <x:c r="AI238" s="2" t="str">
        <x:f t="shared" si="27"/>
        <x:v>NO</x:v>
      </x:c>
    </x:row>
    <x:row r="239" ht="40.5">
      <x:c r="A239" s="2">
        <x:v>1735</x:v>
      </x:c>
      <x:c r="B239" s="2">
        <x:v>1201131</x:v>
      </x:c>
      <x:c r="C239" s="2">
        <x:v>160594</x:v>
      </x:c>
      <x:c r="D239" s="2">
        <x:v>18307</x:v>
      </x:c>
      <x:c r="E239" s="2" t="s">
        <x:v>163</x:v>
      </x:c>
      <x:c r="F239" s="2" t="s">
        <x:v>267</x:v>
      </x:c>
      <x:c r="G239" s="2" t="s">
        <x:v>129</x:v>
      </x:c>
      <x:c r="H239" s="2" t="s">
        <x:v>107</x:v>
      </x:c>
      <x:c r="I239" s="2" t="s">
        <x:v>167</x:v>
      </x:c>
      <x:c r="J239" s="2">
        <x:v>4</x:v>
      </x:c>
      <x:c r="K239" s="2" t="s">
        <x:v>109</x:v>
      </x:c>
      <x:c r="L239" s="2" t="s">
        <x:v>110</x:v>
      </x:c>
      <x:c r="M239" s="2"/>
      <x:c r="N239" s="2">
        <x:v>15000</x:v>
      </x:c>
      <x:c r="O239" s="2"/>
      <x:c r="P239" s="2"/>
      <x:c r="Q239" s="2" t="s">
        <x:v>111</x:v>
      </x:c>
      <x:c r="R239" s="2">
        <x:v>15000</x:v>
      </x:c>
      <x:c r="S239" s="2" t="s">
        <x:v>111</x:v>
      </x:c>
      <x:c r="T239" s="2">
        <x:v>20</x:v>
      </x:c>
      <x:c r="U239" s="2">
        <x:v>16</x:v>
      </x:c>
      <x:c r="V239" s="2"/>
      <x:c r="W239" s="2"/>
      <x:c r="X239" s="2" t="s">
        <x:v>272</x:v>
      </x:c>
      <x:c r="Y239" s="2" t="s">
        <x:v>113</x:v>
      </x:c>
      <x:c r="Z239" s="2" t="s">
        <x:v>114</x:v>
      </x:c>
      <x:c r="AA239" s="11" t="n">
        <x:f>IFERROR(VLOOKUP(E239,Harmonization_Rules!$A$2:$B$9,2,FALSE),"")</x:f>
        <x:v>51.9961</x:v>
      </x:c>
      <x:c r="AB239" s="2" t="str">
        <x:f t="shared" si="21"/>
        <x:v>PENDING_SOURCE_BASIS</x:v>
      </x:c>
      <x:c r="AC239" s="12" t="str">
        <x:f t="shared" si="22"/>
      </x:c>
      <x:c r="AD239" s="12" t="str">
        <x:f t="shared" si="23"/>
      </x:c>
      <x:c r="AE239" s="12" t="str">
        <x:f t="shared" si="24"/>
      </x:c>
      <x:c r="AF239" s="2" t="str">
        <x:f t="shared" si="25"/>
        <x:v>PENDING_CR_SOURCE_BASIS</x:v>
      </x:c>
      <x:c r="AG239" s="2" t="str">
        <x:f>IF(E239="Cr","Cr(VI) chromate/dichromate rows are retained but molar conversion is held until source-specific compound-vs-ion basis is resolved.",IF(D239=2977,"OBrien 1988 reports total dissolved Cu LC287 values in 10^-6 M; the numeric Analysis_Point is therefore treated directly as umol Cu/L.",IF(AND(D239=6825,L239="Formulation"),"Nipper 1993 source check showed the reported concentrations are nominal Zn; formulation coding does not trigger compound-mass conversion.",IF(Y239="PRIMARY_RECOVERED","Source-recovered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39" s="2" t="str">
        <x:f t="shared" si="26"/>
        <x:v>SECONDARY</x:v>
      </x:c>
      <x:c r="AI239" s="2" t="str">
        <x:f t="shared" si="27"/>
        <x:v>NO</x:v>
      </x:c>
    </x:row>
    <x:row r="240" ht="40.5">
      <x:c r="A240" s="2">
        <x:v>1737</x:v>
      </x:c>
      <x:c r="B240" s="2">
        <x:v>1201118</x:v>
      </x:c>
      <x:c r="C240" s="2">
        <x:v>160581</x:v>
      </x:c>
      <x:c r="D240" s="2">
        <x:v>18307</x:v>
      </x:c>
      <x:c r="E240" s="2" t="s">
        <x:v>163</x:v>
      </x:c>
      <x:c r="F240" s="2" t="s">
        <x:v>267</x:v>
      </x:c>
      <x:c r="G240" s="2" t="s">
        <x:v>129</x:v>
      </x:c>
      <x:c r="H240" s="2" t="s">
        <x:v>107</x:v>
      </x:c>
      <x:c r="I240" s="2" t="s">
        <x:v>167</x:v>
      </x:c>
      <x:c r="J240" s="2">
        <x:v>4</x:v>
      </x:c>
      <x:c r="K240" s="2" t="s">
        <x:v>109</x:v>
      </x:c>
      <x:c r="L240" s="2" t="s">
        <x:v>110</x:v>
      </x:c>
      <x:c r="M240" s="2"/>
      <x:c r="N240" s="2">
        <x:v>20500</x:v>
      </x:c>
      <x:c r="O240" s="2"/>
      <x:c r="P240" s="2"/>
      <x:c r="Q240" s="2" t="s">
        <x:v>111</x:v>
      </x:c>
      <x:c r="R240" s="2">
        <x:v>20500</x:v>
      </x:c>
      <x:c r="S240" s="2" t="s">
        <x:v>111</x:v>
      </x:c>
      <x:c r="T240" s="2">
        <x:v>20</x:v>
      </x:c>
      <x:c r="U240" s="2">
        <x:v>7</x:v>
      </x:c>
      <x:c r="V240" s="2"/>
      <x:c r="W240" s="2"/>
      <x:c r="X240" s="2" t="s">
        <x:v>272</x:v>
      </x:c>
      <x:c r="Y240" s="2" t="s">
        <x:v>113</x:v>
      </x:c>
      <x:c r="Z240" s="2" t="s">
        <x:v>114</x:v>
      </x:c>
      <x:c r="AA240" s="11" t="n">
        <x:f>IFERROR(VLOOKUP(E240,Harmonization_Rules!$A$2:$B$9,2,FALSE),"")</x:f>
        <x:v>51.9961</x:v>
      </x:c>
      <x:c r="AB240" s="2" t="str">
        <x:f t="shared" si="21"/>
        <x:v>PENDING_SOURCE_BASIS</x:v>
      </x:c>
      <x:c r="AC240" s="12" t="str">
        <x:f t="shared" si="22"/>
      </x:c>
      <x:c r="AD240" s="12" t="str">
        <x:f t="shared" si="23"/>
      </x:c>
      <x:c r="AE240" s="12" t="str">
        <x:f t="shared" si="24"/>
      </x:c>
      <x:c r="AF240" s="2" t="str">
        <x:f t="shared" si="25"/>
        <x:v>PENDING_CR_SOURCE_BASIS</x:v>
      </x:c>
      <x:c r="AG240" s="2" t="str">
        <x:f>IF(E240="Cr","Cr(VI) chromate/dichromate rows are retained but molar conversion is held until source-specific compound-vs-ion basis is resolved.",IF(D240=2977,"OBrien 1988 reports total dissolved Cu LC288 values in 10^-6 M; the numeric Analysis_Point is therefore treated directly as umol Cu/L.",IF(AND(D240=6825,L240="Formulation"),"Nipper 1993 source check showed the reported concentrations are nominal Zn; formulation coding does not trigger compound-mass conversion.",IF(Y240="PRIMARY_RECOVERED","Source-recovered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0" s="2" t="str">
        <x:f t="shared" si="26"/>
        <x:v>SECONDARY</x:v>
      </x:c>
      <x:c r="AI240" s="2" t="str">
        <x:f t="shared" si="27"/>
        <x:v>NO</x:v>
      </x:c>
    </x:row>
    <x:row r="241" ht="40.5">
      <x:c r="A241" s="2">
        <x:v>1741</x:v>
      </x:c>
      <x:c r="B241" s="2">
        <x:v>2314543</x:v>
      </x:c>
      <x:c r="C241" s="2">
        <x:v>2781649</x:v>
      </x:c>
      <x:c r="D241" s="2">
        <x:v>52818</x:v>
      </x:c>
      <x:c r="E241" s="2" t="s">
        <x:v>163</x:v>
      </x:c>
      <x:c r="F241" s="2" t="s">
        <x:v>267</x:v>
      </x:c>
      <x:c r="G241" s="2" t="s">
        <x:v>134</x:v>
      </x:c>
      <x:c r="H241" s="2" t="s">
        <x:v>135</x:v>
      </x:c>
      <x:c r="I241" s="2" t="s">
        <x:v>108</x:v>
      </x:c>
      <x:c r="J241" s="2">
        <x:v>1</x:v>
      </x:c>
      <x:c r="K241" s="2" t="s">
        <x:v>117</x:v>
      </x:c>
      <x:c r="L241" s="2" t="s">
        <x:v>110</x:v>
      </x:c>
      <x:c r="M241" s="2"/>
      <x:c r="N241" s="2">
        <x:v>49</x:v>
      </x:c>
      <x:c r="O241" s="2">
        <x:v>41</x:v>
      </x:c>
      <x:c r="P241" s="2">
        <x:v>61</x:v>
      </x:c>
      <x:c r="Q241" s="2" t="s">
        <x:v>121</x:v>
      </x:c>
      <x:c r="R241" s="2">
        <x:v>49</x:v>
      </x:c>
      <x:c r="S241" s="2" t="s">
        <x:v>121</x:v>
      </x:c>
      <x:c r="T241" s="2">
        <x:v>20</x:v>
      </x:c>
      <x:c r="U241" s="2">
        <x:v>18</x:v>
      </x:c>
      <x:c r="V241" s="2"/>
      <x:c r="W241" s="2"/>
      <x:c r="X241" s="2" t="s">
        <x:v>273</x:v>
      </x:c>
      <x:c r="Y241" s="2" t="s">
        <x:v>113</x:v>
      </x:c>
      <x:c r="Z241" s="2" t="s">
        <x:v>114</x:v>
      </x:c>
      <x:c r="AA241" s="11" t="n">
        <x:f>IFERROR(VLOOKUP(E241,Harmonization_Rules!$A$2:$B$9,2,FALSE),"")</x:f>
        <x:v>51.9961</x:v>
      </x:c>
      <x:c r="AB241" s="2" t="str">
        <x:f t="shared" si="21"/>
        <x:v>PENDING_SOURCE_BASIS</x:v>
      </x:c>
      <x:c r="AC241" s="12" t="str">
        <x:f t="shared" si="22"/>
      </x:c>
      <x:c r="AD241" s="12" t="str">
        <x:f t="shared" si="23"/>
      </x:c>
      <x:c r="AE241" s="12" t="str">
        <x:f t="shared" si="24"/>
      </x:c>
      <x:c r="AF241" s="2" t="str">
        <x:f t="shared" si="25"/>
        <x:v>PENDING_CR_SOURCE_BASIS</x:v>
      </x:c>
      <x:c r="AG241" s="2" t="str">
        <x:f>IF(E241="Cr","Cr(VI) chromate/dichromate rows are retained but molar conversion is held until source-specific compound-vs-ion basis is resolved.",IF(D241=2977,"OBrien 1988 reports total dissolved Cu LC289 values in 10^-6 M; the numeric Analysis_Point is therefore treated directly as umol Cu/L.",IF(AND(D241=6825,L241="Formulation"),"Nipper 1993 source check showed the reported concentrations are nominal Zn; formulation coding does not trigger compound-mass conversion.",IF(Y241="PRIMARY_RECOVERED","Source-recovered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1" s="2" t="str">
        <x:f t="shared" si="26"/>
        <x:v>SECONDARY</x:v>
      </x:c>
      <x:c r="AI241" s="2" t="str">
        <x:f t="shared" si="27"/>
        <x:v>NO</x:v>
      </x:c>
    </x:row>
    <x:row r="242" ht="40.5">
      <x:c r="A242" s="2">
        <x:v>1743</x:v>
      </x:c>
      <x:c r="B242" s="2">
        <x:v>2314543</x:v>
      </x:c>
      <x:c r="C242" s="2">
        <x:v>2781650</x:v>
      </x:c>
      <x:c r="D242" s="2">
        <x:v>52818</x:v>
      </x:c>
      <x:c r="E242" s="2" t="s">
        <x:v>163</x:v>
      </x:c>
      <x:c r="F242" s="2" t="s">
        <x:v>267</x:v>
      </x:c>
      <x:c r="G242" s="2" t="s">
        <x:v>134</x:v>
      </x:c>
      <x:c r="H242" s="2" t="s">
        <x:v>135</x:v>
      </x:c>
      <x:c r="I242" s="2" t="s">
        <x:v>108</x:v>
      </x:c>
      <x:c r="J242" s="2">
        <x:v>2</x:v>
      </x:c>
      <x:c r="K242" s="2" t="s">
        <x:v>117</x:v>
      </x:c>
      <x:c r="L242" s="2" t="s">
        <x:v>110</x:v>
      </x:c>
      <x:c r="M242" s="2"/>
      <x:c r="N242" s="2">
        <x:v>18</x:v>
      </x:c>
      <x:c r="O242" s="2">
        <x:v>15</x:v>
      </x:c>
      <x:c r="P242" s="2">
        <x:v>23</x:v>
      </x:c>
      <x:c r="Q242" s="2" t="s">
        <x:v>121</x:v>
      </x:c>
      <x:c r="R242" s="2">
        <x:v>18</x:v>
      </x:c>
      <x:c r="S242" s="2" t="s">
        <x:v>121</x:v>
      </x:c>
      <x:c r="T242" s="2">
        <x:v>20</x:v>
      </x:c>
      <x:c r="U242" s="2">
        <x:v>18</x:v>
      </x:c>
      <x:c r="V242" s="2"/>
      <x:c r="W242" s="2"/>
      <x:c r="X242" s="2" t="s">
        <x:v>273</x:v>
      </x:c>
      <x:c r="Y242" s="2" t="s">
        <x:v>113</x:v>
      </x:c>
      <x:c r="Z242" s="2" t="s">
        <x:v>114</x:v>
      </x:c>
      <x:c r="AA242" s="11" t="n">
        <x:f>IFERROR(VLOOKUP(E242,Harmonization_Rules!$A$2:$B$9,2,FALSE),"")</x:f>
        <x:v>51.9961</x:v>
      </x:c>
      <x:c r="AB242" s="2" t="str">
        <x:f t="shared" si="21"/>
        <x:v>PENDING_SOURCE_BASIS</x:v>
      </x:c>
      <x:c r="AC242" s="12" t="str">
        <x:f t="shared" si="22"/>
      </x:c>
      <x:c r="AD242" s="12" t="str">
        <x:f t="shared" si="23"/>
      </x:c>
      <x:c r="AE242" s="12" t="str">
        <x:f t="shared" si="24"/>
      </x:c>
      <x:c r="AF242" s="2" t="str">
        <x:f t="shared" si="25"/>
        <x:v>PENDING_CR_SOURCE_BASIS</x:v>
      </x:c>
      <x:c r="AG242" s="2" t="str">
        <x:f>IF(E242="Cr","Cr(VI) chromate/dichromate rows are retained but molar conversion is held until source-specific compound-vs-ion basis is resolved.",IF(D242=2977,"OBrien 1988 reports total dissolved Cu LC290 values in 10^-6 M; the numeric Analysis_Point is therefore treated directly as umol Cu/L.",IF(AND(D242=6825,L242="Formulation"),"Nipper 1993 source check showed the reported concentrations are nominal Zn; formulation coding does not trigger compound-mass conversion.",IF(Y242="PRIMARY_RECOVERED","Source-recovered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2" s="2" t="str">
        <x:f t="shared" si="26"/>
        <x:v>SECONDARY</x:v>
      </x:c>
      <x:c r="AI242" s="2" t="str">
        <x:f t="shared" si="27"/>
        <x:v>NO</x:v>
      </x:c>
    </x:row>
    <x:row r="243" ht="40.5">
      <x:c r="A243" s="2">
        <x:v>1746</x:v>
      </x:c>
      <x:c r="B243" s="2">
        <x:v>1201108</x:v>
      </x:c>
      <x:c r="C243" s="2">
        <x:v>160571</x:v>
      </x:c>
      <x:c r="D243" s="2">
        <x:v>18307</x:v>
      </x:c>
      <x:c r="E243" s="2" t="s">
        <x:v>163</x:v>
      </x:c>
      <x:c r="F243" s="2" t="s">
        <x:v>267</x:v>
      </x:c>
      <x:c r="G243" s="2" t="s">
        <x:v>129</x:v>
      </x:c>
      <x:c r="H243" s="2" t="s">
        <x:v>107</x:v>
      </x:c>
      <x:c r="I243" s="2" t="s">
        <x:v>167</x:v>
      </x:c>
      <x:c r="J243" s="2">
        <x:v>4</x:v>
      </x:c>
      <x:c r="K243" s="2" t="s">
        <x:v>109</x:v>
      </x:c>
      <x:c r="L243" s="2" t="s">
        <x:v>110</x:v>
      </x:c>
      <x:c r="M243" s="2"/>
      <x:c r="N243" s="2">
        <x:v>14000</x:v>
      </x:c>
      <x:c r="O243" s="2">
        <x:v>11000</x:v>
      </x:c>
      <x:c r="P243" s="2">
        <x:v>18000</x:v>
      </x:c>
      <x:c r="Q243" s="2" t="s">
        <x:v>111</x:v>
      </x:c>
      <x:c r="R243" s="2">
        <x:v>14000</x:v>
      </x:c>
      <x:c r="S243" s="2" t="s">
        <x:v>111</x:v>
      </x:c>
      <x:c r="T243" s="2">
        <x:v>20</x:v>
      </x:c>
      <x:c r="U243" s="2">
        <x:v>6.8</x:v>
      </x:c>
      <x:c r="V243" s="2"/>
      <x:c r="W243" s="2"/>
      <x:c r="X243" s="2" t="s">
        <x:v>272</x:v>
      </x:c>
      <x:c r="Y243" s="2" t="s">
        <x:v>113</x:v>
      </x:c>
      <x:c r="Z243" s="2" t="s">
        <x:v>114</x:v>
      </x:c>
      <x:c r="AA243" s="11" t="n">
        <x:f>IFERROR(VLOOKUP(E243,Harmonization_Rules!$A$2:$B$9,2,FALSE),"")</x:f>
        <x:v>51.9961</x:v>
      </x:c>
      <x:c r="AB243" s="2" t="str">
        <x:f t="shared" si="21"/>
        <x:v>PENDING_SOURCE_BASIS</x:v>
      </x:c>
      <x:c r="AC243" s="12" t="str">
        <x:f t="shared" si="22"/>
      </x:c>
      <x:c r="AD243" s="12" t="str">
        <x:f t="shared" si="23"/>
      </x:c>
      <x:c r="AE243" s="12" t="str">
        <x:f t="shared" si="24"/>
      </x:c>
      <x:c r="AF243" s="2" t="str">
        <x:f t="shared" si="25"/>
        <x:v>PENDING_CR_SOURCE_BASIS</x:v>
      </x:c>
      <x:c r="AG243" s="2" t="str">
        <x:f>IF(E243="Cr","Cr(VI) chromate/dichromate rows are retained but molar conversion is held until source-specific compound-vs-ion basis is resolved.",IF(D243=2977,"OBrien 1988 reports total dissolved Cu LC291 values in 10^-6 M; the numeric Analysis_Point is therefore treated directly as umol Cu/L.",IF(AND(D243=6825,L243="Formulation"),"Nipper 1993 source check showed the reported concentrations are nominal Zn; formulation coding does not trigger compound-mass conversion.",IF(Y243="PRIMARY_RECOVERED","Source-recovered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3" s="2" t="str">
        <x:f t="shared" si="26"/>
        <x:v>SECONDARY</x:v>
      </x:c>
      <x:c r="AI243" s="2" t="str">
        <x:f t="shared" si="27"/>
        <x:v>NO</x:v>
      </x:c>
    </x:row>
    <x:row r="244" ht="40.5">
      <x:c r="A244" s="2">
        <x:v>1748</x:v>
      </x:c>
      <x:c r="B244" s="2">
        <x:v>1201122</x:v>
      </x:c>
      <x:c r="C244" s="2">
        <x:v>160585</x:v>
      </x:c>
      <x:c r="D244" s="2">
        <x:v>18307</x:v>
      </x:c>
      <x:c r="E244" s="2" t="s">
        <x:v>163</x:v>
      </x:c>
      <x:c r="F244" s="2" t="s">
        <x:v>267</x:v>
      </x:c>
      <x:c r="G244" s="2" t="s">
        <x:v>129</x:v>
      </x:c>
      <x:c r="H244" s="2" t="s">
        <x:v>107</x:v>
      </x:c>
      <x:c r="I244" s="2" t="s">
        <x:v>167</x:v>
      </x:c>
      <x:c r="J244" s="2">
        <x:v>4</x:v>
      </x:c>
      <x:c r="K244" s="2" t="s">
        <x:v>109</x:v>
      </x:c>
      <x:c r="L244" s="2" t="s">
        <x:v>110</x:v>
      </x:c>
      <x:c r="M244" s="2"/>
      <x:c r="N244" s="2">
        <x:v>11500</x:v>
      </x:c>
      <x:c r="O244" s="2"/>
      <x:c r="P244" s="2"/>
      <x:c r="Q244" s="2" t="s">
        <x:v>111</x:v>
      </x:c>
      <x:c r="R244" s="2">
        <x:v>11500</x:v>
      </x:c>
      <x:c r="S244" s="2" t="s">
        <x:v>111</x:v>
      </x:c>
      <x:c r="T244" s="2">
        <x:v>20</x:v>
      </x:c>
      <x:c r="U244" s="2">
        <x:v>9</x:v>
      </x:c>
      <x:c r="V244" s="2"/>
      <x:c r="W244" s="2"/>
      <x:c r="X244" s="2" t="s">
        <x:v>272</x:v>
      </x:c>
      <x:c r="Y244" s="2" t="s">
        <x:v>113</x:v>
      </x:c>
      <x:c r="Z244" s="2" t="s">
        <x:v>114</x:v>
      </x:c>
      <x:c r="AA244" s="11" t="n">
        <x:f>IFERROR(VLOOKUP(E244,Harmonization_Rules!$A$2:$B$9,2,FALSE),"")</x:f>
        <x:v>51.9961</x:v>
      </x:c>
      <x:c r="AB244" s="2" t="str">
        <x:f t="shared" si="21"/>
        <x:v>PENDING_SOURCE_BASIS</x:v>
      </x:c>
      <x:c r="AC244" s="12" t="str">
        <x:f t="shared" si="22"/>
      </x:c>
      <x:c r="AD244" s="12" t="str">
        <x:f t="shared" si="23"/>
      </x:c>
      <x:c r="AE244" s="12" t="str">
        <x:f t="shared" si="24"/>
      </x:c>
      <x:c r="AF244" s="2" t="str">
        <x:f t="shared" si="25"/>
        <x:v>PENDING_CR_SOURCE_BASIS</x:v>
      </x:c>
      <x:c r="AG244" s="2" t="str">
        <x:f>IF(E244="Cr","Cr(VI) chromate/dichromate rows are retained but molar conversion is held until source-specific compound-vs-ion basis is resolved.",IF(D244=2977,"OBrien 1988 reports total dissolved Cu LC292 values in 10^-6 M; the numeric Analysis_Point is therefore treated directly as umol Cu/L.",IF(AND(D244=6825,L244="Formulation"),"Nipper 1993 source check showed the reported concentrations are nominal Zn; formulation coding does not trigger compound-mass conversion.",IF(Y244="PRIMARY_RECOVERED","Source-recovered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4" s="2" t="str">
        <x:f t="shared" si="26"/>
        <x:v>SECONDARY</x:v>
      </x:c>
      <x:c r="AI244" s="2" t="str">
        <x:f t="shared" si="27"/>
        <x:v>NO</x:v>
      </x:c>
    </x:row>
    <x:row r="245" ht="40.5">
      <x:c r="A245" s="2">
        <x:v>1752</x:v>
      </x:c>
      <x:c r="B245" s="2">
        <x:v>1159874</x:v>
      </x:c>
      <x:c r="C245" s="2">
        <x:v>142883</x:v>
      </x:c>
      <x:c r="D245" s="2">
        <x:v>14137</x:v>
      </x:c>
      <x:c r="E245" s="2" t="s">
        <x:v>163</x:v>
      </x:c>
      <x:c r="F245" s="2" t="s">
        <x:v>267</x:v>
      </x:c>
      <x:c r="G245" s="2" t="s">
        <x:v>132</x:v>
      </x:c>
      <x:c r="H245" s="2" t="s">
        <x:v>107</x:v>
      </x:c>
      <x:c r="I245" s="2" t="s">
        <x:v>125</x:v>
      </x:c>
      <x:c r="J245" s="2">
        <x:v>4</x:v>
      </x:c>
      <x:c r="K245" s="2" t="s">
        <x:v>126</x:v>
      </x:c>
      <x:c r="L245" s="2" t="s">
        <x:v>110</x:v>
      </x:c>
      <x:c r="M245" s="2"/>
      <x:c r="N245" s="2">
        <x:v>1600</x:v>
      </x:c>
      <x:c r="O245" s="2"/>
      <x:c r="P245" s="2"/>
      <x:c r="Q245" s="2" t="s">
        <x:v>111</x:v>
      </x:c>
      <x:c r="R245" s="2">
        <x:v>1600</x:v>
      </x:c>
      <x:c r="S245" s="2" t="s">
        <x:v>111</x:v>
      </x:c>
      <x:c r="T245" s="2"/>
      <x:c r="U245" s="2"/>
      <x:c r="V245" s="2"/>
      <x:c r="W245" s="2"/>
      <x:c r="X245" s="2" t="s">
        <x:v>133</x:v>
      </x:c>
      <x:c r="Y245" s="2" t="s">
        <x:v>113</x:v>
      </x:c>
      <x:c r="Z245" s="2" t="s">
        <x:v>114</x:v>
      </x:c>
      <x:c r="AA245" s="11" t="n">
        <x:f>IFERROR(VLOOKUP(E245,Harmonization_Rules!$A$2:$B$9,2,FALSE),"")</x:f>
        <x:v>51.9961</x:v>
      </x:c>
      <x:c r="AB245" s="2" t="str">
        <x:f t="shared" si="21"/>
        <x:v>PENDING_SOURCE_BASIS</x:v>
      </x:c>
      <x:c r="AC245" s="12" t="str">
        <x:f t="shared" si="22"/>
      </x:c>
      <x:c r="AD245" s="12" t="str">
        <x:f t="shared" si="23"/>
      </x:c>
      <x:c r="AE245" s="12" t="str">
        <x:f t="shared" si="24"/>
      </x:c>
      <x:c r="AF245" s="2" t="str">
        <x:f t="shared" si="25"/>
        <x:v>PENDING_CR_SOURCE_BASIS</x:v>
      </x:c>
      <x:c r="AG245" s="2" t="str">
        <x:f>IF(E245="Cr","Cr(VI) chromate/dichromate rows are retained but molar conversion is held until source-specific compound-vs-ion basis is resolved.",IF(D245=2977,"OBrien 1988 reports total dissolved Cu LC293 values in 10^-6 M; the numeric Analysis_Point is therefore treated directly as umol Cu/L.",IF(AND(D245=6825,L245="Formulation"),"Nipper 1993 source check showed the reported concentrations are nominal Zn; formulation coding does not trigger compound-mass conversion.",IF(Y245="PRIMARY_RECOVERED","Source-recovered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5" s="2" t="str">
        <x:f t="shared" si="26"/>
        <x:v>SECONDARY</x:v>
      </x:c>
      <x:c r="AI245" s="2" t="str">
        <x:f t="shared" si="27"/>
        <x:v>NO</x:v>
      </x:c>
    </x:row>
    <x:row r="246" ht="40.5">
      <x:c r="A246" s="2">
        <x:v>1759</x:v>
      </x:c>
      <x:c r="B246" s="2">
        <x:v>1201106</x:v>
      </x:c>
      <x:c r="C246" s="2">
        <x:v>160569</x:v>
      </x:c>
      <x:c r="D246" s="2">
        <x:v>18307</x:v>
      </x:c>
      <x:c r="E246" s="2" t="s">
        <x:v>163</x:v>
      </x:c>
      <x:c r="F246" s="2" t="s">
        <x:v>267</x:v>
      </x:c>
      <x:c r="G246" s="2" t="s">
        <x:v>129</x:v>
      </x:c>
      <x:c r="H246" s="2" t="s">
        <x:v>107</x:v>
      </x:c>
      <x:c r="I246" s="2" t="s">
        <x:v>167</x:v>
      </x:c>
      <x:c r="J246" s="2">
        <x:v>2</x:v>
      </x:c>
      <x:c r="K246" s="2" t="s">
        <x:v>109</x:v>
      </x:c>
      <x:c r="L246" s="2" t="s">
        <x:v>110</x:v>
      </x:c>
      <x:c r="M246" s="2"/>
      <x:c r="N246" s="2">
        <x:v>21000</x:v>
      </x:c>
      <x:c r="O246" s="2">
        <x:v>14000</x:v>
      </x:c>
      <x:c r="P246" s="2">
        <x:v>31000</x:v>
      </x:c>
      <x:c r="Q246" s="2" t="s">
        <x:v>111</x:v>
      </x:c>
      <x:c r="R246" s="2">
        <x:v>21000</x:v>
      </x:c>
      <x:c r="S246" s="2" t="s">
        <x:v>111</x:v>
      </x:c>
      <x:c r="T246" s="2">
        <x:v>20</x:v>
      </x:c>
      <x:c r="U246" s="2">
        <x:v>6.8</x:v>
      </x:c>
      <x:c r="V246" s="2"/>
      <x:c r="W246" s="2"/>
      <x:c r="X246" s="2" t="s">
        <x:v>272</x:v>
      </x:c>
      <x:c r="Y246" s="2" t="s">
        <x:v>113</x:v>
      </x:c>
      <x:c r="Z246" s="2" t="s">
        <x:v>114</x:v>
      </x:c>
      <x:c r="AA246" s="11" t="n">
        <x:f>IFERROR(VLOOKUP(E246,Harmonization_Rules!$A$2:$B$9,2,FALSE),"")</x:f>
        <x:v>51.9961</x:v>
      </x:c>
      <x:c r="AB246" s="2" t="str">
        <x:f t="shared" si="21"/>
        <x:v>PENDING_SOURCE_BASIS</x:v>
      </x:c>
      <x:c r="AC246" s="12" t="str">
        <x:f t="shared" si="22"/>
      </x:c>
      <x:c r="AD246" s="12" t="str">
        <x:f t="shared" si="23"/>
      </x:c>
      <x:c r="AE246" s="12" t="str">
        <x:f t="shared" si="24"/>
      </x:c>
      <x:c r="AF246" s="2" t="str">
        <x:f t="shared" si="25"/>
        <x:v>PENDING_CR_SOURCE_BASIS</x:v>
      </x:c>
      <x:c r="AG246" s="2" t="str">
        <x:f>IF(E246="Cr","Cr(VI) chromate/dichromate rows are retained but molar conversion is held until source-specific compound-vs-ion basis is resolved.",IF(D246=2977,"OBrien 1988 reports total dissolved Cu LC294 values in 10^-6 M; the numeric Analysis_Point is therefore treated directly as umol Cu/L.",IF(AND(D246=6825,L246="Formulation"),"Nipper 1993 source check showed the reported concentrations are nominal Zn; formulation coding does not trigger compound-mass conversion.",IF(Y246="PRIMARY_RECOVERED","Source-recovered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6" s="2" t="str">
        <x:f t="shared" si="26"/>
        <x:v>SECONDARY</x:v>
      </x:c>
      <x:c r="AI246" s="2" t="str">
        <x:f t="shared" si="27"/>
        <x:v>NO</x:v>
      </x:c>
    </x:row>
    <x:row r="247" ht="40.5">
      <x:c r="A247" s="2">
        <x:v>1761</x:v>
      </x:c>
      <x:c r="B247" s="2">
        <x:v>1201112</x:v>
      </x:c>
      <x:c r="C247" s="2">
        <x:v>160575</x:v>
      </x:c>
      <x:c r="D247" s="2">
        <x:v>18307</x:v>
      </x:c>
      <x:c r="E247" s="2" t="s">
        <x:v>163</x:v>
      </x:c>
      <x:c r="F247" s="2" t="s">
        <x:v>267</x:v>
      </x:c>
      <x:c r="G247" s="2" t="s">
        <x:v>129</x:v>
      </x:c>
      <x:c r="H247" s="2" t="s">
        <x:v>107</x:v>
      </x:c>
      <x:c r="I247" s="2" t="s">
        <x:v>167</x:v>
      </x:c>
      <x:c r="J247" s="2">
        <x:v>4</x:v>
      </x:c>
      <x:c r="K247" s="2" t="s">
        <x:v>109</x:v>
      </x:c>
      <x:c r="L247" s="2" t="s">
        <x:v>110</x:v>
      </x:c>
      <x:c r="M247" s="2"/>
      <x:c r="N247" s="2">
        <x:v>29000</x:v>
      </x:c>
      <x:c r="O247" s="2">
        <x:v>22000</x:v>
      </x:c>
      <x:c r="P247" s="2">
        <x:v>41000</x:v>
      </x:c>
      <x:c r="Q247" s="2" t="s">
        <x:v>111</x:v>
      </x:c>
      <x:c r="R247" s="2">
        <x:v>29000</x:v>
      </x:c>
      <x:c r="S247" s="2" t="s">
        <x:v>111</x:v>
      </x:c>
      <x:c r="T247" s="2">
        <x:v>20</x:v>
      </x:c>
      <x:c r="U247" s="2">
        <x:v>13.5</x:v>
      </x:c>
      <x:c r="V247" s="2"/>
      <x:c r="W247" s="2"/>
      <x:c r="X247" s="2" t="s">
        <x:v>272</x:v>
      </x:c>
      <x:c r="Y247" s="2" t="s">
        <x:v>113</x:v>
      </x:c>
      <x:c r="Z247" s="2" t="s">
        <x:v>114</x:v>
      </x:c>
      <x:c r="AA247" s="11" t="n">
        <x:f>IFERROR(VLOOKUP(E247,Harmonization_Rules!$A$2:$B$9,2,FALSE),"")</x:f>
        <x:v>51.9961</x:v>
      </x:c>
      <x:c r="AB247" s="2" t="str">
        <x:f t="shared" si="21"/>
        <x:v>PENDING_SOURCE_BASIS</x:v>
      </x:c>
      <x:c r="AC247" s="12" t="str">
        <x:f t="shared" si="22"/>
      </x:c>
      <x:c r="AD247" s="12" t="str">
        <x:f t="shared" si="23"/>
      </x:c>
      <x:c r="AE247" s="12" t="str">
        <x:f t="shared" si="24"/>
      </x:c>
      <x:c r="AF247" s="2" t="str">
        <x:f t="shared" si="25"/>
        <x:v>PENDING_CR_SOURCE_BASIS</x:v>
      </x:c>
      <x:c r="AG247" s="2" t="str">
        <x:f>IF(E247="Cr","Cr(VI) chromate/dichromate rows are retained but molar conversion is held until source-specific compound-vs-ion basis is resolved.",IF(D247=2977,"OBrien 1988 reports total dissolved Cu LC295 values in 10^-6 M; the numeric Analysis_Point is therefore treated directly as umol Cu/L.",IF(AND(D247=6825,L247="Formulation"),"Nipper 1993 source check showed the reported concentrations are nominal Zn; formulation coding does not trigger compound-mass conversion.",IF(Y247="PRIMARY_RECOVERED","Source-recovered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7" s="2" t="str">
        <x:f t="shared" si="26"/>
        <x:v>SECONDARY</x:v>
      </x:c>
      <x:c r="AI247" s="2" t="str">
        <x:f t="shared" si="27"/>
        <x:v>NO</x:v>
      </x:c>
    </x:row>
    <x:row r="248" ht="40.5">
      <x:c r="A248" s="2">
        <x:v>1769</x:v>
      </x:c>
      <x:c r="B248" s="2">
        <x:v>2114271</x:v>
      </x:c>
      <x:c r="C248" s="2">
        <x:v>2208824</x:v>
      </x:c>
      <x:c r="D248" s="2">
        <x:v>167149</x:v>
      </x:c>
      <x:c r="E248" s="2" t="s">
        <x:v>163</x:v>
      </x:c>
      <x:c r="F248" s="2" t="s">
        <x:v>267</x:v>
      </x:c>
      <x:c r="G248" s="2" t="s">
        <x:v>134</x:v>
      </x:c>
      <x:c r="H248" s="2" t="s">
        <x:v>135</x:v>
      </x:c>
      <x:c r="I248" s="2" t="s">
        <x:v>159</x:v>
      </x:c>
      <x:c r="J248" s="2">
        <x:v>2</x:v>
      </x:c>
      <x:c r="K248" s="2" t="s">
        <x:v>117</x:v>
      </x:c>
      <x:c r="L248" s="2" t="s">
        <x:v>110</x:v>
      </x:c>
      <x:c r="M248" s="2"/>
      <x:c r="N248" s="2">
        <x:v>11.9</x:v>
      </x:c>
      <x:c r="O248" s="2">
        <x:v>7.2</x:v>
      </x:c>
      <x:c r="P248" s="2">
        <x:v>26</x:v>
      </x:c>
      <x:c r="Q248" s="2" t="s">
        <x:v>121</x:v>
      </x:c>
      <x:c r="R248" s="2">
        <x:v>11.9</x:v>
      </x:c>
      <x:c r="S248" s="2" t="s">
        <x:v>121</x:v>
      </x:c>
      <x:c r="T248" s="2">
        <x:v>25</x:v>
      </x:c>
      <x:c r="U248" s="2"/>
      <x:c r="V248" s="2">
        <x:v>8.1</x:v>
      </x:c>
      <x:c r="W248" s="2"/>
      <x:c r="X248" s="2" t="s">
        <x:v>274</x:v>
      </x:c>
      <x:c r="Y248" s="2" t="s">
        <x:v>113</x:v>
      </x:c>
      <x:c r="Z248" s="2" t="s">
        <x:v>114</x:v>
      </x:c>
      <x:c r="AA248" s="11" t="n">
        <x:f>IFERROR(VLOOKUP(E248,Harmonization_Rules!$A$2:$B$9,2,FALSE),"")</x:f>
        <x:v>51.9961</x:v>
      </x:c>
      <x:c r="AB248" s="2" t="str">
        <x:f t="shared" si="21"/>
        <x:v>PENDING_SOURCE_BASIS</x:v>
      </x:c>
      <x:c r="AC248" s="12" t="str">
        <x:f t="shared" si="22"/>
      </x:c>
      <x:c r="AD248" s="12" t="str">
        <x:f t="shared" si="23"/>
      </x:c>
      <x:c r="AE248" s="12" t="str">
        <x:f t="shared" si="24"/>
      </x:c>
      <x:c r="AF248" s="2" t="str">
        <x:f t="shared" si="25"/>
        <x:v>PENDING_CR_SOURCE_BASIS</x:v>
      </x:c>
      <x:c r="AG248" s="2" t="str">
        <x:f>IF(E248="Cr","Cr(VI) chromate/dichromate rows are retained but molar conversion is held until source-specific compound-vs-ion basis is resolved.",IF(D248=2977,"OBrien 1988 reports total dissolved Cu LC296 values in 10^-6 M; the numeric Analysis_Point is therefore treated directly as umol Cu/L.",IF(AND(D248=6825,L248="Formulation"),"Nipper 1993 source check showed the reported concentrations are nominal Zn; formulation coding does not trigger compound-mass conversion.",IF(Y248="PRIMARY_RECOVERED","Source-recovered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8" s="2" t="str">
        <x:f t="shared" si="26"/>
        <x:v>SECONDARY</x:v>
      </x:c>
      <x:c r="AI248" s="2" t="str">
        <x:f t="shared" si="27"/>
        <x:v>NO</x:v>
      </x:c>
    </x:row>
    <x:row r="249" ht="40.5">
      <x:c r="A249" s="2">
        <x:v>1771</x:v>
      </x:c>
      <x:c r="B249" s="2">
        <x:v>2034090</x:v>
      </x:c>
      <x:c r="C249" s="2">
        <x:v>2055215</x:v>
      </x:c>
      <x:c r="D249" s="2">
        <x:v>97664</x:v>
      </x:c>
      <x:c r="E249" s="2" t="s">
        <x:v>163</x:v>
      </x:c>
      <x:c r="F249" s="2" t="s">
        <x:v>267</x:v>
      </x:c>
      <x:c r="G249" s="2" t="s">
        <x:v>129</x:v>
      </x:c>
      <x:c r="H249" s="2" t="s">
        <x:v>107</x:v>
      </x:c>
      <x:c r="I249" s="2"/>
      <x:c r="J249" s="2">
        <x:v>4</x:v>
      </x:c>
      <x:c r="K249" s="2" t="s">
        <x:v>117</x:v>
      </x:c>
      <x:c r="L249" s="2" t="s">
        <x:v>110</x:v>
      </x:c>
      <x:c r="M249" s="2"/>
      <x:c r="N249" s="2">
        <x:v>31</x:v>
      </x:c>
      <x:c r="O249" s="2"/>
      <x:c r="P249" s="2"/>
      <x:c r="Q249" s="2" t="s">
        <x:v>121</x:v>
      </x:c>
      <x:c r="R249" s="2">
        <x:v>31</x:v>
      </x:c>
      <x:c r="S249" s="2" t="s">
        <x:v>121</x:v>
      </x:c>
      <x:c r="T249" s="2">
        <x:v>21</x:v>
      </x:c>
      <x:c r="U249" s="2"/>
      <x:c r="V249" s="2"/>
      <x:c r="W249" s="2"/>
      <x:c r="X249" s="2" t="s">
        <x:v>275</x:v>
      </x:c>
      <x:c r="Y249" s="2" t="s">
        <x:v>113</x:v>
      </x:c>
      <x:c r="Z249" s="2" t="s">
        <x:v>114</x:v>
      </x:c>
      <x:c r="AA249" s="11" t="n">
        <x:f>IFERROR(VLOOKUP(E249,Harmonization_Rules!$A$2:$B$9,2,FALSE),"")</x:f>
        <x:v>51.9961</x:v>
      </x:c>
      <x:c r="AB249" s="2" t="str">
        <x:f t="shared" si="21"/>
        <x:v>PENDING_SOURCE_BASIS</x:v>
      </x:c>
      <x:c r="AC249" s="12" t="str">
        <x:f t="shared" si="22"/>
      </x:c>
      <x:c r="AD249" s="12" t="str">
        <x:f t="shared" si="23"/>
      </x:c>
      <x:c r="AE249" s="12" t="str">
        <x:f t="shared" si="24"/>
      </x:c>
      <x:c r="AF249" s="2" t="str">
        <x:f t="shared" si="25"/>
        <x:v>PENDING_CR_SOURCE_BASIS</x:v>
      </x:c>
      <x:c r="AG249" s="2" t="str">
        <x:f>IF(E249="Cr","Cr(VI) chromate/dichromate rows are retained but molar conversion is held until source-specific compound-vs-ion basis is resolved.",IF(D249=2977,"OBrien 1988 reports total dissolved Cu LC297 values in 10^-6 M; the numeric Analysis_Point is therefore treated directly as umol Cu/L.",IF(AND(D249=6825,L249="Formulation"),"Nipper 1993 source check showed the reported concentrations are nominal Zn; formulation coding does not trigger compound-mass conversion.",IF(Y249="PRIMARY_RECOVERED","Source-recovered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49" s="2" t="str">
        <x:f t="shared" si="26"/>
        <x:v>SECONDARY</x:v>
      </x:c>
      <x:c r="AI249" s="2" t="str">
        <x:f t="shared" si="27"/>
        <x:v>NO</x:v>
      </x:c>
    </x:row>
    <x:row r="250" ht="40.5">
      <x:c r="A250" s="2">
        <x:v>1772</x:v>
      </x:c>
      <x:c r="B250" s="2">
        <x:v>1201110</x:v>
      </x:c>
      <x:c r="C250" s="2">
        <x:v>160573</x:v>
      </x:c>
      <x:c r="D250" s="2">
        <x:v>18307</x:v>
      </x:c>
      <x:c r="E250" s="2" t="s">
        <x:v>163</x:v>
      </x:c>
      <x:c r="F250" s="2" t="s">
        <x:v>267</x:v>
      </x:c>
      <x:c r="G250" s="2" t="s">
        <x:v>129</x:v>
      </x:c>
      <x:c r="H250" s="2" t="s">
        <x:v>107</x:v>
      </x:c>
      <x:c r="I250" s="2" t="s">
        <x:v>167</x:v>
      </x:c>
      <x:c r="J250" s="2">
        <x:v>2</x:v>
      </x:c>
      <x:c r="K250" s="2" t="s">
        <x:v>109</x:v>
      </x:c>
      <x:c r="L250" s="2" t="s">
        <x:v>110</x:v>
      </x:c>
      <x:c r="M250" s="2"/>
      <x:c r="N250" s="2">
        <x:v>46000</x:v>
      </x:c>
      <x:c r="O250" s="2">
        <x:v>31000</x:v>
      </x:c>
      <x:c r="P250" s="2">
        <x:v>93000</x:v>
      </x:c>
      <x:c r="Q250" s="2" t="s">
        <x:v>111</x:v>
      </x:c>
      <x:c r="R250" s="2">
        <x:v>46000</x:v>
      </x:c>
      <x:c r="S250" s="2" t="s">
        <x:v>111</x:v>
      </x:c>
      <x:c r="T250" s="2">
        <x:v>20</x:v>
      </x:c>
      <x:c r="U250" s="2">
        <x:v>13.5</x:v>
      </x:c>
      <x:c r="V250" s="2"/>
      <x:c r="W250" s="2"/>
      <x:c r="X250" s="2" t="s">
        <x:v>272</x:v>
      </x:c>
      <x:c r="Y250" s="2" t="s">
        <x:v>113</x:v>
      </x:c>
      <x:c r="Z250" s="2" t="s">
        <x:v>114</x:v>
      </x:c>
      <x:c r="AA250" s="11" t="n">
        <x:f>IFERROR(VLOOKUP(E250,Harmonization_Rules!$A$2:$B$9,2,FALSE),"")</x:f>
        <x:v>51.9961</x:v>
      </x:c>
      <x:c r="AB250" s="2" t="str">
        <x:f t="shared" si="21"/>
        <x:v>PENDING_SOURCE_BASIS</x:v>
      </x:c>
      <x:c r="AC250" s="12" t="str">
        <x:f t="shared" si="22"/>
      </x:c>
      <x:c r="AD250" s="12" t="str">
        <x:f t="shared" si="23"/>
      </x:c>
      <x:c r="AE250" s="12" t="str">
        <x:f t="shared" si="24"/>
      </x:c>
      <x:c r="AF250" s="2" t="str">
        <x:f t="shared" si="25"/>
        <x:v>PENDING_CR_SOURCE_BASIS</x:v>
      </x:c>
      <x:c r="AG250" s="2" t="str">
        <x:f>IF(E250="Cr","Cr(VI) chromate/dichromate rows are retained but molar conversion is held until source-specific compound-vs-ion basis is resolved.",IF(D250=2977,"OBrien 1988 reports total dissolved Cu LC298 values in 10^-6 M; the numeric Analysis_Point is therefore treated directly as umol Cu/L.",IF(AND(D250=6825,L250="Formulation"),"Nipper 1993 source check showed the reported concentrations are nominal Zn; formulation coding does not trigger compound-mass conversion.",IF(Y250="PRIMARY_RECOVERED","Source-recovered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0" s="2" t="str">
        <x:f t="shared" si="26"/>
        <x:v>SECONDARY</x:v>
      </x:c>
      <x:c r="AI250" s="2" t="str">
        <x:f t="shared" si="27"/>
        <x:v>NO</x:v>
      </x:c>
    </x:row>
    <x:row r="251" ht="40.5">
      <x:c r="A251" s="2">
        <x:v>1774</x:v>
      </x:c>
      <x:c r="B251" s="2">
        <x:v>1201126</x:v>
      </x:c>
      <x:c r="C251" s="2">
        <x:v>160589</x:v>
      </x:c>
      <x:c r="D251" s="2">
        <x:v>18307</x:v>
      </x:c>
      <x:c r="E251" s="2" t="s">
        <x:v>163</x:v>
      </x:c>
      <x:c r="F251" s="2" t="s">
        <x:v>267</x:v>
      </x:c>
      <x:c r="G251" s="2" t="s">
        <x:v>129</x:v>
      </x:c>
      <x:c r="H251" s="2" t="s">
        <x:v>107</x:v>
      </x:c>
      <x:c r="I251" s="2" t="s">
        <x:v>167</x:v>
      </x:c>
      <x:c r="J251" s="2">
        <x:v>4</x:v>
      </x:c>
      <x:c r="K251" s="2" t="s">
        <x:v>109</x:v>
      </x:c>
      <x:c r="L251" s="2" t="s">
        <x:v>110</x:v>
      </x:c>
      <x:c r="M251" s="2"/>
      <x:c r="N251" s="2">
        <x:v>34800</x:v>
      </x:c>
      <x:c r="O251" s="2"/>
      <x:c r="P251" s="2"/>
      <x:c r="Q251" s="2" t="s">
        <x:v>111</x:v>
      </x:c>
      <x:c r="R251" s="2">
        <x:v>34800</x:v>
      </x:c>
      <x:c r="S251" s="2" t="s">
        <x:v>111</x:v>
      </x:c>
      <x:c r="T251" s="2">
        <x:v>20</x:v>
      </x:c>
      <x:c r="U251" s="2">
        <x:v>9</x:v>
      </x:c>
      <x:c r="V251" s="2"/>
      <x:c r="W251" s="2"/>
      <x:c r="X251" s="2" t="s">
        <x:v>272</x:v>
      </x:c>
      <x:c r="Y251" s="2" t="s">
        <x:v>113</x:v>
      </x:c>
      <x:c r="Z251" s="2" t="s">
        <x:v>114</x:v>
      </x:c>
      <x:c r="AA251" s="11" t="n">
        <x:f>IFERROR(VLOOKUP(E251,Harmonization_Rules!$A$2:$B$9,2,FALSE),"")</x:f>
        <x:v>51.9961</x:v>
      </x:c>
      <x:c r="AB251" s="2" t="str">
        <x:f t="shared" si="21"/>
        <x:v>PENDING_SOURCE_BASIS</x:v>
      </x:c>
      <x:c r="AC251" s="12" t="str">
        <x:f t="shared" si="22"/>
      </x:c>
      <x:c r="AD251" s="12" t="str">
        <x:f t="shared" si="23"/>
      </x:c>
      <x:c r="AE251" s="12" t="str">
        <x:f t="shared" si="24"/>
      </x:c>
      <x:c r="AF251" s="2" t="str">
        <x:f t="shared" si="25"/>
        <x:v>PENDING_CR_SOURCE_BASIS</x:v>
      </x:c>
      <x:c r="AG251" s="2" t="str">
        <x:f>IF(E251="Cr","Cr(VI) chromate/dichromate rows are retained but molar conversion is held until source-specific compound-vs-ion basis is resolved.",IF(D251=2977,"OBrien 1988 reports total dissolved Cu LC299 values in 10^-6 M; the numeric Analysis_Point is therefore treated directly as umol Cu/L.",IF(AND(D251=6825,L251="Formulation"),"Nipper 1993 source check showed the reported concentrations are nominal Zn; formulation coding does not trigger compound-mass conversion.",IF(Y251="PRIMARY_RECOVERED","Source-recovered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1" s="2" t="str">
        <x:f t="shared" si="26"/>
        <x:v>SECONDARY</x:v>
      </x:c>
      <x:c r="AI251" s="2" t="str">
        <x:f t="shared" si="27"/>
        <x:v>NO</x:v>
      </x:c>
    </x:row>
    <x:row r="252" ht="40.5">
      <x:c r="A252" s="2">
        <x:v>1780</x:v>
      </x:c>
      <x:c r="B252" s="2">
        <x:v>1201132</x:v>
      </x:c>
      <x:c r="C252" s="2">
        <x:v>160596</x:v>
      </x:c>
      <x:c r="D252" s="2">
        <x:v>18307</x:v>
      </x:c>
      <x:c r="E252" s="2" t="s">
        <x:v>163</x:v>
      </x:c>
      <x:c r="F252" s="2" t="s">
        <x:v>267</x:v>
      </x:c>
      <x:c r="G252" s="2" t="s">
        <x:v>129</x:v>
      </x:c>
      <x:c r="H252" s="2" t="s">
        <x:v>107</x:v>
      </x:c>
      <x:c r="I252" s="2" t="s">
        <x:v>167</x:v>
      </x:c>
      <x:c r="J252" s="2">
        <x:v>4</x:v>
      </x:c>
      <x:c r="K252" s="2" t="s">
        <x:v>109</x:v>
      </x:c>
      <x:c r="L252" s="2" t="s">
        <x:v>110</x:v>
      </x:c>
      <x:c r="M252" s="2"/>
      <x:c r="N252" s="2">
        <x:v>44600</x:v>
      </x:c>
      <x:c r="O252" s="2"/>
      <x:c r="P252" s="2"/>
      <x:c r="Q252" s="2" t="s">
        <x:v>111</x:v>
      </x:c>
      <x:c r="R252" s="2">
        <x:v>44600</x:v>
      </x:c>
      <x:c r="S252" s="2" t="s">
        <x:v>111</x:v>
      </x:c>
      <x:c r="T252" s="2">
        <x:v>20</x:v>
      </x:c>
      <x:c r="U252" s="2">
        <x:v>33</x:v>
      </x:c>
      <x:c r="V252" s="2"/>
      <x:c r="W252" s="2"/>
      <x:c r="X252" s="2" t="s">
        <x:v>272</x:v>
      </x:c>
      <x:c r="Y252" s="2" t="s">
        <x:v>113</x:v>
      </x:c>
      <x:c r="Z252" s="2" t="s">
        <x:v>114</x:v>
      </x:c>
      <x:c r="AA252" s="11" t="n">
        <x:f>IFERROR(VLOOKUP(E252,Harmonization_Rules!$A$2:$B$9,2,FALSE),"")</x:f>
        <x:v>51.9961</x:v>
      </x:c>
      <x:c r="AB252" s="2" t="str">
        <x:f t="shared" si="21"/>
        <x:v>PENDING_SOURCE_BASIS</x:v>
      </x:c>
      <x:c r="AC252" s="12" t="str">
        <x:f t="shared" si="22"/>
      </x:c>
      <x:c r="AD252" s="12" t="str">
        <x:f t="shared" si="23"/>
      </x:c>
      <x:c r="AE252" s="12" t="str">
        <x:f t="shared" si="24"/>
      </x:c>
      <x:c r="AF252" s="2" t="str">
        <x:f t="shared" si="25"/>
        <x:v>PENDING_CR_SOURCE_BASIS</x:v>
      </x:c>
      <x:c r="AG252" s="2" t="str">
        <x:f>IF(E252="Cr","Cr(VI) chromate/dichromate rows are retained but molar conversion is held until source-specific compound-vs-ion basis is resolved.",IF(D252=2977,"OBrien 1988 reports total dissolved Cu LC300 values in 10^-6 M; the numeric Analysis_Point is therefore treated directly as umol Cu/L.",IF(AND(D252=6825,L252="Formulation"),"Nipper 1993 source check showed the reported concentrations are nominal Zn; formulation coding does not trigger compound-mass conversion.",IF(Y252="PRIMARY_RECOVERED","Source-recovered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2" s="2" t="str">
        <x:f t="shared" si="26"/>
        <x:v>SECONDARY</x:v>
      </x:c>
      <x:c r="AI252" s="2" t="str">
        <x:f t="shared" si="27"/>
        <x:v>NO</x:v>
      </x:c>
    </x:row>
    <x:row r="253" ht="40.5">
      <x:c r="A253" s="2">
        <x:v>1781</x:v>
      </x:c>
      <x:c r="B253" s="2">
        <x:v>1201123</x:v>
      </x:c>
      <x:c r="C253" s="2">
        <x:v>160586</x:v>
      </x:c>
      <x:c r="D253" s="2">
        <x:v>18307</x:v>
      </x:c>
      <x:c r="E253" s="2" t="s">
        <x:v>163</x:v>
      </x:c>
      <x:c r="F253" s="2" t="s">
        <x:v>267</x:v>
      </x:c>
      <x:c r="G253" s="2" t="s">
        <x:v>129</x:v>
      </x:c>
      <x:c r="H253" s="2" t="s">
        <x:v>107</x:v>
      </x:c>
      <x:c r="I253" s="2" t="s">
        <x:v>167</x:v>
      </x:c>
      <x:c r="J253" s="2">
        <x:v>4</x:v>
      </x:c>
      <x:c r="K253" s="2" t="s">
        <x:v>109</x:v>
      </x:c>
      <x:c r="L253" s="2" t="s">
        <x:v>110</x:v>
      </x:c>
      <x:c r="M253" s="2"/>
      <x:c r="N253" s="2">
        <x:v>8700</x:v>
      </x:c>
      <x:c r="O253" s="2"/>
      <x:c r="P253" s="2"/>
      <x:c r="Q253" s="2" t="s">
        <x:v>111</x:v>
      </x:c>
      <x:c r="R253" s="2">
        <x:v>8700</x:v>
      </x:c>
      <x:c r="S253" s="2" t="s">
        <x:v>111</x:v>
      </x:c>
      <x:c r="T253" s="2">
        <x:v>20</x:v>
      </x:c>
      <x:c r="U253" s="2">
        <x:v>9</x:v>
      </x:c>
      <x:c r="V253" s="2"/>
      <x:c r="W253" s="2"/>
      <x:c r="X253" s="2" t="s">
        <x:v>272</x:v>
      </x:c>
      <x:c r="Y253" s="2" t="s">
        <x:v>113</x:v>
      </x:c>
      <x:c r="Z253" s="2" t="s">
        <x:v>114</x:v>
      </x:c>
      <x:c r="AA253" s="11" t="n">
        <x:f>IFERROR(VLOOKUP(E253,Harmonization_Rules!$A$2:$B$9,2,FALSE),"")</x:f>
        <x:v>51.9961</x:v>
      </x:c>
      <x:c r="AB253" s="2" t="str">
        <x:f t="shared" si="21"/>
        <x:v>PENDING_SOURCE_BASIS</x:v>
      </x:c>
      <x:c r="AC253" s="12" t="str">
        <x:f t="shared" si="22"/>
      </x:c>
      <x:c r="AD253" s="12" t="str">
        <x:f t="shared" si="23"/>
      </x:c>
      <x:c r="AE253" s="12" t="str">
        <x:f t="shared" si="24"/>
      </x:c>
      <x:c r="AF253" s="2" t="str">
        <x:f t="shared" si="25"/>
        <x:v>PENDING_CR_SOURCE_BASIS</x:v>
      </x:c>
      <x:c r="AG253" s="2" t="str">
        <x:f>IF(E253="Cr","Cr(VI) chromate/dichromate rows are retained but molar conversion is held until source-specific compound-vs-ion basis is resolved.",IF(D253=2977,"OBrien 1988 reports total dissolved Cu LC301 values in 10^-6 M; the numeric Analysis_Point is therefore treated directly as umol Cu/L.",IF(AND(D253=6825,L253="Formulation"),"Nipper 1993 source check showed the reported concentrations are nominal Zn; formulation coding does not trigger compound-mass conversion.",IF(Y253="PRIMARY_RECOVERED","Source-recovered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3" s="2" t="str">
        <x:f t="shared" si="26"/>
        <x:v>SECONDARY</x:v>
      </x:c>
      <x:c r="AI253" s="2" t="str">
        <x:f t="shared" si="27"/>
        <x:v>NO</x:v>
      </x:c>
    </x:row>
    <x:row r="254" ht="40.5">
      <x:c r="A254" s="2">
        <x:v>1784</x:v>
      </x:c>
      <x:c r="B254" s="2">
        <x:v>1201117</x:v>
      </x:c>
      <x:c r="C254" s="2">
        <x:v>160580</x:v>
      </x:c>
      <x:c r="D254" s="2">
        <x:v>18307</x:v>
      </x:c>
      <x:c r="E254" s="2" t="s">
        <x:v>163</x:v>
      </x:c>
      <x:c r="F254" s="2" t="s">
        <x:v>267</x:v>
      </x:c>
      <x:c r="G254" s="2" t="s">
        <x:v>129</x:v>
      </x:c>
      <x:c r="H254" s="2" t="s">
        <x:v>107</x:v>
      </x:c>
      <x:c r="I254" s="2" t="s">
        <x:v>167</x:v>
      </x:c>
      <x:c r="J254" s="2">
        <x:v>4</x:v>
      </x:c>
      <x:c r="K254" s="2" t="s">
        <x:v>109</x:v>
      </x:c>
      <x:c r="L254" s="2" t="s">
        <x:v>110</x:v>
      </x:c>
      <x:c r="M254" s="2"/>
      <x:c r="N254" s="2">
        <x:v>24200</x:v>
      </x:c>
      <x:c r="O254" s="2"/>
      <x:c r="P254" s="2"/>
      <x:c r="Q254" s="2" t="s">
        <x:v>111</x:v>
      </x:c>
      <x:c r="R254" s="2">
        <x:v>24200</x:v>
      </x:c>
      <x:c r="S254" s="2" t="s">
        <x:v>111</x:v>
      </x:c>
      <x:c r="T254" s="2">
        <x:v>20</x:v>
      </x:c>
      <x:c r="U254" s="2">
        <x:v>7</x:v>
      </x:c>
      <x:c r="V254" s="2"/>
      <x:c r="W254" s="2"/>
      <x:c r="X254" s="2" t="s">
        <x:v>272</x:v>
      </x:c>
      <x:c r="Y254" s="2" t="s">
        <x:v>113</x:v>
      </x:c>
      <x:c r="Z254" s="2" t="s">
        <x:v>114</x:v>
      </x:c>
      <x:c r="AA254" s="11" t="n">
        <x:f>IFERROR(VLOOKUP(E254,Harmonization_Rules!$A$2:$B$9,2,FALSE),"")</x:f>
        <x:v>51.9961</x:v>
      </x:c>
      <x:c r="AB254" s="2" t="str">
        <x:f t="shared" si="21"/>
        <x:v>PENDING_SOURCE_BASIS</x:v>
      </x:c>
      <x:c r="AC254" s="12" t="str">
        <x:f t="shared" si="22"/>
      </x:c>
      <x:c r="AD254" s="12" t="str">
        <x:f t="shared" si="23"/>
      </x:c>
      <x:c r="AE254" s="12" t="str">
        <x:f t="shared" si="24"/>
      </x:c>
      <x:c r="AF254" s="2" t="str">
        <x:f t="shared" si="25"/>
        <x:v>PENDING_CR_SOURCE_BASIS</x:v>
      </x:c>
      <x:c r="AG254" s="2" t="str">
        <x:f>IF(E254="Cr","Cr(VI) chromate/dichromate rows are retained but molar conversion is held until source-specific compound-vs-ion basis is resolved.",IF(D254=2977,"OBrien 1988 reports total dissolved Cu LC302 values in 10^-6 M; the numeric Analysis_Point is therefore treated directly as umol Cu/L.",IF(AND(D254=6825,L254="Formulation"),"Nipper 1993 source check showed the reported concentrations are nominal Zn; formulation coding does not trigger compound-mass conversion.",IF(Y254="PRIMARY_RECOVERED","Source-recovered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4" s="2" t="str">
        <x:f t="shared" si="26"/>
        <x:v>SECONDARY</x:v>
      </x:c>
      <x:c r="AI254" s="2" t="str">
        <x:f t="shared" si="27"/>
        <x:v>NO</x:v>
      </x:c>
    </x:row>
    <x:row r="255" ht="40.5">
      <x:c r="A255" s="2">
        <x:v>1785</x:v>
      </x:c>
      <x:c r="B255" s="2">
        <x:v>1201128</x:v>
      </x:c>
      <x:c r="C255" s="2">
        <x:v>160591</x:v>
      </x:c>
      <x:c r="D255" s="2">
        <x:v>18307</x:v>
      </x:c>
      <x:c r="E255" s="2" t="s">
        <x:v>163</x:v>
      </x:c>
      <x:c r="F255" s="2" t="s">
        <x:v>267</x:v>
      </x:c>
      <x:c r="G255" s="2" t="s">
        <x:v>129</x:v>
      </x:c>
      <x:c r="H255" s="2" t="s">
        <x:v>107</x:v>
      </x:c>
      <x:c r="I255" s="2" t="s">
        <x:v>167</x:v>
      </x:c>
      <x:c r="J255" s="2">
        <x:v>4</x:v>
      </x:c>
      <x:c r="K255" s="2" t="s">
        <x:v>109</x:v>
      </x:c>
      <x:c r="L255" s="2" t="s">
        <x:v>110</x:v>
      </x:c>
      <x:c r="M255" s="2"/>
      <x:c r="N255" s="2">
        <x:v>34800</x:v>
      </x:c>
      <x:c r="O255" s="2"/>
      <x:c r="P255" s="2"/>
      <x:c r="Q255" s="2" t="s">
        <x:v>111</x:v>
      </x:c>
      <x:c r="R255" s="2">
        <x:v>34800</x:v>
      </x:c>
      <x:c r="S255" s="2" t="s">
        <x:v>111</x:v>
      </x:c>
      <x:c r="T255" s="2">
        <x:v>20</x:v>
      </x:c>
      <x:c r="U255" s="2">
        <x:v>15</x:v>
      </x:c>
      <x:c r="V255" s="2"/>
      <x:c r="W255" s="2"/>
      <x:c r="X255" s="2" t="s">
        <x:v>272</x:v>
      </x:c>
      <x:c r="Y255" s="2" t="s">
        <x:v>113</x:v>
      </x:c>
      <x:c r="Z255" s="2" t="s">
        <x:v>114</x:v>
      </x:c>
      <x:c r="AA255" s="11" t="n">
        <x:f>IFERROR(VLOOKUP(E255,Harmonization_Rules!$A$2:$B$9,2,FALSE),"")</x:f>
        <x:v>51.9961</x:v>
      </x:c>
      <x:c r="AB255" s="2" t="str">
        <x:f t="shared" si="21"/>
        <x:v>PENDING_SOURCE_BASIS</x:v>
      </x:c>
      <x:c r="AC255" s="12" t="str">
        <x:f t="shared" si="22"/>
      </x:c>
      <x:c r="AD255" s="12" t="str">
        <x:f t="shared" si="23"/>
      </x:c>
      <x:c r="AE255" s="12" t="str">
        <x:f t="shared" si="24"/>
      </x:c>
      <x:c r="AF255" s="2" t="str">
        <x:f t="shared" si="25"/>
        <x:v>PENDING_CR_SOURCE_BASIS</x:v>
      </x:c>
      <x:c r="AG255" s="2" t="str">
        <x:f>IF(E255="Cr","Cr(VI) chromate/dichromate rows are retained but molar conversion is held until source-specific compound-vs-ion basis is resolved.",IF(D255=2977,"OBrien 1988 reports total dissolved Cu LC303 values in 10^-6 M; the numeric Analysis_Point is therefore treated directly as umol Cu/L.",IF(AND(D255=6825,L255="Formulation"),"Nipper 1993 source check showed the reported concentrations are nominal Zn; formulation coding does not trigger compound-mass conversion.",IF(Y255="PRIMARY_RECOVERED","Source-recovered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5" s="2" t="str">
        <x:f t="shared" si="26"/>
        <x:v>SECONDARY</x:v>
      </x:c>
      <x:c r="AI255" s="2" t="str">
        <x:f t="shared" si="27"/>
        <x:v>NO</x:v>
      </x:c>
    </x:row>
    <x:row r="256" ht="40.5">
      <x:c r="A256" s="2">
        <x:v>1787</x:v>
      </x:c>
      <x:c r="B256" s="2">
        <x:v>1236962</x:v>
      </x:c>
      <x:c r="C256" s="2">
        <x:v>215847</x:v>
      </x:c>
      <x:c r="D256" s="2">
        <x:v>66691</x:v>
      </x:c>
      <x:c r="E256" s="2" t="s">
        <x:v>163</x:v>
      </x:c>
      <x:c r="F256" s="2" t="s">
        <x:v>267</x:v>
      </x:c>
      <x:c r="G256" s="2" t="s">
        <x:v>134</x:v>
      </x:c>
      <x:c r="H256" s="2" t="s">
        <x:v>135</x:v>
      </x:c>
      <x:c r="I256" s="2" t="s">
        <x:v>108</x:v>
      </x:c>
      <x:c r="J256" s="2">
        <x:v>2</x:v>
      </x:c>
      <x:c r="K256" s="2" t="s">
        <x:v>117</x:v>
      </x:c>
      <x:c r="L256" s="2" t="s">
        <x:v>110</x:v>
      </x:c>
      <x:c r="M256" s="2"/>
      <x:c r="N256" s="2">
        <x:v>10</x:v>
      </x:c>
      <x:c r="O256" s="2">
        <x:v>8.6999999999999993</x:v>
      </x:c>
      <x:c r="P256" s="2">
        <x:v>12</x:v>
      </x:c>
      <x:c r="Q256" s="2" t="s">
        <x:v>121</x:v>
      </x:c>
      <x:c r="R256" s="2">
        <x:v>10</x:v>
      </x:c>
      <x:c r="S256" s="2" t="s">
        <x:v>121</x:v>
      </x:c>
      <x:c r="T256" s="2">
        <x:v>20</x:v>
      </x:c>
      <x:c r="U256" s="2">
        <x:v>18</x:v>
      </x:c>
      <x:c r="V256" s="2"/>
      <x:c r="W256" s="2"/>
      <x:c r="X256" s="2" t="s">
        <x:v>276</x:v>
      </x:c>
      <x:c r="Y256" s="2" t="s">
        <x:v>113</x:v>
      </x:c>
      <x:c r="Z256" s="2" t="s">
        <x:v>114</x:v>
      </x:c>
      <x:c r="AA256" s="11" t="n">
        <x:f>IFERROR(VLOOKUP(E256,Harmonization_Rules!$A$2:$B$9,2,FALSE),"")</x:f>
        <x:v>51.9961</x:v>
      </x:c>
      <x:c r="AB256" s="2" t="str">
        <x:f t="shared" si="21"/>
        <x:v>PENDING_SOURCE_BASIS</x:v>
      </x:c>
      <x:c r="AC256" s="12" t="str">
        <x:f t="shared" si="22"/>
      </x:c>
      <x:c r="AD256" s="12" t="str">
        <x:f t="shared" si="23"/>
      </x:c>
      <x:c r="AE256" s="12" t="str">
        <x:f t="shared" si="24"/>
      </x:c>
      <x:c r="AF256" s="2" t="str">
        <x:f t="shared" si="25"/>
        <x:v>PENDING_CR_SOURCE_BASIS</x:v>
      </x:c>
      <x:c r="AG256" s="2" t="str">
        <x:f>IF(E256="Cr","Cr(VI) chromate/dichromate rows are retained but molar conversion is held until source-specific compound-vs-ion basis is resolved.",IF(D256=2977,"OBrien 1988 reports total dissolved Cu LC304 values in 10^-6 M; the numeric Analysis_Point is therefore treated directly as umol Cu/L.",IF(AND(D256=6825,L256="Formulation"),"Nipper 1993 source check showed the reported concentrations are nominal Zn; formulation coding does not trigger compound-mass conversion.",IF(Y256="PRIMARY_RECOVERED","Source-recovered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6" s="2" t="str">
        <x:f t="shared" si="26"/>
        <x:v>SECONDARY</x:v>
      </x:c>
      <x:c r="AI256" s="2" t="str">
        <x:f t="shared" si="27"/>
        <x:v>NO</x:v>
      </x:c>
    </x:row>
    <x:row r="257" ht="40.5">
      <x:c r="A257" s="2">
        <x:v>1789</x:v>
      </x:c>
      <x:c r="B257" s="2">
        <x:v>1201127</x:v>
      </x:c>
      <x:c r="C257" s="2">
        <x:v>160590</x:v>
      </x:c>
      <x:c r="D257" s="2">
        <x:v>18307</x:v>
      </x:c>
      <x:c r="E257" s="2" t="s">
        <x:v>163</x:v>
      </x:c>
      <x:c r="F257" s="2" t="s">
        <x:v>267</x:v>
      </x:c>
      <x:c r="G257" s="2" t="s">
        <x:v>129</x:v>
      </x:c>
      <x:c r="H257" s="2" t="s">
        <x:v>107</x:v>
      </x:c>
      <x:c r="I257" s="2" t="s">
        <x:v>167</x:v>
      </x:c>
      <x:c r="J257" s="2">
        <x:v>4</x:v>
      </x:c>
      <x:c r="K257" s="2" t="s">
        <x:v>109</x:v>
      </x:c>
      <x:c r="L257" s="2" t="s">
        <x:v>110</x:v>
      </x:c>
      <x:c r="M257" s="2"/>
      <x:c r="N257" s="2">
        <x:v>7500</x:v>
      </x:c>
      <x:c r="O257" s="2"/>
      <x:c r="P257" s="2"/>
      <x:c r="Q257" s="2" t="s">
        <x:v>111</x:v>
      </x:c>
      <x:c r="R257" s="2">
        <x:v>7500</x:v>
      </x:c>
      <x:c r="S257" s="2" t="s">
        <x:v>111</x:v>
      </x:c>
      <x:c r="T257" s="2">
        <x:v>20</x:v>
      </x:c>
      <x:c r="U257" s="2">
        <x:v>9</x:v>
      </x:c>
      <x:c r="V257" s="2"/>
      <x:c r="W257" s="2"/>
      <x:c r="X257" s="2" t="s">
        <x:v>272</x:v>
      </x:c>
      <x:c r="Y257" s="2" t="s">
        <x:v>113</x:v>
      </x:c>
      <x:c r="Z257" s="2" t="s">
        <x:v>114</x:v>
      </x:c>
      <x:c r="AA257" s="11" t="n">
        <x:f>IFERROR(VLOOKUP(E257,Harmonization_Rules!$A$2:$B$9,2,FALSE),"")</x:f>
        <x:v>51.9961</x:v>
      </x:c>
      <x:c r="AB257" s="2" t="str">
        <x:f t="shared" si="21"/>
        <x:v>PENDING_SOURCE_BASIS</x:v>
      </x:c>
      <x:c r="AC257" s="12" t="str">
        <x:f t="shared" si="22"/>
      </x:c>
      <x:c r="AD257" s="12" t="str">
        <x:f t="shared" si="23"/>
      </x:c>
      <x:c r="AE257" s="12" t="str">
        <x:f t="shared" si="24"/>
      </x:c>
      <x:c r="AF257" s="2" t="str">
        <x:f t="shared" si="25"/>
        <x:v>PENDING_CR_SOURCE_BASIS</x:v>
      </x:c>
      <x:c r="AG257" s="2" t="str">
        <x:f>IF(E257="Cr","Cr(VI) chromate/dichromate rows are retained but molar conversion is held until source-specific compound-vs-ion basis is resolved.",IF(D257=2977,"OBrien 1988 reports total dissolved Cu LC305 values in 10^-6 M; the numeric Analysis_Point is therefore treated directly as umol Cu/L.",IF(AND(D257=6825,L257="Formulation"),"Nipper 1993 source check showed the reported concentrations are nominal Zn; formulation coding does not trigger compound-mass conversion.",IF(Y257="PRIMARY_RECOVERED","Source-recovered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7" s="2" t="str">
        <x:f t="shared" si="26"/>
        <x:v>SECONDARY</x:v>
      </x:c>
      <x:c r="AI257" s="2" t="str">
        <x:f t="shared" si="27"/>
        <x:v>NO</x:v>
      </x:c>
    </x:row>
    <x:row r="258" ht="40.5">
      <x:c r="A258" s="2">
        <x:v>1792</x:v>
      </x:c>
      <x:c r="B258" s="2">
        <x:v>1201125</x:v>
      </x:c>
      <x:c r="C258" s="2">
        <x:v>160588</x:v>
      </x:c>
      <x:c r="D258" s="2">
        <x:v>18307</x:v>
      </x:c>
      <x:c r="E258" s="2" t="s">
        <x:v>163</x:v>
      </x:c>
      <x:c r="F258" s="2" t="s">
        <x:v>267</x:v>
      </x:c>
      <x:c r="G258" s="2" t="s">
        <x:v>129</x:v>
      </x:c>
      <x:c r="H258" s="2" t="s">
        <x:v>107</x:v>
      </x:c>
      <x:c r="I258" s="2" t="s">
        <x:v>167</x:v>
      </x:c>
      <x:c r="J258" s="2">
        <x:v>4</x:v>
      </x:c>
      <x:c r="K258" s="2" t="s">
        <x:v>109</x:v>
      </x:c>
      <x:c r="L258" s="2" t="s">
        <x:v>110</x:v>
      </x:c>
      <x:c r="M258" s="2"/>
      <x:c r="N258" s="2">
        <x:v>17000</x:v>
      </x:c>
      <x:c r="O258" s="2"/>
      <x:c r="P258" s="2"/>
      <x:c r="Q258" s="2" t="s">
        <x:v>111</x:v>
      </x:c>
      <x:c r="R258" s="2">
        <x:v>17000</x:v>
      </x:c>
      <x:c r="S258" s="2" t="s">
        <x:v>111</x:v>
      </x:c>
      <x:c r="T258" s="2">
        <x:v>20</x:v>
      </x:c>
      <x:c r="U258" s="2">
        <x:v>9</x:v>
      </x:c>
      <x:c r="V258" s="2"/>
      <x:c r="W258" s="2"/>
      <x:c r="X258" s="2" t="s">
        <x:v>272</x:v>
      </x:c>
      <x:c r="Y258" s="2" t="s">
        <x:v>113</x:v>
      </x:c>
      <x:c r="Z258" s="2" t="s">
        <x:v>114</x:v>
      </x:c>
      <x:c r="AA258" s="11" t="n">
        <x:f>IFERROR(VLOOKUP(E258,Harmonization_Rules!$A$2:$B$9,2,FALSE),"")</x:f>
        <x:v>51.9961</x:v>
      </x:c>
      <x:c r="AB258" s="2" t="str">
        <x:f t="shared" ref="AB258:AB296" si="28">IF(E258="Cr","PENDING_SOURCE_BASIS",IF(D258=2977,"SOURCE_VERIFIED_MICROMOLAR",IF(AND(D258=6825,L258="Formulation"),"SOURCE_VERIFIED_TARGET_ZN",IF(Y258="PRIMARY_RECOVERED","SOURCE_RECOVERED_TARGET_METAL","ECOTOX_STANDARDIZED_TARGET_METAL"))))</x:f>
        <x:v>PENDING_SOURCE_BASIS</x:v>
      </x:c>
      <x:c r="AC258" s="12" t="str">
        <x:f t="shared" ref="AC258:AC296" si="29">IF(E258="Cr","",IF(D258=2977,R258*AA258/1000,IF(OR(S258="mg/L",S258="ppm"),R258,IF(OR(S258="ug/L",S258="ppb"),R258/1000,IF(S258="nM",R258*AA258/1000000,IF(S258="M",R258*AA258*1000,""))))))</x:f>
      </x:c>
      <x:c r="AD258" s="12" t="str">
        <x:f t="shared" ref="AD258:AD296" si="30">IF(E258="Cr","",IF(D258=2977,R258,IF(S258="nM",R258/1000,IF(AC258&lt;&gt;"",AC258*1000/AA258,""))))</x:f>
      </x:c>
      <x:c r="AE258" s="12" t="str">
        <x:f t="shared" ref="AE258:AE296" si="31">IF(AND(ISNUMBER(AD258),AD258&gt;0),LN(AD258),"")</x:f>
      </x:c>
      <x:c r="AF258" s="2" t="str">
        <x:f t="shared" ref="AF258:AF296" si="32">IF(E258="Cr","PENDING_CR_SOURCE_BASIS",IF(OR(S258="ug/L",S258="mg/L",S258="ppb",S258="ppm",S258="nM",AND(S258="M",D258=2977)),"HARMONIZED","NEEDS_REVIEW"))</x:f>
        <x:v>PENDING_CR_SOURCE_BASIS</x:v>
      </x:c>
      <x:c r="AG258" s="2" t="str">
        <x:f>IF(E258="Cr","Cr(VI) chromate/dichromate rows are retained but molar conversion is held until source-specific compound-vs-ion basis is resolved.",IF(D258=2977,"OBrien 1988 reports total dissolved Cu LC306 values in 10^-6 M; the numeric Analysis_Point is therefore treated directly as umol Cu/L.",IF(AND(D258=6825,L258="Formulation"),"Nipper 1993 source check showed the reported concentrations are nominal Zn; formulation coding does not trigger compound-mass conversion.",IF(Y258="PRIMARY_RECOVERED","Source-recovered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8" s="2" t="str">
        <x:f t="shared" ref="AH258:AH296" si="33">IF(OR(E258="Cu",E258="Cd",E258="Zn"),"CORE",IF(E258="Ag","SECONDARY",IF(E258="Cr","SECONDARY",IF(E258="Hg","EXPLORATORY","DESCRIPTIVE"))))</x:f>
        <x:v>SECONDARY</x:v>
      </x:c>
      <x:c r="AI258" s="2" t="str">
        <x:f t="shared" ref="AI258:AI296" si="34">IF(AND(AH258="CORE",AF258="HARMONIZED"),"YES","NO")</x:f>
        <x:v>NO</x:v>
      </x:c>
    </x:row>
    <x:row r="259" ht="40.5">
      <x:c r="A259" s="2">
        <x:v>1797</x:v>
      </x:c>
      <x:c r="B259" s="2">
        <x:v>1201111</x:v>
      </x:c>
      <x:c r="C259" s="2">
        <x:v>160574</x:v>
      </x:c>
      <x:c r="D259" s="2">
        <x:v>18307</x:v>
      </x:c>
      <x:c r="E259" s="2" t="s">
        <x:v>163</x:v>
      </x:c>
      <x:c r="F259" s="2" t="s">
        <x:v>267</x:v>
      </x:c>
      <x:c r="G259" s="2" t="s">
        <x:v>129</x:v>
      </x:c>
      <x:c r="H259" s="2" t="s">
        <x:v>107</x:v>
      </x:c>
      <x:c r="I259" s="2" t="s">
        <x:v>167</x:v>
      </x:c>
      <x:c r="J259" s="2">
        <x:v>3</x:v>
      </x:c>
      <x:c r="K259" s="2" t="s">
        <x:v>109</x:v>
      </x:c>
      <x:c r="L259" s="2" t="s">
        <x:v>110</x:v>
      </x:c>
      <x:c r="M259" s="2"/>
      <x:c r="N259" s="2">
        <x:v>37000</x:v>
      </x:c>
      <x:c r="O259" s="2">
        <x:v>27000</x:v>
      </x:c>
      <x:c r="P259" s="2">
        <x:v>55000</x:v>
      </x:c>
      <x:c r="Q259" s="2" t="s">
        <x:v>111</x:v>
      </x:c>
      <x:c r="R259" s="2">
        <x:v>37000</x:v>
      </x:c>
      <x:c r="S259" s="2" t="s">
        <x:v>111</x:v>
      </x:c>
      <x:c r="T259" s="2">
        <x:v>20</x:v>
      </x:c>
      <x:c r="U259" s="2">
        <x:v>13.5</x:v>
      </x:c>
      <x:c r="V259" s="2"/>
      <x:c r="W259" s="2"/>
      <x:c r="X259" s="2" t="s">
        <x:v>272</x:v>
      </x:c>
      <x:c r="Y259" s="2" t="s">
        <x:v>113</x:v>
      </x:c>
      <x:c r="Z259" s="2" t="s">
        <x:v>114</x:v>
      </x:c>
      <x:c r="AA259" s="11" t="n">
        <x:f>IFERROR(VLOOKUP(E259,Harmonization_Rules!$A$2:$B$9,2,FALSE),"")</x:f>
        <x:v>51.9961</x:v>
      </x:c>
      <x:c r="AB259" s="2" t="str">
        <x:f t="shared" si="28"/>
        <x:v>PENDING_SOURCE_BASIS</x:v>
      </x:c>
      <x:c r="AC259" s="12" t="str">
        <x:f t="shared" si="29"/>
      </x:c>
      <x:c r="AD259" s="12" t="str">
        <x:f t="shared" si="30"/>
      </x:c>
      <x:c r="AE259" s="12" t="str">
        <x:f t="shared" si="31"/>
      </x:c>
      <x:c r="AF259" s="2" t="str">
        <x:f t="shared" si="32"/>
        <x:v>PENDING_CR_SOURCE_BASIS</x:v>
      </x:c>
      <x:c r="AG259" s="2" t="str">
        <x:f>IF(E259="Cr","Cr(VI) chromate/dichromate rows are retained but molar conversion is held until source-specific compound-vs-ion basis is resolved.",IF(D259=2977,"OBrien 1988 reports total dissolved Cu LC307 values in 10^-6 M; the numeric Analysis_Point is therefore treated directly as umol Cu/L.",IF(AND(D259=6825,L259="Formulation"),"Nipper 1993 source check showed the reported concentrations are nominal Zn; formulation coding does not trigger compound-mass conversion.",IF(Y259="PRIMARY_RECOVERED","Source-recovered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59" s="2" t="str">
        <x:f t="shared" si="33"/>
        <x:v>SECONDARY</x:v>
      </x:c>
      <x:c r="AI259" s="2" t="str">
        <x:f t="shared" si="34"/>
        <x:v>NO</x:v>
      </x:c>
    </x:row>
    <x:row r="260" ht="40.5">
      <x:c r="A260" s="2">
        <x:v>1801</x:v>
      </x:c>
      <x:c r="B260" s="2">
        <x:v>2114273</x:v>
      </x:c>
      <x:c r="C260" s="2">
        <x:v>2208826</x:v>
      </x:c>
      <x:c r="D260" s="2">
        <x:v>167149</x:v>
      </x:c>
      <x:c r="E260" s="2" t="s">
        <x:v>163</x:v>
      </x:c>
      <x:c r="F260" s="2" t="s">
        <x:v>267</x:v>
      </x:c>
      <x:c r="G260" s="2" t="s">
        <x:v>134</x:v>
      </x:c>
      <x:c r="H260" s="2" t="s">
        <x:v>135</x:v>
      </x:c>
      <x:c r="I260" s="2" t="s">
        <x:v>159</x:v>
      </x:c>
      <x:c r="J260" s="2">
        <x:v>2</x:v>
      </x:c>
      <x:c r="K260" s="2" t="s">
        <x:v>117</x:v>
      </x:c>
      <x:c r="L260" s="2" t="s">
        <x:v>110</x:v>
      </x:c>
      <x:c r="M260" s="2"/>
      <x:c r="N260" s="2">
        <x:v>10.6</x:v>
      </x:c>
      <x:c r="O260" s="2">
        <x:v>7.2</x:v>
      </x:c>
      <x:c r="P260" s="2">
        <x:v>26</x:v>
      </x:c>
      <x:c r="Q260" s="2" t="s">
        <x:v>121</x:v>
      </x:c>
      <x:c r="R260" s="2">
        <x:v>10.6</x:v>
      </x:c>
      <x:c r="S260" s="2" t="s">
        <x:v>121</x:v>
      </x:c>
      <x:c r="T260" s="2">
        <x:v>25</x:v>
      </x:c>
      <x:c r="U260" s="2"/>
      <x:c r="V260" s="2">
        <x:v>8.1</x:v>
      </x:c>
      <x:c r="W260" s="2"/>
      <x:c r="X260" s="2" t="s">
        <x:v>274</x:v>
      </x:c>
      <x:c r="Y260" s="2" t="s">
        <x:v>113</x:v>
      </x:c>
      <x:c r="Z260" s="2" t="s">
        <x:v>114</x:v>
      </x:c>
      <x:c r="AA260" s="11" t="n">
        <x:f>IFERROR(VLOOKUP(E260,Harmonization_Rules!$A$2:$B$9,2,FALSE),"")</x:f>
        <x:v>51.9961</x:v>
      </x:c>
      <x:c r="AB260" s="2" t="str">
        <x:f t="shared" si="28"/>
        <x:v>PENDING_SOURCE_BASIS</x:v>
      </x:c>
      <x:c r="AC260" s="12" t="str">
        <x:f t="shared" si="29"/>
      </x:c>
      <x:c r="AD260" s="12" t="str">
        <x:f t="shared" si="30"/>
      </x:c>
      <x:c r="AE260" s="12" t="str">
        <x:f t="shared" si="31"/>
      </x:c>
      <x:c r="AF260" s="2" t="str">
        <x:f t="shared" si="32"/>
        <x:v>PENDING_CR_SOURCE_BASIS</x:v>
      </x:c>
      <x:c r="AG260" s="2" t="str">
        <x:f>IF(E260="Cr","Cr(VI) chromate/dichromate rows are retained but molar conversion is held until source-specific compound-vs-ion basis is resolved.",IF(D260=2977,"OBrien 1988 reports total dissolved Cu LC308 values in 10^-6 M; the numeric Analysis_Point is therefore treated directly as umol Cu/L.",IF(AND(D260=6825,L260="Formulation"),"Nipper 1993 source check showed the reported concentrations are nominal Zn; formulation coding does not trigger compound-mass conversion.",IF(Y260="PRIMARY_RECOVERED","Source-recovered point estimate retained, then converted on the target-metal scale.","ECOTOX standardized concentration used; for metal salts ECOTOX generally expresses concentration as active ionic form."))))</x:f>
        <x:v>Cr(VI) chromate/dichromate rows are retained but molar conversion is held until source-specific compound-vs-ion basis is resolved.</x:v>
      </x:c>
      <x:c r="AH260" s="2" t="str">
        <x:f t="shared" si="33"/>
        <x:v>SECONDARY</x:v>
      </x:c>
      <x:c r="AI260" s="2" t="str">
        <x:f t="shared" si="34"/>
        <x:v>NO</x:v>
      </x:c>
    </x:row>
    <x:row r="261" ht="40.5">
      <x:c r="A261" s="2">
        <x:v>1876</x:v>
      </x:c>
      <x:c r="B261" s="2">
        <x:v>1179972</x:v>
      </x:c>
      <x:c r="C261" s="2">
        <x:v>81929</x:v>
      </x:c>
      <x:c r="D261" s="2">
        <x:v>15726</x:v>
      </x:c>
      <x:c r="E261" s="2" t="s">
        <x:v>16</x:v>
      </x:c>
      <x:c r="F261" s="2" t="s">
        <x:v>279</x:v>
      </x:c>
      <x:c r="G261" s="2" t="s">
        <x:v>116</x:v>
      </x:c>
      <x:c r="H261" s="2" t="s">
        <x:v>107</x:v>
      </x:c>
      <x:c r="I261" s="2" t="s">
        <x:v>108</x:v>
      </x:c>
      <x:c r="J261" s="2">
        <x:v>2</x:v>
      </x:c>
      <x:c r="K261" s="2" t="s">
        <x:v>117</x:v>
      </x:c>
      <x:c r="L261" s="2" t="s">
        <x:v>110</x:v>
      </x:c>
      <x:c r="M261" s="2"/>
      <x:c r="N261" s="2">
        <x:v>970</x:v>
      </x:c>
      <x:c r="O261" s="2"/>
      <x:c r="P261" s="2"/>
      <x:c r="Q261" s="2" t="s">
        <x:v>111</x:v>
      </x:c>
      <x:c r="R261" s="2">
        <x:v>970</x:v>
      </x:c>
      <x:c r="S261" s="2" t="s">
        <x:v>111</x:v>
      </x:c>
      <x:c r="T261" s="2">
        <x:v>24</x:v>
      </x:c>
      <x:c r="U261" s="2"/>
      <x:c r="V261" s="2"/>
      <x:c r="W261" s="2"/>
      <x:c r="X261" s="2" t="s">
        <x:v>248</x:v>
      </x:c>
      <x:c r="Y261" s="2" t="s">
        <x:v>113</x:v>
      </x:c>
      <x:c r="Z261" s="2" t="s">
        <x:v>114</x:v>
      </x:c>
      <x:c r="AA261" s="11" t="n">
        <x:f>IFERROR(VLOOKUP(E261,Harmonization_Rules!$A$2:$B$9,2,FALSE),"")</x:f>
        <x:v>112.414</x:v>
      </x:c>
      <x:c r="AB261" s="2" t="str">
        <x:f t="shared" si="28"/>
        <x:v>ECOTOX_STANDARDIZED_TARGET_METAL</x:v>
      </x:c>
      <x:c r="AC261" s="12">
        <x:f t="shared" si="29"/>
        <x:v>0.97</x:v>
      </x:c>
      <x:c r="AD261" s="12">
        <x:f t="shared" si="30"/>
        <x:v>8.6288184745672254</x:v>
      </x:c>
      <x:c r="AE261" s="12">
        <x:f t="shared" si="31"/>
        <x:v>2.1551075866340454</x:v>
      </x:c>
      <x:c r="AF261" s="2" t="str">
        <x:f t="shared" si="32"/>
        <x:v>HARMONIZED</x:v>
      </x:c>
      <x:c r="AG261" s="2" t="str">
        <x:f>IF(E261="Cr","Cr(VI) chromate/dichromate rows are retained but molar conversion is held until source-specific compound-vs-ion basis is resolved.",IF(D261=2977,"OBrien 1988 reports total dissolved Cu LC309 values in 10^-6 M; the numeric Analysis_Point is therefore treated directly as umol Cu/L.",IF(AND(D261=6825,L261="Formulation"),"Nipper 1993 source check showed the reported concentrations are nominal Zn; formulation coding does not trigger compound-mass conversion.",IF(Y261="PRIMARY_RECOVERED","Source-recovered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1" s="2" t="str">
        <x:f t="shared" si="33"/>
        <x:v>CORE</x:v>
      </x:c>
      <x:c r="AI261" s="2" t="str">
        <x:f t="shared" si="34"/>
        <x:v>YES</x:v>
      </x:c>
    </x:row>
    <x:row r="262" ht="54">
      <x:c r="A262" s="2">
        <x:v>1919</x:v>
      </x:c>
      <x:c r="B262" s="2">
        <x:v>2136234</x:v>
      </x:c>
      <x:c r="C262" s="2">
        <x:v>2252281</x:v>
      </x:c>
      <x:c r="D262" s="2">
        <x:v>153073</x:v>
      </x:c>
      <x:c r="E262" s="2" t="s">
        <x:v>16</x:v>
      </x:c>
      <x:c r="F262" s="2" t="s">
        <x:v>279</x:v>
      </x:c>
      <x:c r="G262" s="2" t="s">
        <x:v>245</x:v>
      </x:c>
      <x:c r="H262" s="2" t="s">
        <x:v>234</x:v>
      </x:c>
      <x:c r="I262" s="2" t="s">
        <x:v>108</x:v>
      </x:c>
      <x:c r="J262" s="2">
        <x:v>4</x:v>
      </x:c>
      <x:c r="K262" s="2" t="s">
        <x:v>126</x:v>
      </x:c>
      <x:c r="L262" s="2" t="s">
        <x:v>110</x:v>
      </x:c>
      <x:c r="M262" s="2"/>
      <x:c r="N262" s="2">
        <x:v>0.3</x:v>
      </x:c>
      <x:c r="O262" s="2">
        <x:v>0.26</x:v>
      </x:c>
      <x:c r="P262" s="2">
        <x:v>0.36</x:v>
      </x:c>
      <x:c r="Q262" s="2" t="s">
        <x:v>121</x:v>
      </x:c>
      <x:c r="R262" s="2">
        <x:v>0.3</x:v>
      </x:c>
      <x:c r="S262" s="2" t="s">
        <x:v>121</x:v>
      </x:c>
      <x:c r="T262" s="2">
        <x:v>25</x:v>
      </x:c>
      <x:c r="U262" s="2">
        <x:v>15</x:v>
      </x:c>
      <x:c r="V262" s="2"/>
      <x:c r="W262" s="2"/>
      <x:c r="X262" s="2" t="s">
        <x:v>246</x:v>
      </x:c>
      <x:c r="Y262" s="2" t="s">
        <x:v>113</x:v>
      </x:c>
      <x:c r="Z262" s="2" t="s">
        <x:v>114</x:v>
      </x:c>
      <x:c r="AA262" s="11" t="n">
        <x:f>IFERROR(VLOOKUP(E262,Harmonization_Rules!$A$2:$B$9,2,FALSE),"")</x:f>
        <x:v>112.414</x:v>
      </x:c>
      <x:c r="AB262" s="2" t="str">
        <x:f t="shared" si="28"/>
        <x:v>ECOTOX_STANDARDIZED_TARGET_METAL</x:v>
      </x:c>
      <x:c r="AC262" s="12">
        <x:f t="shared" si="29"/>
        <x:v>0.3</x:v>
      </x:c>
      <x:c r="AD262" s="12">
        <x:f t="shared" si="30"/>
        <x:v>2.6687067447115127</x:v>
      </x:c>
      <x:c r="AE262" s="12">
        <x:f t="shared" si="31"/>
        <x:v>0.98159398979281787</x:v>
      </x:c>
      <x:c r="AF262" s="2" t="str">
        <x:f t="shared" si="32"/>
        <x:v>HARMONIZED</x:v>
      </x:c>
      <x:c r="AG262" s="2" t="str">
        <x:f>IF(E262="Cr","Cr(VI) chromate/dichromate rows are retained but molar conversion is held until source-specific compound-vs-ion basis is resolved.",IF(D262=2977,"OBrien 1988 reports total dissolved Cu LC310 values in 10^-6 M; the numeric Analysis_Point is therefore treated directly as umol Cu/L.",IF(AND(D262=6825,L262="Formulation"),"Nipper 1993 source check showed the reported concentrations are nominal Zn; formulation coding does not trigger compound-mass conversion.",IF(Y262="PRIMARY_RECOVERED","Source-recovered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2" s="2" t="str">
        <x:f t="shared" si="33"/>
        <x:v>CORE</x:v>
      </x:c>
      <x:c r="AI262" s="2" t="str">
        <x:f t="shared" si="34"/>
        <x:v>YES</x:v>
      </x:c>
    </x:row>
    <x:row r="263" ht="40.5">
      <x:c r="A263" s="2">
        <x:v>1928</x:v>
      </x:c>
      <x:c r="B263" s="2">
        <x:v>1135993</x:v>
      </x:c>
      <x:c r="C263" s="2">
        <x:v>90613</x:v>
      </x:c>
      <x:c r="D263" s="2">
        <x:v>11097</x:v>
      </x:c>
      <x:c r="E263" s="2" t="s">
        <x:v>16</x:v>
      </x:c>
      <x:c r="F263" s="2" t="s">
        <x:v>279</x:v>
      </x:c>
      <x:c r="G263" s="2" t="s">
        <x:v>116</x:v>
      </x:c>
      <x:c r="H263" s="2" t="s">
        <x:v>107</x:v>
      </x:c>
      <x:c r="I263" s="2"/>
      <x:c r="J263" s="2">
        <x:v>2</x:v>
      </x:c>
      <x:c r="K263" s="2" t="s">
        <x:v>117</x:v>
      </x:c>
      <x:c r="L263" s="2" t="s">
        <x:v>110</x:v>
      </x:c>
      <x:c r="M263" s="2"/>
      <x:c r="N263" s="2">
        <x:v>872.7</x:v>
      </x:c>
      <x:c r="O263" s="2"/>
      <x:c r="P263" s="2"/>
      <x:c r="Q263" s="2" t="s">
        <x:v>111</x:v>
      </x:c>
      <x:c r="R263" s="2">
        <x:v>872.7</x:v>
      </x:c>
      <x:c r="S263" s="2" t="s">
        <x:v>111</x:v>
      </x:c>
      <x:c r="T263" s="2">
        <x:v>18</x:v>
      </x:c>
      <x:c r="U263" s="2">
        <x:v>38</x:v>
      </x:c>
      <x:c r="V263" s="2"/>
      <x:c r="W263" s="2"/>
      <x:c r="X263" s="2" t="s">
        <x:v>239</x:v>
      </x:c>
      <x:c r="Y263" s="2" t="s">
        <x:v>113</x:v>
      </x:c>
      <x:c r="Z263" s="2" t="s">
        <x:v>114</x:v>
      </x:c>
      <x:c r="AA263" s="11" t="n">
        <x:f>IFERROR(VLOOKUP(E263,Harmonization_Rules!$A$2:$B$9,2,FALSE),"")</x:f>
        <x:v>112.414</x:v>
      </x:c>
      <x:c r="AB263" s="2" t="str">
        <x:f t="shared" si="28"/>
        <x:v>ECOTOX_STANDARDIZED_TARGET_METAL</x:v>
      </x:c>
      <x:c r="AC263" s="12">
        <x:f t="shared" si="29"/>
        <x:v>0.87270000000000003</x:v>
      </x:c>
      <x:c r="AD263" s="12">
        <x:f t="shared" si="30"/>
        <x:v>7.7632679203657906</x:v>
      </x:c>
      <x:c r="AE263" s="12">
        <x:f t="shared" si="31"/>
        <x:v>2.0494033693058826</x:v>
      </x:c>
      <x:c r="AF263" s="2" t="str">
        <x:f t="shared" si="32"/>
        <x:v>HARMONIZED</x:v>
      </x:c>
      <x:c r="AG263" s="2" t="str">
        <x:f>IF(E263="Cr","Cr(VI) chromate/dichromate rows are retained but molar conversion is held until source-specific compound-vs-ion basis is resolved.",IF(D263=2977,"OBrien 1988 reports total dissolved Cu LC311 values in 10^-6 M; the numeric Analysis_Point is therefore treated directly as umol Cu/L.",IF(AND(D263=6825,L263="Formulation"),"Nipper 1993 source check showed the reported concentrations are nominal Zn; formulation coding does not trigger compound-mass conversion.",IF(Y263="PRIMARY_RECOVERED","Source-recovered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3" s="2" t="str">
        <x:f t="shared" si="33"/>
        <x:v>CORE</x:v>
      </x:c>
      <x:c r="AI263" s="2" t="str">
        <x:f t="shared" si="34"/>
        <x:v>YES</x:v>
      </x:c>
    </x:row>
    <x:row r="264" ht="40.5">
      <x:c r="A264" s="2">
        <x:v>1932</x:v>
      </x:c>
      <x:c r="B264" s="2">
        <x:v>1070633</x:v>
      </x:c>
      <x:c r="C264" s="2">
        <x:v>15838</x:v>
      </x:c>
      <x:c r="D264" s="2">
        <x:v>5563</x:v>
      </x:c>
      <x:c r="E264" s="2" t="s">
        <x:v>16</x:v>
      </x:c>
      <x:c r="F264" s="2" t="s">
        <x:v>279</x:v>
      </x:c>
      <x:c r="G264" s="2" t="s">
        <x:v>202</x:v>
      </x:c>
      <x:c r="H264" s="2" t="s">
        <x:v>135</x:v>
      </x:c>
      <x:c r="I264" s="2" t="s">
        <x:v>159</x:v>
      </x:c>
      <x:c r="J264" s="2">
        <x:v>1</x:v>
      </x:c>
      <x:c r="K264" s="2" t="s">
        <x:v>117</x:v>
      </x:c>
      <x:c r="L264" s="2" t="s">
        <x:v>110</x:v>
      </x:c>
      <x:c r="M264" s="2"/>
      <x:c r="N264" s="2">
        <x:v>2710</x:v>
      </x:c>
      <x:c r="O264" s="2">
        <x:v>2070</x:v>
      </x:c>
      <x:c r="P264" s="2">
        <x:v>5220</x:v>
      </x:c>
      <x:c r="Q264" s="2" t="s">
        <x:v>111</x:v>
      </x:c>
      <x:c r="R264" s="2">
        <x:v>2710</x:v>
      </x:c>
      <x:c r="S264" s="2" t="s">
        <x:v>111</x:v>
      </x:c>
      <x:c r="T264" s="2">
        <x:v>17</x:v>
      </x:c>
      <x:c r="U264" s="2"/>
      <x:c r="V264" s="2"/>
      <x:c r="W264" s="2"/>
      <x:c r="X264" s="2" t="s">
        <x:v>200</x:v>
      </x:c>
      <x:c r="Y264" s="2" t="s">
        <x:v>113</x:v>
      </x:c>
      <x:c r="Z264" s="2" t="s">
        <x:v>114</x:v>
      </x:c>
      <x:c r="AA264" s="11" t="n">
        <x:f>IFERROR(VLOOKUP(E264,Harmonization_Rules!$A$2:$B$9,2,FALSE),"")</x:f>
        <x:v>112.414</x:v>
      </x:c>
      <x:c r="AB264" s="2" t="str">
        <x:f t="shared" si="28"/>
        <x:v>ECOTOX_STANDARDIZED_TARGET_METAL</x:v>
      </x:c>
      <x:c r="AC264" s="12">
        <x:f t="shared" si="29"/>
        <x:v>2.71</x:v>
      </x:c>
      <x:c r="AD264" s="12">
        <x:f t="shared" si="30"/>
        <x:v>24.107317593893999</x:v>
      </x:c>
      <x:c r="AE264" s="12">
        <x:f t="shared" si="31"/>
        <x:v>3.1825154290103637</x:v>
      </x:c>
      <x:c r="AF264" s="2" t="str">
        <x:f t="shared" si="32"/>
        <x:v>HARMONIZED</x:v>
      </x:c>
      <x:c r="AG264" s="2" t="str">
        <x:f>IF(E264="Cr","Cr(VI) chromate/dichromate rows are retained but molar conversion is held until source-specific compound-vs-ion basis is resolved.",IF(D264=2977,"OBrien 1988 reports total dissolved Cu LC312 values in 10^-6 M; the numeric Analysis_Point is therefore treated directly as umol Cu/L.",IF(AND(D264=6825,L264="Formulation"),"Nipper 1993 source check showed the reported concentrations are nominal Zn; formulation coding does not trigger compound-mass conversion.",IF(Y264="PRIMARY_RECOVERED","Source-recovered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4" s="2" t="str">
        <x:f t="shared" si="33"/>
        <x:v>CORE</x:v>
      </x:c>
      <x:c r="AI264" s="2" t="str">
        <x:f t="shared" si="34"/>
        <x:v>YES</x:v>
      </x:c>
    </x:row>
    <x:row r="265" ht="40.5">
      <x:c r="A265" s="2">
        <x:v>1944</x:v>
      </x:c>
      <x:c r="B265" s="2">
        <x:v>2307791</x:v>
      </x:c>
      <x:c r="C265" s="2">
        <x:v>2748533</x:v>
      </x:c>
      <x:c r="D265" s="2">
        <x:v>192310</x:v>
      </x:c>
      <x:c r="E265" s="2" t="s">
        <x:v>16</x:v>
      </x:c>
      <x:c r="F265" s="2" t="s">
        <x:v>279</x:v>
      </x:c>
      <x:c r="G265" s="2" t="s">
        <x:v>233</x:v>
      </x:c>
      <x:c r="H265" s="2" t="s">
        <x:v>234</x:v>
      </x:c>
      <x:c r="I265" s="2" t="s">
        <x:v>108</x:v>
      </x:c>
      <x:c r="J265" s="2">
        <x:v>4</x:v>
      </x:c>
      <x:c r="K265" s="2" t="s">
        <x:v>126</x:v>
      </x:c>
      <x:c r="L265" s="2" t="s">
        <x:v>120</x:v>
      </x:c>
      <x:c r="M265" s="2"/>
      <x:c r="N265" s="2">
        <x:v>1.9E-2</x:v>
      </x:c>
      <x:c r="O265" s="2"/>
      <x:c r="P265" s="2"/>
      <x:c r="Q265" s="2" t="s">
        <x:v>121</x:v>
      </x:c>
      <x:c r="R265" s="2">
        <x:v>1.9E-2</x:v>
      </x:c>
      <x:c r="S265" s="2" t="s">
        <x:v>121</x:v>
      </x:c>
      <x:c r="T265" s="2">
        <x:v>26</x:v>
      </x:c>
      <x:c r="U265" s="2">
        <x:v>29.5</x:v>
      </x:c>
      <x:c r="V265" s="2">
        <x:v>7.8</x:v>
      </x:c>
      <x:c r="W265" s="2"/>
      <x:c r="X265" s="2" t="s">
        <x:v>232</x:v>
      </x:c>
      <x:c r="Y265" s="2" t="s">
        <x:v>113</x:v>
      </x:c>
      <x:c r="Z265" s="2" t="s">
        <x:v>114</x:v>
      </x:c>
      <x:c r="AA265" s="11" t="n">
        <x:f>IFERROR(VLOOKUP(E265,Harmonization_Rules!$A$2:$B$9,2,FALSE),"")</x:f>
        <x:v>112.414</x:v>
      </x:c>
      <x:c r="AB265" s="2" t="str">
        <x:f t="shared" si="28"/>
        <x:v>ECOTOX_STANDARDIZED_TARGET_METAL</x:v>
      </x:c>
      <x:c r="AC265" s="12">
        <x:f t="shared" si="29"/>
        <x:v>1.9E-2</x:v>
      </x:c>
      <x:c r="AD265" s="12">
        <x:f t="shared" si="30"/>
        <x:v>0.16901809383172914</x:v>
      </x:c>
      <x:c r="AE265" s="12">
        <x:f t="shared" si="31"/>
        <x:v>-1.7777495056969428</x:v>
      </x:c>
      <x:c r="AF265" s="2" t="str">
        <x:f t="shared" si="32"/>
        <x:v>HARMONIZED</x:v>
      </x:c>
      <x:c r="AG265" s="2" t="str">
        <x:f>IF(E265="Cr","Cr(VI) chromate/dichromate rows are retained but molar conversion is held until source-specific compound-vs-ion basis is resolved.",IF(D265=2977,"OBrien 1988 reports total dissolved Cu LC313 values in 10^-6 M; the numeric Analysis_Point is therefore treated directly as umol Cu/L.",IF(AND(D265=6825,L265="Formulation"),"Nipper 1993 source check showed the reported concentrations are nominal Zn; formulation coding does not trigger compound-mass conversion.",IF(Y265="PRIMARY_RECOVERED","Source-recovered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5" s="2" t="str">
        <x:f t="shared" si="33"/>
        <x:v>CORE</x:v>
      </x:c>
      <x:c r="AI265" s="2" t="str">
        <x:f t="shared" si="34"/>
        <x:v>YES</x:v>
      </x:c>
    </x:row>
    <x:row r="266" ht="40.5">
      <x:c r="A266" s="2">
        <x:v>1981</x:v>
      </x:c>
      <x:c r="B266" s="2">
        <x:v>1070632</x:v>
      </x:c>
      <x:c r="C266" s="2">
        <x:v>15837</x:v>
      </x:c>
      <x:c r="D266" s="2">
        <x:v>5563</x:v>
      </x:c>
      <x:c r="E266" s="2" t="s">
        <x:v>16</x:v>
      </x:c>
      <x:c r="F266" s="2" t="s">
        <x:v>279</x:v>
      </x:c>
      <x:c r="G266" s="2" t="s">
        <x:v>203</x:v>
      </x:c>
      <x:c r="H266" s="2" t="s">
        <x:v>135</x:v>
      </x:c>
      <x:c r="I266" s="2" t="s">
        <x:v>159</x:v>
      </x:c>
      <x:c r="J266" s="2">
        <x:v>1</x:v>
      </x:c>
      <x:c r="K266" s="2" t="s">
        <x:v>117</x:v>
      </x:c>
      <x:c r="L266" s="2" t="s">
        <x:v>110</x:v>
      </x:c>
      <x:c r="M266" s="2"/>
      <x:c r="N266" s="2">
        <x:v>1370</x:v>
      </x:c>
      <x:c r="O266" s="2">
        <x:v>1050</x:v>
      </x:c>
      <x:c r="P266" s="2">
        <x:v>1760</x:v>
      </x:c>
      <x:c r="Q266" s="2" t="s">
        <x:v>111</x:v>
      </x:c>
      <x:c r="R266" s="2">
        <x:v>1370</x:v>
      </x:c>
      <x:c r="S266" s="2" t="s">
        <x:v>111</x:v>
      </x:c>
      <x:c r="T266" s="2">
        <x:v>17</x:v>
      </x:c>
      <x:c r="U266" s="2"/>
      <x:c r="V266" s="2"/>
      <x:c r="W266" s="2"/>
      <x:c r="X266" s="2" t="s">
        <x:v>200</x:v>
      </x:c>
      <x:c r="Y266" s="2" t="s">
        <x:v>113</x:v>
      </x:c>
      <x:c r="Z266" s="2" t="s">
        <x:v>114</x:v>
      </x:c>
      <x:c r="AA266" s="11" t="n">
        <x:f>IFERROR(VLOOKUP(E266,Harmonization_Rules!$A$2:$B$9,2,FALSE),"")</x:f>
        <x:v>112.414</x:v>
      </x:c>
      <x:c r="AB266" s="2" t="str">
        <x:f t="shared" si="28"/>
        <x:v>ECOTOX_STANDARDIZED_TARGET_METAL</x:v>
      </x:c>
      <x:c r="AC266" s="12">
        <x:f t="shared" si="29"/>
        <x:v>1.37</x:v>
      </x:c>
      <x:c r="AD266" s="12">
        <x:f t="shared" si="30"/>
        <x:v>12.187094134182574</x:v>
      </x:c>
      <x:c r="AE266" s="12">
        <x:f t="shared" si="31"/>
        <x:v>2.5003775339587873</x:v>
      </x:c>
      <x:c r="AF266" s="2" t="str">
        <x:f t="shared" si="32"/>
        <x:v>HARMONIZED</x:v>
      </x:c>
      <x:c r="AG266" s="2" t="str">
        <x:f>IF(E266="Cr","Cr(VI) chromate/dichromate rows are retained but molar conversion is held until source-specific compound-vs-ion basis is resolved.",IF(D266=2977,"OBrien 1988 reports total dissolved Cu LC314 values in 10^-6 M; the numeric Analysis_Point is therefore treated directly as umol Cu/L.",IF(AND(D266=6825,L266="Formulation"),"Nipper 1993 source check showed the reported concentrations are nominal Zn; formulation coding does not trigger compound-mass conversion.",IF(Y266="PRIMARY_RECOVERED","Source-recovered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6" s="2" t="str">
        <x:f t="shared" si="33"/>
        <x:v>CORE</x:v>
      </x:c>
      <x:c r="AI266" s="2" t="str">
        <x:f t="shared" si="34"/>
        <x:v>YES</x:v>
      </x:c>
    </x:row>
    <x:row r="267" ht="40.5">
      <x:c r="A267" s="2">
        <x:v>2000</x:v>
      </x:c>
      <x:c r="B267" s="2">
        <x:v>2307795</x:v>
      </x:c>
      <x:c r="C267" s="2">
        <x:v>2748541</x:v>
      </x:c>
      <x:c r="D267" s="2">
        <x:v>192310</x:v>
      </x:c>
      <x:c r="E267" s="2" t="s">
        <x:v>16</x:v>
      </x:c>
      <x:c r="F267" s="2" t="s">
        <x:v>279</x:v>
      </x:c>
      <x:c r="G267" s="2" t="s">
        <x:v>231</x:v>
      </x:c>
      <x:c r="H267" s="2" t="s">
        <x:v>135</x:v>
      </x:c>
      <x:c r="I267" s="2" t="s">
        <x:v>108</x:v>
      </x:c>
      <x:c r="J267" s="2">
        <x:v>4</x:v>
      </x:c>
      <x:c r="K267" s="2" t="s">
        <x:v>126</x:v>
      </x:c>
      <x:c r="L267" s="2" t="s">
        <x:v>120</x:v>
      </x:c>
      <x:c r="M267" s="2"/>
      <x:c r="N267" s="2">
        <x:v>3.2000000000000001E-2</x:v>
      </x:c>
      <x:c r="O267" s="2"/>
      <x:c r="P267" s="2"/>
      <x:c r="Q267" s="2" t="s">
        <x:v>121</x:v>
      </x:c>
      <x:c r="R267" s="2">
        <x:v>3.2000000000000001E-2</x:v>
      </x:c>
      <x:c r="S267" s="2" t="s">
        <x:v>121</x:v>
      </x:c>
      <x:c r="T267" s="2">
        <x:v>26</x:v>
      </x:c>
      <x:c r="U267" s="2">
        <x:v>29.5</x:v>
      </x:c>
      <x:c r="V267" s="2">
        <x:v>7.8</x:v>
      </x:c>
      <x:c r="W267" s="2"/>
      <x:c r="X267" s="2" t="s">
        <x:v>232</x:v>
      </x:c>
      <x:c r="Y267" s="2" t="s">
        <x:v>113</x:v>
      </x:c>
      <x:c r="Z267" s="2" t="s">
        <x:v>114</x:v>
      </x:c>
      <x:c r="AA267" s="11" t="n">
        <x:f>IFERROR(VLOOKUP(E267,Harmonization_Rules!$A$2:$B$9,2,FALSE),"")</x:f>
        <x:v>112.414</x:v>
      </x:c>
      <x:c r="AB267" s="2" t="str">
        <x:f t="shared" si="28"/>
        <x:v>ECOTOX_STANDARDIZED_TARGET_METAL</x:v>
      </x:c>
      <x:c r="AC267" s="12">
        <x:f t="shared" si="29"/>
        <x:v>3.2000000000000001E-2</x:v>
      </x:c>
      <x:c r="AD267" s="12">
        <x:f t="shared" si="30"/>
        <x:v>0.28466205276922801</x:v>
      </x:c>
      <x:c r="AE267" s="12">
        <x:f t="shared" si="31"/>
        <x:v>-1.2564525820636567</x:v>
      </x:c>
      <x:c r="AF267" s="2" t="str">
        <x:f t="shared" si="32"/>
        <x:v>HARMONIZED</x:v>
      </x:c>
      <x:c r="AG267" s="2" t="str">
        <x:f>IF(E267="Cr","Cr(VI) chromate/dichromate rows are retained but molar conversion is held until source-specific compound-vs-ion basis is resolved.",IF(D267=2977,"OBrien 1988 reports total dissolved Cu LC315 values in 10^-6 M; the numeric Analysis_Point is therefore treated directly as umol Cu/L.",IF(AND(D267=6825,L267="Formulation"),"Nipper 1993 source check showed the reported concentrations are nominal Zn; formulation coding does not trigger compound-mass conversion.",IF(Y267="PRIMARY_RECOVERED","Source-recovered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7" s="2" t="str">
        <x:f t="shared" si="33"/>
        <x:v>CORE</x:v>
      </x:c>
      <x:c r="AI267" s="2" t="str">
        <x:f t="shared" si="34"/>
        <x:v>YES</x:v>
      </x:c>
    </x:row>
    <x:row r="268" ht="40.5">
      <x:c r="A268" s="2">
        <x:v>2009</x:v>
      </x:c>
      <x:c r="B268" s="2">
        <x:v>1135991</x:v>
      </x:c>
      <x:c r="C268" s="2">
        <x:v>90611</x:v>
      </x:c>
      <x:c r="D268" s="2">
        <x:v>11097</x:v>
      </x:c>
      <x:c r="E268" s="2" t="s">
        <x:v>16</x:v>
      </x:c>
      <x:c r="F268" s="2" t="s">
        <x:v>279</x:v>
      </x:c>
      <x:c r="G268" s="2" t="s">
        <x:v>116</x:v>
      </x:c>
      <x:c r="H268" s="2" t="s">
        <x:v>107</x:v>
      </x:c>
      <x:c r="I268" s="2" t="s">
        <x:v>224</x:v>
      </x:c>
      <x:c r="J268" s="2">
        <x:v>2</x:v>
      </x:c>
      <x:c r="K268" s="2" t="s">
        <x:v>117</x:v>
      </x:c>
      <x:c r="L268" s="2" t="s">
        <x:v>110</x:v>
      </x:c>
      <x:c r="M268" s="2"/>
      <x:c r="N268" s="2">
        <x:v>906.1</x:v>
      </x:c>
      <x:c r="O268" s="2"/>
      <x:c r="P268" s="2"/>
      <x:c r="Q268" s="2" t="s">
        <x:v>111</x:v>
      </x:c>
      <x:c r="R268" s="2">
        <x:v>906.1</x:v>
      </x:c>
      <x:c r="S268" s="2" t="s">
        <x:v>111</x:v>
      </x:c>
      <x:c r="T268" s="2">
        <x:v>18</x:v>
      </x:c>
      <x:c r="U268" s="2">
        <x:v>38</x:v>
      </x:c>
      <x:c r="V268" s="2"/>
      <x:c r="W268" s="2"/>
      <x:c r="X268" s="2" t="s">
        <x:v>239</x:v>
      </x:c>
      <x:c r="Y268" s="2" t="s">
        <x:v>113</x:v>
      </x:c>
      <x:c r="Z268" s="2" t="s">
        <x:v>114</x:v>
      </x:c>
      <x:c r="AA268" s="11" t="n">
        <x:f>IFERROR(VLOOKUP(E268,Harmonization_Rules!$A$2:$B$9,2,FALSE),"")</x:f>
        <x:v>112.414</x:v>
      </x:c>
      <x:c r="AB268" s="2" t="str">
        <x:f t="shared" si="28"/>
        <x:v>ECOTOX_STANDARDIZED_TARGET_METAL</x:v>
      </x:c>
      <x:c r="AC268" s="12">
        <x:f t="shared" si="29"/>
        <x:v>0.90610000000000002</x:v>
      </x:c>
      <x:c r="AD268" s="12">
        <x:f t="shared" si="30"/>
        <x:v>8.0603839379436728</x:v>
      </x:c>
      <x:c r="AE268" s="12">
        <x:f t="shared" si="31"/>
        <x:v>2.0869611903646317</x:v>
      </x:c>
      <x:c r="AF268" s="2" t="str">
        <x:f t="shared" si="32"/>
        <x:v>HARMONIZED</x:v>
      </x:c>
      <x:c r="AG268" s="2" t="str">
        <x:f>IF(E268="Cr","Cr(VI) chromate/dichromate rows are retained but molar conversion is held until source-specific compound-vs-ion basis is resolved.",IF(D268=2977,"OBrien 1988 reports total dissolved Cu LC316 values in 10^-6 M; the numeric Analysis_Point is therefore treated directly as umol Cu/L.",IF(AND(D268=6825,L268="Formulation"),"Nipper 1993 source check showed the reported concentrations are nominal Zn; formulation coding does not trigger compound-mass conversion.",IF(Y268="PRIMARY_RECOVERED","Source-recovered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8" s="2" t="str">
        <x:f t="shared" si="33"/>
        <x:v>CORE</x:v>
      </x:c>
      <x:c r="AI268" s="2" t="str">
        <x:f t="shared" si="34"/>
        <x:v>YES</x:v>
      </x:c>
    </x:row>
    <x:row r="269" ht="40.5">
      <x:c r="A269" s="2">
        <x:v>2014</x:v>
      </x:c>
      <x:c r="B269" s="2">
        <x:v>1135990</x:v>
      </x:c>
      <x:c r="C269" s="2">
        <x:v>90610</x:v>
      </x:c>
      <x:c r="D269" s="2">
        <x:v>11097</x:v>
      </x:c>
      <x:c r="E269" s="2" t="s">
        <x:v>16</x:v>
      </x:c>
      <x:c r="F269" s="2" t="s">
        <x:v>279</x:v>
      </x:c>
      <x:c r="G269" s="2" t="s">
        <x:v>116</x:v>
      </x:c>
      <x:c r="H269" s="2" t="s">
        <x:v>107</x:v>
      </x:c>
      <x:c r="I269" s="2" t="s">
        <x:v>125</x:v>
      </x:c>
      <x:c r="J269" s="2">
        <x:v>2</x:v>
      </x:c>
      <x:c r="K269" s="2" t="s">
        <x:v>117</x:v>
      </x:c>
      <x:c r="L269" s="2" t="s">
        <x:v>110</x:v>
      </x:c>
      <x:c r="M269" s="2"/>
      <x:c r="N269" s="2">
        <x:v>645</x:v>
      </x:c>
      <x:c r="O269" s="2"/>
      <x:c r="P269" s="2"/>
      <x:c r="Q269" s="2" t="s">
        <x:v>111</x:v>
      </x:c>
      <x:c r="R269" s="2">
        <x:v>645</x:v>
      </x:c>
      <x:c r="S269" s="2" t="s">
        <x:v>111</x:v>
      </x:c>
      <x:c r="T269" s="2">
        <x:v>18</x:v>
      </x:c>
      <x:c r="U269" s="2">
        <x:v>38</x:v>
      </x:c>
      <x:c r="V269" s="2"/>
      <x:c r="W269" s="2"/>
      <x:c r="X269" s="2" t="s">
        <x:v>239</x:v>
      </x:c>
      <x:c r="Y269" s="2" t="s">
        <x:v>113</x:v>
      </x:c>
      <x:c r="Z269" s="2" t="s">
        <x:v>114</x:v>
      </x:c>
      <x:c r="AA269" s="11" t="n">
        <x:f>IFERROR(VLOOKUP(E269,Harmonization_Rules!$A$2:$B$9,2,FALSE),"")</x:f>
        <x:v>112.414</x:v>
      </x:c>
      <x:c r="AB269" s="2" t="str">
        <x:f t="shared" si="28"/>
        <x:v>ECOTOX_STANDARDIZED_TARGET_METAL</x:v>
      </x:c>
      <x:c r="AC269" s="12">
        <x:f t="shared" si="29"/>
        <x:v>0.64500000000000002</x:v>
      </x:c>
      <x:c r="AD269" s="12">
        <x:f t="shared" si="30"/>
        <x:v>5.7377195011297522</x:v>
      </x:c>
      <x:c r="AE269" s="12">
        <x:f t="shared" si="31"/>
        <x:v>1.7470618319323892</x:v>
      </x:c>
      <x:c r="AF269" s="2" t="str">
        <x:f t="shared" si="32"/>
        <x:v>HARMONIZED</x:v>
      </x:c>
      <x:c r="AG269" s="2" t="str">
        <x:f>IF(E269="Cr","Cr(VI) chromate/dichromate rows are retained but molar conversion is held until source-specific compound-vs-ion basis is resolved.",IF(D269=2977,"OBrien 1988 reports total dissolved Cu LC317 values in 10^-6 M; the numeric Analysis_Point is therefore treated directly as umol Cu/L.",IF(AND(D269=6825,L269="Formulation"),"Nipper 1993 source check showed the reported concentrations are nominal Zn; formulation coding does not trigger compound-mass conversion.",IF(Y269="PRIMARY_RECOVERED","Source-recovered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69" s="2" t="str">
        <x:f t="shared" si="33"/>
        <x:v>CORE</x:v>
      </x:c>
      <x:c r="AI269" s="2" t="str">
        <x:f t="shared" si="34"/>
        <x:v>YES</x:v>
      </x:c>
    </x:row>
    <x:row r="270" ht="40.5">
      <x:c r="A270" s="2">
        <x:v>2021</x:v>
      </x:c>
      <x:c r="B270" s="2">
        <x:v>1165807</x:v>
      </x:c>
      <x:c r="C270" s="2">
        <x:v>189248</x:v>
      </x:c>
      <x:c r="D270" s="2">
        <x:v>14601</x:v>
      </x:c>
      <x:c r="E270" s="2" t="s">
        <x:v>16</x:v>
      </x:c>
      <x:c r="F270" s="2" t="s">
        <x:v>279</x:v>
      </x:c>
      <x:c r="G270" s="2" t="s">
        <x:v>146</x:v>
      </x:c>
      <x:c r="H270" s="2" t="s">
        <x:v>135</x:v>
      </x:c>
      <x:c r="I270" s="2" t="s">
        <x:v>108</x:v>
      </x:c>
      <x:c r="J270" s="2">
        <x:v>3</x:v>
      </x:c>
      <x:c r="K270" s="2" t="s">
        <x:v>117</x:v>
      </x:c>
      <x:c r="L270" s="2" t="s">
        <x:v>110</x:v>
      </x:c>
      <x:c r="M270" s="2"/>
      <x:c r="N270" s="2">
        <x:v>1910</x:v>
      </x:c>
      <x:c r="O270" s="2">
        <x:v>1350</x:v>
      </x:c>
      <x:c r="P270" s="2">
        <x:v>2708</x:v>
      </x:c>
      <x:c r="Q270" s="2" t="s">
        <x:v>111</x:v>
      </x:c>
      <x:c r="R270" s="2">
        <x:v>1910</x:v>
      </x:c>
      <x:c r="S270" s="2" t="s">
        <x:v>111</x:v>
      </x:c>
      <x:c r="T270" s="2">
        <x:v>15</x:v>
      </x:c>
      <x:c r="U270" s="2">
        <x:v>30</x:v>
      </x:c>
      <x:c r="V270" s="2"/>
      <x:c r="W270" s="2"/>
      <x:c r="X270" s="2" t="s">
        <x:v>280</x:v>
      </x:c>
      <x:c r="Y270" s="2" t="s">
        <x:v>113</x:v>
      </x:c>
      <x:c r="Z270" s="2" t="s">
        <x:v>114</x:v>
      </x:c>
      <x:c r="AA270" s="11" t="n">
        <x:f>IFERROR(VLOOKUP(E270,Harmonization_Rules!$A$2:$B$9,2,FALSE),"")</x:f>
        <x:v>112.414</x:v>
      </x:c>
      <x:c r="AB270" s="2" t="str">
        <x:f t="shared" si="28"/>
        <x:v>ECOTOX_STANDARDIZED_TARGET_METAL</x:v>
      </x:c>
      <x:c r="AC270" s="12">
        <x:f t="shared" si="29"/>
        <x:v>1.91</x:v>
      </x:c>
      <x:c r="AD270" s="12">
        <x:f t="shared" si="30"/>
        <x:v>16.990766274663297</x:v>
      </x:c>
      <x:c r="AE270" s="12">
        <x:f t="shared" si="31"/>
        <x:v>2.8326700361772925</x:v>
      </x:c>
      <x:c r="AF270" s="2" t="str">
        <x:f t="shared" si="32"/>
        <x:v>HARMONIZED</x:v>
      </x:c>
      <x:c r="AG270" s="2" t="str">
        <x:f>IF(E270="Cr","Cr(VI) chromate/dichromate rows are retained but molar conversion is held until source-specific compound-vs-ion basis is resolved.",IF(D270=2977,"OBrien 1988 reports total dissolved Cu LC318 values in 10^-6 M; the numeric Analysis_Point is therefore treated directly as umol Cu/L.",IF(AND(D270=6825,L270="Formulation"),"Nipper 1993 source check showed the reported concentrations are nominal Zn; formulation coding does not trigger compound-mass conversion.",IF(Y270="PRIMARY_RECOVERED","Source-recovered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0" s="2" t="str">
        <x:f t="shared" si="33"/>
        <x:v>CORE</x:v>
      </x:c>
      <x:c r="AI270" s="2" t="str">
        <x:f t="shared" si="34"/>
        <x:v>YES</x:v>
      </x:c>
    </x:row>
    <x:row r="271" ht="40.5">
      <x:c r="A271" s="2">
        <x:v>2062</x:v>
      </x:c>
      <x:c r="B271" s="2">
        <x:v>1135989</x:v>
      </x:c>
      <x:c r="C271" s="2">
        <x:v>90609</x:v>
      </x:c>
      <x:c r="D271" s="2">
        <x:v>11097</x:v>
      </x:c>
      <x:c r="E271" s="2" t="s">
        <x:v>16</x:v>
      </x:c>
      <x:c r="F271" s="2" t="s">
        <x:v>279</x:v>
      </x:c>
      <x:c r="G271" s="2" t="s">
        <x:v>116</x:v>
      </x:c>
      <x:c r="H271" s="2" t="s">
        <x:v>107</x:v>
      </x:c>
      <x:c r="I271" s="2" t="s">
        <x:v>125</x:v>
      </x:c>
      <x:c r="J271" s="2">
        <x:v>2</x:v>
      </x:c>
      <x:c r="K271" s="2" t="s">
        <x:v>117</x:v>
      </x:c>
      <x:c r="L271" s="2" t="s">
        <x:v>110</x:v>
      </x:c>
      <x:c r="M271" s="2"/>
      <x:c r="N271" s="2">
        <x:v>538.4</x:v>
      </x:c>
      <x:c r="O271" s="2"/>
      <x:c r="P271" s="2"/>
      <x:c r="Q271" s="2" t="s">
        <x:v>111</x:v>
      </x:c>
      <x:c r="R271" s="2">
        <x:v>538.4</x:v>
      </x:c>
      <x:c r="S271" s="2" t="s">
        <x:v>111</x:v>
      </x:c>
      <x:c r="T271" s="2">
        <x:v>18</x:v>
      </x:c>
      <x:c r="U271" s="2">
        <x:v>38</x:v>
      </x:c>
      <x:c r="V271" s="2"/>
      <x:c r="W271" s="2"/>
      <x:c r="X271" s="2" t="s">
        <x:v>239</x:v>
      </x:c>
      <x:c r="Y271" s="2" t="s">
        <x:v>113</x:v>
      </x:c>
      <x:c r="Z271" s="2" t="s">
        <x:v>114</x:v>
      </x:c>
      <x:c r="AA271" s="11" t="n">
        <x:f>IFERROR(VLOOKUP(E271,Harmonization_Rules!$A$2:$B$9,2,FALSE),"")</x:f>
        <x:v>112.414</x:v>
      </x:c>
      <x:c r="AB271" s="2" t="str">
        <x:f t="shared" si="28"/>
        <x:v>ECOTOX_STANDARDIZED_TARGET_METAL</x:v>
      </x:c>
      <x:c r="AC271" s="12">
        <x:f t="shared" si="29"/>
        <x:v>0.53839999999999999</x:v>
      </x:c>
      <x:c r="AD271" s="12">
        <x:f t="shared" si="30"/>
        <x:v>4.7894390378422615</x:v>
      </x:c>
      <x:c r="AE271" s="12">
        <x:f t="shared" si="31"/>
        <x:v>1.5664132934671349</x:v>
      </x:c>
      <x:c r="AF271" s="2" t="str">
        <x:f t="shared" si="32"/>
        <x:v>HARMONIZED</x:v>
      </x:c>
      <x:c r="AG271" s="2" t="str">
        <x:f>IF(E271="Cr","Cr(VI) chromate/dichromate rows are retained but molar conversion is held until source-specific compound-vs-ion basis is resolved.",IF(D271=2977,"OBrien 1988 reports total dissolved Cu LC319 values in 10^-6 M; the numeric Analysis_Point is therefore treated directly as umol Cu/L.",IF(AND(D271=6825,L271="Formulation"),"Nipper 1993 source check showed the reported concentrations are nominal Zn; formulation coding does not trigger compound-mass conversion.",IF(Y271="PRIMARY_RECOVERED","Source-recovered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1" s="2" t="str">
        <x:f t="shared" si="33"/>
        <x:v>CORE</x:v>
      </x:c>
      <x:c r="AI271" s="2" t="str">
        <x:f t="shared" si="34"/>
        <x:v>YES</x:v>
      </x:c>
    </x:row>
    <x:row r="272" ht="40.5">
      <x:c r="A272" s="2">
        <x:v>2092</x:v>
      </x:c>
      <x:c r="B272" s="2">
        <x:v>1135992</x:v>
      </x:c>
      <x:c r="C272" s="2">
        <x:v>90612</x:v>
      </x:c>
      <x:c r="D272" s="2">
        <x:v>11097</x:v>
      </x:c>
      <x:c r="E272" s="2" t="s">
        <x:v>16</x:v>
      </x:c>
      <x:c r="F272" s="2" t="s">
        <x:v>279</x:v>
      </x:c>
      <x:c r="G272" s="2" t="s">
        <x:v>116</x:v>
      </x:c>
      <x:c r="H272" s="2" t="s">
        <x:v>107</x:v>
      </x:c>
      <x:c r="I272" s="2"/>
      <x:c r="J272" s="2">
        <x:v>2</x:v>
      </x:c>
      <x:c r="K272" s="2" t="s">
        <x:v>117</x:v>
      </x:c>
      <x:c r="L272" s="2" t="s">
        <x:v>110</x:v>
      </x:c>
      <x:c r="M272" s="2"/>
      <x:c r="N272" s="2">
        <x:v>916.6</x:v>
      </x:c>
      <x:c r="O272" s="2"/>
      <x:c r="P272" s="2"/>
      <x:c r="Q272" s="2" t="s">
        <x:v>111</x:v>
      </x:c>
      <x:c r="R272" s="2">
        <x:v>916.6</x:v>
      </x:c>
      <x:c r="S272" s="2" t="s">
        <x:v>111</x:v>
      </x:c>
      <x:c r="T272" s="2">
        <x:v>18</x:v>
      </x:c>
      <x:c r="U272" s="2">
        <x:v>38</x:v>
      </x:c>
      <x:c r="V272" s="2"/>
      <x:c r="W272" s="2"/>
      <x:c r="X272" s="2" t="s">
        <x:v>239</x:v>
      </x:c>
      <x:c r="Y272" s="2" t="s">
        <x:v>113</x:v>
      </x:c>
      <x:c r="Z272" s="2" t="s">
        <x:v>114</x:v>
      </x:c>
      <x:c r="AA272" s="11" t="n">
        <x:f>IFERROR(VLOOKUP(E272,Harmonization_Rules!$A$2:$B$9,2,FALSE),"")</x:f>
        <x:v>112.414</x:v>
      </x:c>
      <x:c r="AB272" s="2" t="str">
        <x:f t="shared" si="28"/>
        <x:v>ECOTOX_STANDARDIZED_TARGET_METAL</x:v>
      </x:c>
      <x:c r="AC272" s="12">
        <x:f t="shared" si="29"/>
        <x:v>0.91659999999999997</x:v>
      </x:c>
      <x:c r="AD272" s="12">
        <x:f t="shared" si="30"/>
        <x:v>8.1537886740085757</x:v>
      </x:c>
      <x:c r="AE272" s="12">
        <x:f t="shared" si="31"/>
        <x:v>2.0984826872116407</x:v>
      </x:c>
      <x:c r="AF272" s="2" t="str">
        <x:f t="shared" si="32"/>
        <x:v>HARMONIZED</x:v>
      </x:c>
      <x:c r="AG272" s="2" t="str">
        <x:f>IF(E272="Cr","Cr(VI) chromate/dichromate rows are retained but molar conversion is held until source-specific compound-vs-ion basis is resolved.",IF(D272=2977,"OBrien 1988 reports total dissolved Cu LC320 values in 10^-6 M; the numeric Analysis_Point is therefore treated directly as umol Cu/L.",IF(AND(D272=6825,L272="Formulation"),"Nipper 1993 source check showed the reported concentrations are nominal Zn; formulation coding does not trigger compound-mass conversion.",IF(Y272="PRIMARY_RECOVERED","Source-recovered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2" s="2" t="str">
        <x:f t="shared" si="33"/>
        <x:v>CORE</x:v>
      </x:c>
      <x:c r="AI272" s="2" t="str">
        <x:f t="shared" si="34"/>
        <x:v>YES</x:v>
      </x:c>
    </x:row>
    <x:row r="273" ht="40.5">
      <x:c r="A273" s="2">
        <x:v>2093</x:v>
      </x:c>
      <x:c r="B273" s="2">
        <x:v>1070634</x:v>
      </x:c>
      <x:c r="C273" s="2">
        <x:v>15839</x:v>
      </x:c>
      <x:c r="D273" s="2">
        <x:v>5563</x:v>
      </x:c>
      <x:c r="E273" s="2" t="s">
        <x:v>16</x:v>
      </x:c>
      <x:c r="F273" s="2" t="s">
        <x:v>279</x:v>
      </x:c>
      <x:c r="G273" s="2" t="s">
        <x:v>199</x:v>
      </x:c>
      <x:c r="H273" s="2" t="s">
        <x:v>107</x:v>
      </x:c>
      <x:c r="I273" s="2" t="s">
        <x:v>159</x:v>
      </x:c>
      <x:c r="J273" s="2">
        <x:v>1</x:v>
      </x:c>
      <x:c r="K273" s="2" t="s">
        <x:v>117</x:v>
      </x:c>
      <x:c r="L273" s="2" t="s">
        <x:v>110</x:v>
      </x:c>
      <x:c r="M273" s="2"/>
      <x:c r="N273" s="2">
        <x:v>660</x:v>
      </x:c>
      <x:c r="O273" s="2">
        <x:v>470</x:v>
      </x:c>
      <x:c r="P273" s="2">
        <x:v>970</x:v>
      </x:c>
      <x:c r="Q273" s="2" t="s">
        <x:v>111</x:v>
      </x:c>
      <x:c r="R273" s="2">
        <x:v>660</x:v>
      </x:c>
      <x:c r="S273" s="2" t="s">
        <x:v>111</x:v>
      </x:c>
      <x:c r="T273" s="2">
        <x:v>17</x:v>
      </x:c>
      <x:c r="U273" s="2"/>
      <x:c r="V273" s="2"/>
      <x:c r="W273" s="2"/>
      <x:c r="X273" s="2" t="s">
        <x:v>200</x:v>
      </x:c>
      <x:c r="Y273" s="2" t="s">
        <x:v>113</x:v>
      </x:c>
      <x:c r="Z273" s="2" t="s">
        <x:v>114</x:v>
      </x:c>
      <x:c r="AA273" s="11" t="n">
        <x:f>IFERROR(VLOOKUP(E273,Harmonization_Rules!$A$2:$B$9,2,FALSE),"")</x:f>
        <x:v>112.414</x:v>
      </x:c>
      <x:c r="AB273" s="2" t="str">
        <x:f t="shared" si="28"/>
        <x:v>ECOTOX_STANDARDIZED_TARGET_METAL</x:v>
      </x:c>
      <x:c r="AC273" s="12">
        <x:f t="shared" si="29"/>
        <x:v>0.66</x:v>
      </x:c>
      <x:c r="AD273" s="12">
        <x:f t="shared" si="30"/>
        <x:v>5.871154838365328</x:v>
      </x:c>
      <x:c r="AE273" s="12">
        <x:f t="shared" si="31"/>
        <x:v>1.770051350157088</x:v>
      </x:c>
      <x:c r="AF273" s="2" t="str">
        <x:f t="shared" si="32"/>
        <x:v>HARMONIZED</x:v>
      </x:c>
      <x:c r="AG273" s="2" t="str">
        <x:f>IF(E273="Cr","Cr(VI) chromate/dichromate rows are retained but molar conversion is held until source-specific compound-vs-ion basis is resolved.",IF(D273=2977,"OBrien 1988 reports total dissolved Cu LC321 values in 10^-6 M; the numeric Analysis_Point is therefore treated directly as umol Cu/L.",IF(AND(D273=6825,L273="Formulation"),"Nipper 1993 source check showed the reported concentrations are nominal Zn; formulation coding does not trigger compound-mass conversion.",IF(Y273="PRIMARY_RECOVERED","Source-recovered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3" s="2" t="str">
        <x:f t="shared" si="33"/>
        <x:v>CORE</x:v>
      </x:c>
      <x:c r="AI273" s="2" t="str">
        <x:f t="shared" si="34"/>
        <x:v>YES</x:v>
      </x:c>
    </x:row>
    <x:row r="274" ht="40.5">
      <x:c r="A274" s="2">
        <x:v>2128</x:v>
      </x:c>
      <x:c r="B274" s="2">
        <x:v>1129768</x:v>
      </x:c>
      <x:c r="C274" s="2">
        <x:v>85199</x:v>
      </x:c>
      <x:c r="D274" s="2">
        <x:v>10443</x:v>
      </x:c>
      <x:c r="E274" s="2" t="s">
        <x:v>16</x:v>
      </x:c>
      <x:c r="F274" s="2" t="s">
        <x:v>279</x:v>
      </x:c>
      <x:c r="G274" s="2" t="s">
        <x:v>150</x:v>
      </x:c>
      <x:c r="H274" s="2" t="s">
        <x:v>135</x:v>
      </x:c>
      <x:c r="I274" s="2" t="s">
        <x:v>125</x:v>
      </x:c>
      <x:c r="J274" s="2">
        <x:v>4</x:v>
      </x:c>
      <x:c r="K274" s="2" t="s">
        <x:v>117</x:v>
      </x:c>
      <x:c r="L274" s="2" t="s">
        <x:v>110</x:v>
      </x:c>
      <x:c r="M274" s="2"/>
      <x:c r="N274" s="2">
        <x:v>60</x:v>
      </x:c>
      <x:c r="O274" s="2">
        <x:v>1</x:v>
      </x:c>
      <x:c r="P274" s="2">
        <x:v>200</x:v>
      </x:c>
      <x:c r="Q274" s="2" t="s">
        <x:v>111</x:v>
      </x:c>
      <x:c r="R274" s="2">
        <x:v>60</x:v>
      </x:c>
      <x:c r="S274" s="2" t="s">
        <x:v>111</x:v>
      </x:c>
      <x:c r="T274" s="2">
        <x:v>22</x:v>
      </x:c>
      <x:c r="U274" s="2">
        <x:v>10</x:v>
      </x:c>
      <x:c r="V274" s="2"/>
      <x:c r="W274" s="2"/>
      <x:c r="X274" s="2" t="s">
        <x:v>284</x:v>
      </x:c>
      <x:c r="Y274" s="2" t="s">
        <x:v>113</x:v>
      </x:c>
      <x:c r="Z274" s="2" t="s">
        <x:v>114</x:v>
      </x:c>
      <x:c r="AA274" s="11" t="n">
        <x:f>IFERROR(VLOOKUP(E274,Harmonization_Rules!$A$2:$B$9,2,FALSE),"")</x:f>
        <x:v>112.414</x:v>
      </x:c>
      <x:c r="AB274" s="2" t="str">
        <x:f t="shared" si="28"/>
        <x:v>ECOTOX_STANDARDIZED_TARGET_METAL</x:v>
      </x:c>
      <x:c r="AC274" s="12">
        <x:f t="shared" si="29"/>
        <x:v>0.06</x:v>
      </x:c>
      <x:c r="AD274" s="12">
        <x:f t="shared" si="30"/>
        <x:v>0.53374134894230252</x:v>
      </x:c>
      <x:c r="AE274" s="12">
        <x:f t="shared" si="31"/>
        <x:v>-0.62784392264128253</x:v>
      </x:c>
      <x:c r="AF274" s="2" t="str">
        <x:f t="shared" si="32"/>
        <x:v>HARMONIZED</x:v>
      </x:c>
      <x:c r="AG274" s="2" t="str">
        <x:f>IF(E274="Cr","Cr(VI) chromate/dichromate rows are retained but molar conversion is held until source-specific compound-vs-ion basis is resolved.",IF(D274=2977,"OBrien 1988 reports total dissolved Cu LC322 values in 10^-6 M; the numeric Analysis_Point is therefore treated directly as umol Cu/L.",IF(AND(D274=6825,L274="Formulation"),"Nipper 1993 source check showed the reported concentrations are nominal Zn; formulation coding does not trigger compound-mass conversion.",IF(Y274="PRIMARY_RECOVERED","Source-recovered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4" s="2" t="str">
        <x:f t="shared" si="33"/>
        <x:v>CORE</x:v>
      </x:c>
      <x:c r="AI274" s="2" t="str">
        <x:f t="shared" si="34"/>
        <x:v>YES</x:v>
      </x:c>
    </x:row>
    <x:row r="275" ht="40.5">
      <x:c r="A275" s="2">
        <x:v>2132</x:v>
      </x:c>
      <x:c r="B275" s="2">
        <x:v>1116278</x:v>
      </x:c>
      <x:c r="C275" s="2">
        <x:v>107520</x:v>
      </x:c>
      <x:c r="D275" s="2">
        <x:v>9029</x:v>
      </x:c>
      <x:c r="E275" s="2" t="s">
        <x:v>16</x:v>
      </x:c>
      <x:c r="F275" s="2" t="s">
        <x:v>279</x:v>
      </x:c>
      <x:c r="G275" s="2" t="s">
        <x:v>134</x:v>
      </x:c>
      <x:c r="H275" s="2" t="s">
        <x:v>135</x:v>
      </x:c>
      <x:c r="I275" s="2" t="s">
        <x:v>108</x:v>
      </x:c>
      <x:c r="J275" s="2">
        <x:v>4</x:v>
      </x:c>
      <x:c r="K275" s="2" t="s">
        <x:v>117</x:v>
      </x:c>
      <x:c r="L275" s="2" t="s">
        <x:v>110</x:v>
      </x:c>
      <x:c r="M275" s="2"/>
      <x:c r="N275" s="2">
        <x:v>151</x:v>
      </x:c>
      <x:c r="O275" s="2">
        <x:v>120</x:v>
      </x:c>
      <x:c r="P275" s="2">
        <x:v>191</x:v>
      </x:c>
      <x:c r="Q275" s="2" t="s">
        <x:v>111</x:v>
      </x:c>
      <x:c r="R275" s="2">
        <x:v>151</x:v>
      </x:c>
      <x:c r="S275" s="2" t="s">
        <x:v>111</x:v>
      </x:c>
      <x:c r="T275" s="2">
        <x:v>13</x:v>
      </x:c>
      <x:c r="U275" s="2">
        <x:v>20</x:v>
      </x:c>
      <x:c r="V275" s="2"/>
      <x:c r="W275" s="2"/>
      <x:c r="X275" s="2" t="s">
        <x:v>285</x:v>
      </x:c>
      <x:c r="Y275" s="2" t="s">
        <x:v>113</x:v>
      </x:c>
      <x:c r="Z275" s="2" t="s">
        <x:v>114</x:v>
      </x:c>
      <x:c r="AA275" s="11" t="n">
        <x:f>IFERROR(VLOOKUP(E275,Harmonization_Rules!$A$2:$B$9,2,FALSE),"")</x:f>
        <x:v>112.414</x:v>
      </x:c>
      <x:c r="AB275" s="2" t="str">
        <x:f t="shared" si="28"/>
        <x:v>ECOTOX_STANDARDIZED_TARGET_METAL</x:v>
      </x:c>
      <x:c r="AC275" s="12">
        <x:f t="shared" si="29"/>
        <x:v>0.151</x:v>
      </x:c>
      <x:c r="AD275" s="12">
        <x:f t="shared" si="30"/>
        <x:v>1.3432490615047947</x:v>
      </x:c>
      <x:c r="AE275" s="12">
        <x:f t="shared" si="31"/>
        <x:v>0.29509135195154113</x:v>
      </x:c>
      <x:c r="AF275" s="2" t="str">
        <x:f t="shared" si="32"/>
        <x:v>HARMONIZED</x:v>
      </x:c>
      <x:c r="AG275" s="2" t="str">
        <x:f>IF(E275="Cr","Cr(VI) chromate/dichromate rows are retained but molar conversion is held until source-specific compound-vs-ion basis is resolved.",IF(D275=2977,"OBrien 1988 reports total dissolved Cu LC323 values in 10^-6 M; the numeric Analysis_Point is therefore treated directly as umol Cu/L.",IF(AND(D275=6825,L275="Formulation"),"Nipper 1993 source check showed the reported concentrations are nominal Zn; formulation coding does not trigger compound-mass conversion.",IF(Y275="PRIMARY_RECOVERED","Source-recovered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5" s="2" t="str">
        <x:f t="shared" si="33"/>
        <x:v>CORE</x:v>
      </x:c>
      <x:c r="AI275" s="2" t="str">
        <x:f t="shared" si="34"/>
        <x:v>YES</x:v>
      </x:c>
    </x:row>
    <x:row r="276" ht="40.5">
      <x:c r="A276" s="2">
        <x:v>2137</x:v>
      </x:c>
      <x:c r="B276" s="2">
        <x:v>1129769</x:v>
      </x:c>
      <x:c r="C276" s="2">
        <x:v>85200</x:v>
      </x:c>
      <x:c r="D276" s="2">
        <x:v>10443</x:v>
      </x:c>
      <x:c r="E276" s="2" t="s">
        <x:v>16</x:v>
      </x:c>
      <x:c r="F276" s="2" t="s">
        <x:v>279</x:v>
      </x:c>
      <x:c r="G276" s="2" t="s">
        <x:v>134</x:v>
      </x:c>
      <x:c r="H276" s="2" t="s">
        <x:v>135</x:v>
      </x:c>
      <x:c r="I276" s="2" t="s">
        <x:v>125</x:v>
      </x:c>
      <x:c r="J276" s="2">
        <x:v>4</x:v>
      </x:c>
      <x:c r="K276" s="2" t="s">
        <x:v>117</x:v>
      </x:c>
      <x:c r="L276" s="2" t="s">
        <x:v>110</x:v>
      </x:c>
      <x:c r="M276" s="2"/>
      <x:c r="N276" s="2">
        <x:v>380</x:v>
      </x:c>
      <x:c r="O276" s="2">
        <x:v>6</x:v>
      </x:c>
      <x:c r="P276" s="2">
        <x:v>1520</x:v>
      </x:c>
      <x:c r="Q276" s="2" t="s">
        <x:v>111</x:v>
      </x:c>
      <x:c r="R276" s="2">
        <x:v>380</x:v>
      </x:c>
      <x:c r="S276" s="2" t="s">
        <x:v>111</x:v>
      </x:c>
      <x:c r="T276" s="2">
        <x:v>22</x:v>
      </x:c>
      <x:c r="U276" s="2">
        <x:v>10</x:v>
      </x:c>
      <x:c r="V276" s="2"/>
      <x:c r="W276" s="2"/>
      <x:c r="X276" s="2" t="s">
        <x:v>284</x:v>
      </x:c>
      <x:c r="Y276" s="2" t="s">
        <x:v>113</x:v>
      </x:c>
      <x:c r="Z276" s="2" t="s">
        <x:v>114</x:v>
      </x:c>
      <x:c r="AA276" s="11" t="n">
        <x:f>IFERROR(VLOOKUP(E276,Harmonization_Rules!$A$2:$B$9,2,FALSE),"")</x:f>
        <x:v>112.414</x:v>
      </x:c>
      <x:c r="AB276" s="2" t="str">
        <x:f t="shared" si="28"/>
        <x:v>ECOTOX_STANDARDIZED_TARGET_METAL</x:v>
      </x:c>
      <x:c r="AC276" s="12">
        <x:f t="shared" si="29"/>
        <x:v>0.38</x:v>
      </x:c>
      <x:c r="AD276" s="12">
        <x:f t="shared" si="30"/>
        <x:v>3.3803618766345829</x:v>
      </x:c>
      <x:c r="AE276" s="12">
        <x:f t="shared" si="31"/>
        <x:v>1.2179827678570483</x:v>
      </x:c>
      <x:c r="AF276" s="2" t="str">
        <x:f t="shared" si="32"/>
        <x:v>HARMONIZED</x:v>
      </x:c>
      <x:c r="AG276" s="2" t="str">
        <x:f>IF(E276="Cr","Cr(VI) chromate/dichromate rows are retained but molar conversion is held until source-specific compound-vs-ion basis is resolved.",IF(D276=2977,"OBrien 1988 reports total dissolved Cu LC324 values in 10^-6 M; the numeric Analysis_Point is therefore treated directly as umol Cu/L.",IF(AND(D276=6825,L276="Formulation"),"Nipper 1993 source check showed the reported concentrations are nominal Zn; formulation coding does not trigger compound-mass conversion.",IF(Y276="PRIMARY_RECOVERED","Source-recovered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6" s="2" t="str">
        <x:f t="shared" si="33"/>
        <x:v>CORE</x:v>
      </x:c>
      <x:c r="AI276" s="2" t="str">
        <x:f t="shared" si="34"/>
        <x:v>YES</x:v>
      </x:c>
    </x:row>
    <x:row r="277" ht="40.5">
      <x:c r="A277" s="2">
        <x:v>2144</x:v>
      </x:c>
      <x:c r="B277" s="2">
        <x:v>1159839</x:v>
      </x:c>
      <x:c r="C277" s="2">
        <x:v>142848</x:v>
      </x:c>
      <x:c r="D277" s="2">
        <x:v>14137</x:v>
      </x:c>
      <x:c r="E277" s="2" t="s">
        <x:v>16</x:v>
      </x:c>
      <x:c r="F277" s="2" t="s">
        <x:v>279</x:v>
      </x:c>
      <x:c r="G277" s="2" t="s">
        <x:v>132</x:v>
      </x:c>
      <x:c r="H277" s="2" t="s">
        <x:v>107</x:v>
      </x:c>
      <x:c r="I277" s="2" t="s">
        <x:v>108</x:v>
      </x:c>
      <x:c r="J277" s="2">
        <x:v>4</x:v>
      </x:c>
      <x:c r="K277" s="2" t="s">
        <x:v>126</x:v>
      </x:c>
      <x:c r="L277" s="2" t="s">
        <x:v>110</x:v>
      </x:c>
      <x:c r="M277" s="2"/>
      <x:c r="N277" s="2">
        <x:v>340</x:v>
      </x:c>
      <x:c r="O277" s="2"/>
      <x:c r="P277" s="2"/>
      <x:c r="Q277" s="2" t="s">
        <x:v>111</x:v>
      </x:c>
      <x:c r="R277" s="2">
        <x:v>340</x:v>
      </x:c>
      <x:c r="S277" s="2" t="s">
        <x:v>111</x:v>
      </x:c>
      <x:c r="T277" s="2"/>
      <x:c r="U277" s="2"/>
      <x:c r="V277" s="2"/>
      <x:c r="W277" s="2"/>
      <x:c r="X277" s="2" t="s">
        <x:v>133</x:v>
      </x:c>
      <x:c r="Y277" s="2" t="s">
        <x:v>113</x:v>
      </x:c>
      <x:c r="Z277" s="2" t="s">
        <x:v>114</x:v>
      </x:c>
      <x:c r="AA277" s="11" t="n">
        <x:f>IFERROR(VLOOKUP(E277,Harmonization_Rules!$A$2:$B$9,2,FALSE),"")</x:f>
        <x:v>112.414</x:v>
      </x:c>
      <x:c r="AB277" s="2" t="str">
        <x:f t="shared" si="28"/>
        <x:v>ECOTOX_STANDARDIZED_TARGET_METAL</x:v>
      </x:c>
      <x:c r="AC277" s="12">
        <x:f t="shared" si="29"/>
        <x:v>0.34</x:v>
      </x:c>
      <x:c r="AD277" s="12">
        <x:f t="shared" si="30"/>
        <x:v>3.0245343106730478</x:v>
      </x:c>
      <x:c r="AE277" s="12">
        <x:f t="shared" si="31"/>
        <x:v>1.106757132746824</x:v>
      </x:c>
      <x:c r="AF277" s="2" t="str">
        <x:f t="shared" si="32"/>
        <x:v>HARMONIZED</x:v>
      </x:c>
      <x:c r="AG277" s="2" t="str">
        <x:f>IF(E277="Cr","Cr(VI) chromate/dichromate rows are retained but molar conversion is held until source-specific compound-vs-ion basis is resolved.",IF(D277=2977,"OBrien 1988 reports total dissolved Cu LC325 values in 10^-6 M; the numeric Analysis_Point is therefore treated directly as umol Cu/L.",IF(AND(D277=6825,L277="Formulation"),"Nipper 1993 source check showed the reported concentrations are nominal Zn; formulation coding does not trigger compound-mass conversion.",IF(Y277="PRIMARY_RECOVERED","Source-recovered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7" s="2" t="str">
        <x:f t="shared" si="33"/>
        <x:v>CORE</x:v>
      </x:c>
      <x:c r="AI277" s="2" t="str">
        <x:f t="shared" si="34"/>
        <x:v>YES</x:v>
      </x:c>
    </x:row>
    <x:row r="278" ht="40.5">
      <x:c r="A278" s="2">
        <x:v>2154</x:v>
      </x:c>
      <x:c r="B278" s="2">
        <x:v>1159838</x:v>
      </x:c>
      <x:c r="C278" s="2">
        <x:v>142847</x:v>
      </x:c>
      <x:c r="D278" s="2">
        <x:v>14137</x:v>
      </x:c>
      <x:c r="E278" s="2" t="s">
        <x:v>16</x:v>
      </x:c>
      <x:c r="F278" s="2" t="s">
        <x:v>279</x:v>
      </x:c>
      <x:c r="G278" s="2" t="s">
        <x:v>132</x:v>
      </x:c>
      <x:c r="H278" s="2" t="s">
        <x:v>107</x:v>
      </x:c>
      <x:c r="I278" s="2" t="s">
        <x:v>125</x:v>
      </x:c>
      <x:c r="J278" s="2">
        <x:v>4</x:v>
      </x:c>
      <x:c r="K278" s="2" t="s">
        <x:v>126</x:v>
      </x:c>
      <x:c r="L278" s="2" t="s">
        <x:v>110</x:v>
      </x:c>
      <x:c r="M278" s="2"/>
      <x:c r="N278" s="2">
        <x:v>460</x:v>
      </x:c>
      <x:c r="O278" s="2"/>
      <x:c r="P278" s="2"/>
      <x:c r="Q278" s="2" t="s">
        <x:v>111</x:v>
      </x:c>
      <x:c r="R278" s="2">
        <x:v>460</x:v>
      </x:c>
      <x:c r="S278" s="2" t="s">
        <x:v>111</x:v>
      </x:c>
      <x:c r="T278" s="2"/>
      <x:c r="U278" s="2"/>
      <x:c r="V278" s="2"/>
      <x:c r="W278" s="2"/>
      <x:c r="X278" s="2" t="s">
        <x:v>133</x:v>
      </x:c>
      <x:c r="Y278" s="2" t="s">
        <x:v>113</x:v>
      </x:c>
      <x:c r="Z278" s="2" t="s">
        <x:v>114</x:v>
      </x:c>
      <x:c r="AA278" s="11" t="n">
        <x:f>IFERROR(VLOOKUP(E278,Harmonization_Rules!$A$2:$B$9,2,FALSE),"")</x:f>
        <x:v>112.414</x:v>
      </x:c>
      <x:c r="AB278" s="2" t="str">
        <x:f t="shared" si="28"/>
        <x:v>ECOTOX_STANDARDIZED_TARGET_METAL</x:v>
      </x:c>
      <x:c r="AC278" s="12">
        <x:f t="shared" si="29"/>
        <x:v>0.46</x:v>
      </x:c>
      <x:c r="AD278" s="12">
        <x:f t="shared" si="30"/>
        <x:v>4.0920170085576526</x:v>
      </x:c>
      <x:c r="AE278" s="12">
        <x:f t="shared" si="31"/>
        <x:v>1.4090380046197575</x:v>
      </x:c>
      <x:c r="AF278" s="2" t="str">
        <x:f t="shared" si="32"/>
        <x:v>HARMONIZED</x:v>
      </x:c>
      <x:c r="AG278" s="2" t="str">
        <x:f>IF(E278="Cr","Cr(VI) chromate/dichromate rows are retained but molar conversion is held until source-specific compound-vs-ion basis is resolved.",IF(D278=2977,"OBrien 1988 reports total dissolved Cu LC326 values in 10^-6 M; the numeric Analysis_Point is therefore treated directly as umol Cu/L.",IF(AND(D278=6825,L278="Formulation"),"Nipper 1993 source check showed the reported concentrations are nominal Zn; formulation coding does not trigger compound-mass conversion.",IF(Y278="PRIMARY_RECOVERED","Source-recovered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8" s="2" t="str">
        <x:f t="shared" si="33"/>
        <x:v>CORE</x:v>
      </x:c>
      <x:c r="AI278" s="2" t="str">
        <x:f t="shared" si="34"/>
        <x:v>YES</x:v>
      </x:c>
    </x:row>
    <x:row r="279" ht="67.5">
      <x:c r="A279" s="2">
        <x:v>2155</x:v>
      </x:c>
      <x:c r="B279" s="2">
        <x:v>1210147</x:v>
      </x:c>
      <x:c r="C279" s="2">
        <x:v>186387</x:v>
      </x:c>
      <x:c r="D279" s="2">
        <x:v>19281</x:v>
      </x:c>
      <x:c r="E279" s="2" t="s">
        <x:v>16</x:v>
      </x:c>
      <x:c r="F279" s="2" t="s">
        <x:v>279</x:v>
      </x:c>
      <x:c r="G279" s="2" t="s">
        <x:v>226</x:v>
      </x:c>
      <x:c r="H279" s="2" t="s">
        <x:v>107</x:v>
      </x:c>
      <x:c r="I279" s="2"/>
      <x:c r="J279" s="2">
        <x:v>4</x:v>
      </x:c>
      <x:c r="K279" s="2" t="s">
        <x:v>117</x:v>
      </x:c>
      <x:c r="L279" s="2" t="s">
        <x:v>110</x:v>
      </x:c>
      <x:c r="M279" s="2"/>
      <x:c r="N279" s="2">
        <x:v>47.9</x:v>
      </x:c>
      <x:c r="O279" s="2">
        <x:v>45.8</x:v>
      </x:c>
      <x:c r="P279" s="2">
        <x:v>50</x:v>
      </x:c>
      <x:c r="Q279" s="2" t="s">
        <x:v>111</x:v>
      </x:c>
      <x:c r="R279" s="2">
        <x:v>47.9</x:v>
      </x:c>
      <x:c r="S279" s="2" t="s">
        <x:v>111</x:v>
      </x:c>
      <x:c r="T279" s="2">
        <x:v>20</x:v>
      </x:c>
      <x:c r="U279" s="2"/>
      <x:c r="V279" s="2"/>
      <x:c r="W279" s="2"/>
      <x:c r="X279" s="2" t="s">
        <x:v>286</x:v>
      </x:c>
      <x:c r="Y279" s="2" t="s">
        <x:v>113</x:v>
      </x:c>
      <x:c r="Z279" s="2" t="s">
        <x:v>114</x:v>
      </x:c>
      <x:c r="AA279" s="11" t="n">
        <x:f>IFERROR(VLOOKUP(E279,Harmonization_Rules!$A$2:$B$9,2,FALSE),"")</x:f>
        <x:v>112.414</x:v>
      </x:c>
      <x:c r="AB279" s="2" t="str">
        <x:f t="shared" si="28"/>
        <x:v>ECOTOX_STANDARDIZED_TARGET_METAL</x:v>
      </x:c>
      <x:c r="AC279" s="12">
        <x:f t="shared" si="29"/>
        <x:v>4.7899999999999998E-2</x:v>
      </x:c>
      <x:c r="AD279" s="12">
        <x:f t="shared" si="30"/>
        <x:v>0.42610351023893817</x:v>
      </x:c>
      <x:c r="AE279" s="12">
        <x:f t="shared" si="31"/>
        <x:v>-0.8530729804465137</x:v>
      </x:c>
      <x:c r="AF279" s="2" t="str">
        <x:f t="shared" si="32"/>
        <x:v>HARMONIZED</x:v>
      </x:c>
      <x:c r="AG279" s="2" t="str">
        <x:f>IF(E279="Cr","Cr(VI) chromate/dichromate rows are retained but molar conversion is held until source-specific compound-vs-ion basis is resolved.",IF(D279=2977,"OBrien 1988 reports total dissolved Cu LC327 values in 10^-6 M; the numeric Analysis_Point is therefore treated directly as umol Cu/L.",IF(AND(D279=6825,L279="Formulation"),"Nipper 1993 source check showed the reported concentrations are nominal Zn; formulation coding does not trigger compound-mass conversion.",IF(Y279="PRIMARY_RECOVERED","Source-recovered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79" s="2" t="str">
        <x:f t="shared" si="33"/>
        <x:v>CORE</x:v>
      </x:c>
      <x:c r="AI279" s="2" t="str">
        <x:f t="shared" si="34"/>
        <x:v>YES</x:v>
      </x:c>
    </x:row>
    <x:row r="280" ht="67.5">
      <x:c r="A280" s="2">
        <x:v>2158</x:v>
      </x:c>
      <x:c r="B280" s="2">
        <x:v>1210145</x:v>
      </x:c>
      <x:c r="C280" s="2">
        <x:v>186385</x:v>
      </x:c>
      <x:c r="D280" s="2">
        <x:v>19281</x:v>
      </x:c>
      <x:c r="E280" s="2" t="s">
        <x:v>16</x:v>
      </x:c>
      <x:c r="F280" s="2" t="s">
        <x:v>279</x:v>
      </x:c>
      <x:c r="G280" s="2" t="s">
        <x:v>226</x:v>
      </x:c>
      <x:c r="H280" s="2" t="s">
        <x:v>107</x:v>
      </x:c>
      <x:c r="I280" s="2" t="s">
        <x:v>125</x:v>
      </x:c>
      <x:c r="J280" s="2">
        <x:v>4</x:v>
      </x:c>
      <x:c r="K280" s="2" t="s">
        <x:v>117</x:v>
      </x:c>
      <x:c r="L280" s="2" t="s">
        <x:v>110</x:v>
      </x:c>
      <x:c r="M280" s="2"/>
      <x:c r="N280" s="2">
        <x:v>17.399999999999999</x:v>
      </x:c>
      <x:c r="O280" s="2">
        <x:v>15.4</x:v>
      </x:c>
      <x:c r="P280" s="2">
        <x:v>19.399999999999999</x:v>
      </x:c>
      <x:c r="Q280" s="2" t="s">
        <x:v>111</x:v>
      </x:c>
      <x:c r="R280" s="2">
        <x:v>17.399999999999999</x:v>
      </x:c>
      <x:c r="S280" s="2" t="s">
        <x:v>111</x:v>
      </x:c>
      <x:c r="T280" s="2">
        <x:v>20</x:v>
      </x:c>
      <x:c r="U280" s="2"/>
      <x:c r="V280" s="2"/>
      <x:c r="W280" s="2"/>
      <x:c r="X280" s="2" t="s">
        <x:v>286</x:v>
      </x:c>
      <x:c r="Y280" s="2" t="s">
        <x:v>113</x:v>
      </x:c>
      <x:c r="Z280" s="2" t="s">
        <x:v>114</x:v>
      </x:c>
      <x:c r="AA280" s="11" t="n">
        <x:f>IFERROR(VLOOKUP(E280,Harmonization_Rules!$A$2:$B$9,2,FALSE),"")</x:f>
        <x:v>112.414</x:v>
      </x:c>
      <x:c r="AB280" s="2" t="str">
        <x:f t="shared" si="28"/>
        <x:v>ECOTOX_STANDARDIZED_TARGET_METAL</x:v>
      </x:c>
      <x:c r="AC280" s="12">
        <x:f t="shared" si="29"/>
        <x:v>1.7399999999999999E-2</x:v>
      </x:c>
      <x:c r="AD280" s="12">
        <x:f t="shared" si="30"/>
        <x:v>0.15478499119326772</x:v>
      </x:c>
      <x:c r="AE280" s="12">
        <x:f t="shared" si="31"/>
        <x:v>-1.8657182786428999</x:v>
      </x:c>
      <x:c r="AF280" s="2" t="str">
        <x:f t="shared" si="32"/>
        <x:v>HARMONIZED</x:v>
      </x:c>
      <x:c r="AG280" s="2" t="str">
        <x:f>IF(E280="Cr","Cr(VI) chromate/dichromate rows are retained but molar conversion is held until source-specific compound-vs-ion basis is resolved.",IF(D280=2977,"OBrien 1988 reports total dissolved Cu LC328 values in 10^-6 M; the numeric Analysis_Point is therefore treated directly as umol Cu/L.",IF(AND(D280=6825,L280="Formulation"),"Nipper 1993 source check showed the reported concentrations are nominal Zn; formulation coding does not trigger compound-mass conversion.",IF(Y280="PRIMARY_RECOVERED","Source-recovered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0" s="2" t="str">
        <x:f t="shared" si="33"/>
        <x:v>CORE</x:v>
      </x:c>
      <x:c r="AI280" s="2" t="str">
        <x:f t="shared" si="34"/>
        <x:v>YES</x:v>
      </x:c>
    </x:row>
    <x:row r="281" ht="40.5">
      <x:c r="A281" s="2">
        <x:v>2160</x:v>
      </x:c>
      <x:c r="B281" s="2">
        <x:v>1116277</x:v>
      </x:c>
      <x:c r="C281" s="2">
        <x:v>107519</x:v>
      </x:c>
      <x:c r="D281" s="2">
        <x:v>9029</x:v>
      </x:c>
      <x:c r="E281" s="2" t="s">
        <x:v>16</x:v>
      </x:c>
      <x:c r="F281" s="2" t="s">
        <x:v>279</x:v>
      </x:c>
      <x:c r="G281" s="2" t="s">
        <x:v>134</x:v>
      </x:c>
      <x:c r="H281" s="2" t="s">
        <x:v>135</x:v>
      </x:c>
      <x:c r="I281" s="2" t="s">
        <x:v>108</x:v>
      </x:c>
      <x:c r="J281" s="2">
        <x:v>4</x:v>
      </x:c>
      <x:c r="K281" s="2" t="s">
        <x:v>117</x:v>
      </x:c>
      <x:c r="L281" s="2" t="s">
        <x:v>110</x:v>
      </x:c>
      <x:c r="M281" s="2"/>
      <x:c r="N281" s="2">
        <x:v>29</x:v>
      </x:c>
      <x:c r="O281" s="2">
        <x:v>23</x:v>
      </x:c>
      <x:c r="P281" s="2">
        <x:v>37</x:v>
      </x:c>
      <x:c r="Q281" s="2" t="s">
        <x:v>111</x:v>
      </x:c>
      <x:c r="R281" s="2">
        <x:v>29</x:v>
      </x:c>
      <x:c r="S281" s="2" t="s">
        <x:v>111</x:v>
      </x:c>
      <x:c r="T281" s="2">
        <x:v>21</x:v>
      </x:c>
      <x:c r="U281" s="2">
        <x:v>20</x:v>
      </x:c>
      <x:c r="V281" s="2"/>
      <x:c r="W281" s="2"/>
      <x:c r="X281" s="2" t="s">
        <x:v>285</x:v>
      </x:c>
      <x:c r="Y281" s="2" t="s">
        <x:v>113</x:v>
      </x:c>
      <x:c r="Z281" s="2" t="s">
        <x:v>114</x:v>
      </x:c>
      <x:c r="AA281" s="11" t="n">
        <x:f>IFERROR(VLOOKUP(E281,Harmonization_Rules!$A$2:$B$9,2,FALSE),"")</x:f>
        <x:v>112.414</x:v>
      </x:c>
      <x:c r="AB281" s="2" t="str">
        <x:f t="shared" si="28"/>
        <x:v>ECOTOX_STANDARDIZED_TARGET_METAL</x:v>
      </x:c>
      <x:c r="AC281" s="12">
        <x:f t="shared" si="29"/>
        <x:v>2.9000000000000001E-2</x:v>
      </x:c>
      <x:c r="AD281" s="12">
        <x:f t="shared" si="30"/>
        <x:v>0.25797498532211288</x:v>
      </x:c>
      <x:c r="AE281" s="12">
        <x:f t="shared" si="31"/>
        <x:v>-1.3548926548769091</x:v>
      </x:c>
      <x:c r="AF281" s="2" t="str">
        <x:f t="shared" si="32"/>
        <x:v>HARMONIZED</x:v>
      </x:c>
      <x:c r="AG281" s="2" t="str">
        <x:f>IF(E281="Cr","Cr(VI) chromate/dichromate rows are retained but molar conversion is held until source-specific compound-vs-ion basis is resolved.",IF(D281=2977,"OBrien 1988 reports total dissolved Cu LC329 values in 10^-6 M; the numeric Analysis_Point is therefore treated directly as umol Cu/L.",IF(AND(D281=6825,L281="Formulation"),"Nipper 1993 source check showed the reported concentrations are nominal Zn; formulation coding does not trigger compound-mass conversion.",IF(Y281="PRIMARY_RECOVERED","Source-recovered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1" s="2" t="str">
        <x:f t="shared" si="33"/>
        <x:v>CORE</x:v>
      </x:c>
      <x:c r="AI281" s="2" t="str">
        <x:f t="shared" si="34"/>
        <x:v>YES</x:v>
      </x:c>
    </x:row>
    <x:row r="282" ht="40.5">
      <x:c r="A282" s="2">
        <x:v>2168</x:v>
      </x:c>
      <x:c r="B282" s="2">
        <x:v>1165805</x:v>
      </x:c>
      <x:c r="C282" s="2">
        <x:v>189246</x:v>
      </x:c>
      <x:c r="D282" s="2">
        <x:v>14601</x:v>
      </x:c>
      <x:c r="E282" s="2" t="s">
        <x:v>16</x:v>
      </x:c>
      <x:c r="F282" s="2" t="s">
        <x:v>279</x:v>
      </x:c>
      <x:c r="G282" s="2" t="s">
        <x:v>141</x:v>
      </x:c>
      <x:c r="H282" s="2" t="s">
        <x:v>135</x:v>
      </x:c>
      <x:c r="I282" s="2" t="s">
        <x:v>108</x:v>
      </x:c>
      <x:c r="J282" s="2">
        <x:v>3</x:v>
      </x:c>
      <x:c r="K282" s="2" t="s">
        <x:v>117</x:v>
      </x:c>
      <x:c r="L282" s="2" t="s">
        <x:v>110</x:v>
      </x:c>
      <x:c r="M282" s="2"/>
      <x:c r="N282" s="2">
        <x:v>409</x:v>
      </x:c>
      <x:c r="O282" s="2">
        <x:v>272</x:v>
      </x:c>
      <x:c r="P282" s="2">
        <x:v>544</x:v>
      </x:c>
      <x:c r="Q282" s="2" t="s">
        <x:v>111</x:v>
      </x:c>
      <x:c r="R282" s="2">
        <x:v>409</x:v>
      </x:c>
      <x:c r="S282" s="2" t="s">
        <x:v>111</x:v>
      </x:c>
      <x:c r="T282" s="2">
        <x:v>10</x:v>
      </x:c>
      <x:c r="U282" s="2">
        <x:v>30</x:v>
      </x:c>
      <x:c r="V282" s="2"/>
      <x:c r="W282" s="2"/>
      <x:c r="X282" s="2" t="s">
        <x:v>280</x:v>
      </x:c>
      <x:c r="Y282" s="2" t="s">
        <x:v>113</x:v>
      </x:c>
      <x:c r="Z282" s="2" t="s">
        <x:v>114</x:v>
      </x:c>
      <x:c r="AA282" s="11" t="n">
        <x:f>IFERROR(VLOOKUP(E282,Harmonization_Rules!$A$2:$B$9,2,FALSE),"")</x:f>
        <x:v>112.414</x:v>
      </x:c>
      <x:c r="AB282" s="2" t="str">
        <x:f t="shared" si="28"/>
        <x:v>ECOTOX_STANDARDIZED_TARGET_METAL</x:v>
      </x:c>
      <x:c r="AC282" s="12">
        <x:f t="shared" si="29"/>
        <x:v>0.40899999999999997</x:v>
      </x:c>
      <x:c r="AD282" s="12">
        <x:f t="shared" si="30"/>
        <x:v>3.6383368619566956</x:v>
      </x:c>
      <x:c r="AE282" s="12">
        <x:f t="shared" si="31"/>
        <x:v>1.2915266711794184</x:v>
      </x:c>
      <x:c r="AF282" s="2" t="str">
        <x:f t="shared" si="32"/>
        <x:v>HARMONIZED</x:v>
      </x:c>
      <x:c r="AG282" s="2" t="str">
        <x:f>IF(E282="Cr","Cr(VI) chromate/dichromate rows are retained but molar conversion is held until source-specific compound-vs-ion basis is resolved.",IF(D282=2977,"OBrien 1988 reports total dissolved Cu LC330 values in 10^-6 M; the numeric Analysis_Point is therefore treated directly as umol Cu/L.",IF(AND(D282=6825,L282="Formulation"),"Nipper 1993 source check showed the reported concentrations are nominal Zn; formulation coding does not trigger compound-mass conversion.",IF(Y282="PRIMARY_RECOVERED","Source-recovered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2" s="2" t="str">
        <x:f t="shared" si="33"/>
        <x:v>CORE</x:v>
      </x:c>
      <x:c r="AI282" s="2" t="str">
        <x:f t="shared" si="34"/>
        <x:v>YES</x:v>
      </x:c>
    </x:row>
    <x:row r="283" ht="40.5">
      <x:c r="A283" s="2">
        <x:v>2176</x:v>
      </x:c>
      <x:c r="B283" s="2">
        <x:v>1191628</x:v>
      </x:c>
      <x:c r="C283" s="2">
        <x:v>166350</x:v>
      </x:c>
      <x:c r="D283" s="2">
        <x:v>17219</x:v>
      </x:c>
      <x:c r="E283" s="2" t="s">
        <x:v>16</x:v>
      </x:c>
      <x:c r="F283" s="2" t="s">
        <x:v>279</x:v>
      </x:c>
      <x:c r="G283" s="2" t="s">
        <x:v>150</x:v>
      </x:c>
      <x:c r="H283" s="2" t="s">
        <x:v>135</x:v>
      </x:c>
      <x:c r="I283" s="2" t="s">
        <x:v>209</x:v>
      </x:c>
      <x:c r="J283" s="2">
        <x:v>4</x:v>
      </x:c>
      <x:c r="K283" s="2" t="s">
        <x:v>117</x:v>
      </x:c>
      <x:c r="L283" s="2" t="s">
        <x:v>110</x:v>
      </x:c>
      <x:c r="M283" s="2"/>
      <x:c r="N283" s="2">
        <x:v>82.9</x:v>
      </x:c>
      <x:c r="O283" s="2">
        <x:v>51.1</x:v>
      </x:c>
      <x:c r="P283" s="2">
        <x:v>134.30000000000001</x:v>
      </x:c>
      <x:c r="Q283" s="2" t="s">
        <x:v>111</x:v>
      </x:c>
      <x:c r="R283" s="2">
        <x:v>82.9</x:v>
      </x:c>
      <x:c r="S283" s="2" t="s">
        <x:v>111</x:v>
      </x:c>
      <x:c r="T283" s="2"/>
      <x:c r="U283" s="2">
        <x:v>25</x:v>
      </x:c>
      <x:c r="V283" s="2"/>
      <x:c r="W283" s="2"/>
      <x:c r="X283" s="2" t="s">
        <x:v>287</x:v>
      </x:c>
      <x:c r="Y283" s="2" t="s">
        <x:v>113</x:v>
      </x:c>
      <x:c r="Z283" s="2" t="s">
        <x:v>114</x:v>
      </x:c>
      <x:c r="AA283" s="11" t="n">
        <x:f>IFERROR(VLOOKUP(E283,Harmonization_Rules!$A$2:$B$9,2,FALSE),"")</x:f>
        <x:v>112.414</x:v>
      </x:c>
      <x:c r="AB283" s="2" t="str">
        <x:f t="shared" si="28"/>
        <x:v>ECOTOX_STANDARDIZED_TARGET_METAL</x:v>
      </x:c>
      <x:c r="AC283" s="12">
        <x:f t="shared" si="29"/>
        <x:v>8.2900000000000001E-2</x:v>
      </x:c>
      <x:c r="AD283" s="12">
        <x:f t="shared" si="30"/>
        <x:v>0.73745263045528142</x:v>
      </x:c>
      <x:c r="AE283" s="12">
        <x:f t="shared" si="31"/>
        <x:v>-0.30455342272213376</x:v>
      </x:c>
      <x:c r="AF283" s="2" t="str">
        <x:f t="shared" si="32"/>
        <x:v>HARMONIZED</x:v>
      </x:c>
      <x:c r="AG283" s="2" t="str">
        <x:f>IF(E283="Cr","Cr(VI) chromate/dichromate rows are retained but molar conversion is held until source-specific compound-vs-ion basis is resolved.",IF(D283=2977,"OBrien 1988 reports total dissolved Cu LC331 values in 10^-6 M; the numeric Analysis_Point is therefore treated directly as umol Cu/L.",IF(AND(D283=6825,L283="Formulation"),"Nipper 1993 source check showed the reported concentrations are nominal Zn; formulation coding does not trigger compound-mass conversion.",IF(Y283="PRIMARY_RECOVERED","Source-recovered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3" s="2" t="str">
        <x:f t="shared" si="33"/>
        <x:v>CORE</x:v>
      </x:c>
      <x:c r="AI283" s="2" t="str">
        <x:f t="shared" si="34"/>
        <x:v>YES</x:v>
      </x:c>
    </x:row>
    <x:row r="284" ht="40.5">
      <x:c r="A284" s="2">
        <x:v>2177</x:v>
      </x:c>
      <x:c r="B284" s="2">
        <x:v>1165809</x:v>
      </x:c>
      <x:c r="C284" s="2">
        <x:v>189250</x:v>
      </x:c>
      <x:c r="D284" s="2">
        <x:v>14601</x:v>
      </x:c>
      <x:c r="E284" s="2" t="s">
        <x:v>16</x:v>
      </x:c>
      <x:c r="F284" s="2" t="s">
        <x:v>279</x:v>
      </x:c>
      <x:c r="G284" s="2" t="s">
        <x:v>150</x:v>
      </x:c>
      <x:c r="H284" s="2" t="s">
        <x:v>135</x:v>
      </x:c>
      <x:c r="I284" s="2" t="s">
        <x:v>108</x:v>
      </x:c>
      <x:c r="J284" s="2">
        <x:v>4</x:v>
      </x:c>
      <x:c r="K284" s="2" t="s">
        <x:v>117</x:v>
      </x:c>
      <x:c r="L284" s="2" t="s">
        <x:v>110</x:v>
      </x:c>
      <x:c r="M284" s="2"/>
      <x:c r="N284" s="2">
        <x:v>1077</x:v>
      </x:c>
      <x:c r="O284" s="2">
        <x:v>903</x:v>
      </x:c>
      <x:c r="P284" s="2">
        <x:v>1289</x:v>
      </x:c>
      <x:c r="Q284" s="2" t="s">
        <x:v>111</x:v>
      </x:c>
      <x:c r="R284" s="2">
        <x:v>1077</x:v>
      </x:c>
      <x:c r="S284" s="2" t="s">
        <x:v>111</x:v>
      </x:c>
      <x:c r="T284" s="2">
        <x:v>15</x:v>
      </x:c>
      <x:c r="U284" s="2">
        <x:v>30</x:v>
      </x:c>
      <x:c r="V284" s="2"/>
      <x:c r="W284" s="2"/>
      <x:c r="X284" s="2" t="s">
        <x:v>280</x:v>
      </x:c>
      <x:c r="Y284" s="2" t="s">
        <x:v>113</x:v>
      </x:c>
      <x:c r="Z284" s="2" t="s">
        <x:v>114</x:v>
      </x:c>
      <x:c r="AA284" s="11" t="n">
        <x:f>IFERROR(VLOOKUP(E284,Harmonization_Rules!$A$2:$B$9,2,FALSE),"")</x:f>
        <x:v>112.414</x:v>
      </x:c>
      <x:c r="AB284" s="2" t="str">
        <x:f t="shared" si="28"/>
        <x:v>ECOTOX_STANDARDIZED_TARGET_METAL</x:v>
      </x:c>
      <x:c r="AC284" s="12">
        <x:f t="shared" si="29"/>
        <x:v>1.077</x:v>
      </x:c>
      <x:c r="AD284" s="12">
        <x:f t="shared" si="30"/>
        <x:v>9.5806572135143302</x:v>
      </x:c>
      <x:c r="AE284" s="12">
        <x:f t="shared" si="31"/>
        <x:v>2.2597461922930053</x:v>
      </x:c>
      <x:c r="AF284" s="2" t="str">
        <x:f t="shared" si="32"/>
        <x:v>HARMONIZED</x:v>
      </x:c>
      <x:c r="AG284" s="2" t="str">
        <x:f>IF(E284="Cr","Cr(VI) chromate/dichromate rows are retained but molar conversion is held until source-specific compound-vs-ion basis is resolved.",IF(D284=2977,"OBrien 1988 reports total dissolved Cu LC332 values in 10^-6 M; the numeric Analysis_Point is therefore treated directly as umol Cu/L.",IF(AND(D284=6825,L284="Formulation"),"Nipper 1993 source check showed the reported concentrations are nominal Zn; formulation coding does not trigger compound-mass conversion.",IF(Y284="PRIMARY_RECOVERED","Source-recovered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4" s="2" t="str">
        <x:f t="shared" si="33"/>
        <x:v>CORE</x:v>
      </x:c>
      <x:c r="AI284" s="2" t="str">
        <x:f t="shared" si="34"/>
        <x:v>YES</x:v>
      </x:c>
    </x:row>
    <x:row r="285" ht="40.5">
      <x:c r="A285" s="2">
        <x:v>2195</x:v>
      </x:c>
      <x:c r="B285" s="2">
        <x:v>1037866</x:v>
      </x:c>
      <x:c r="C285" s="2">
        <x:v>104471</x:v>
      </x:c>
      <x:c r="D285" s="2">
        <x:v>2332</x:v>
      </x:c>
      <x:c r="E285" s="2" t="s">
        <x:v>16</x:v>
      </x:c>
      <x:c r="F285" s="2" t="s">
        <x:v>279</x:v>
      </x:c>
      <x:c r="G285" s="2" t="s">
        <x:v>129</x:v>
      </x:c>
      <x:c r="H285" s="2" t="s">
        <x:v>107</x:v>
      </x:c>
      <x:c r="I285" s="2"/>
      <x:c r="J285" s="2">
        <x:v>4</x:v>
      </x:c>
      <x:c r="K285" s="2" t="s">
        <x:v>136</x:v>
      </x:c>
      <x:c r="L285" s="2" t="s">
        <x:v>110</x:v>
      </x:c>
      <x:c r="M285" s="2"/>
      <x:c r="N285" s="2">
        <x:v>660</x:v>
      </x:c>
      <x:c r="O285" s="2">
        <x:v>530</x:v>
      </x:c>
      <x:c r="P285" s="2">
        <x:v>820</x:v>
      </x:c>
      <x:c r="Q285" s="2" t="s">
        <x:v>111</x:v>
      </x:c>
      <x:c r="R285" s="2">
        <x:v>660</x:v>
      </x:c>
      <x:c r="S285" s="2" t="s">
        <x:v>111</x:v>
      </x:c>
      <x:c r="T285" s="2"/>
      <x:c r="U285" s="2">
        <x:v>7</x:v>
      </x:c>
      <x:c r="V285" s="2"/>
      <x:c r="W285" s="2"/>
      <x:c r="X285" s="2" t="s">
        <x:v>205</x:v>
      </x:c>
      <x:c r="Y285" s="2" t="s">
        <x:v>113</x:v>
      </x:c>
      <x:c r="Z285" s="2" t="s">
        <x:v>114</x:v>
      </x:c>
      <x:c r="AA285" s="11" t="n">
        <x:f>IFERROR(VLOOKUP(E285,Harmonization_Rules!$A$2:$B$9,2,FALSE),"")</x:f>
        <x:v>112.414</x:v>
      </x:c>
      <x:c r="AB285" s="2" t="str">
        <x:f t="shared" si="28"/>
        <x:v>ECOTOX_STANDARDIZED_TARGET_METAL</x:v>
      </x:c>
      <x:c r="AC285" s="12">
        <x:f t="shared" si="29"/>
        <x:v>0.66</x:v>
      </x:c>
      <x:c r="AD285" s="12">
        <x:f t="shared" si="30"/>
        <x:v>5.871154838365328</x:v>
      </x:c>
      <x:c r="AE285" s="12">
        <x:f t="shared" si="31"/>
        <x:v>1.770051350157088</x:v>
      </x:c>
      <x:c r="AF285" s="2" t="str">
        <x:f t="shared" si="32"/>
        <x:v>HARMONIZED</x:v>
      </x:c>
      <x:c r="AG285" s="2" t="str">
        <x:f>IF(E285="Cr","Cr(VI) chromate/dichromate rows are retained but molar conversion is held until source-specific compound-vs-ion basis is resolved.",IF(D285=2977,"OBrien 1988 reports total dissolved Cu LC333 values in 10^-6 M; the numeric Analysis_Point is therefore treated directly as umol Cu/L.",IF(AND(D285=6825,L285="Formulation"),"Nipper 1993 source check showed the reported concentrations are nominal Zn; formulation coding does not trigger compound-mass conversion.",IF(Y285="PRIMARY_RECOVERED","Source-recovered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5" s="2" t="str">
        <x:f t="shared" si="33"/>
        <x:v>CORE</x:v>
      </x:c>
      <x:c r="AI285" s="2" t="str">
        <x:f t="shared" si="34"/>
        <x:v>YES</x:v>
      </x:c>
    </x:row>
    <x:row r="286" ht="40.5">
      <x:c r="A286" s="2">
        <x:v>2214</x:v>
      </x:c>
      <x:c r="B286" s="2">
        <x:v>1165808</x:v>
      </x:c>
      <x:c r="C286" s="2">
        <x:v>189249</x:v>
      </x:c>
      <x:c r="D286" s="2">
        <x:v>14601</x:v>
      </x:c>
      <x:c r="E286" s="2" t="s">
        <x:v>16</x:v>
      </x:c>
      <x:c r="F286" s="2" t="s">
        <x:v>279</x:v>
      </x:c>
      <x:c r="G286" s="2" t="s">
        <x:v>150</x:v>
      </x:c>
      <x:c r="H286" s="2" t="s">
        <x:v>135</x:v>
      </x:c>
      <x:c r="I286" s="2" t="s">
        <x:v>108</x:v>
      </x:c>
      <x:c r="J286" s="2">
        <x:v>4</x:v>
      </x:c>
      <x:c r="K286" s="2" t="s">
        <x:v>117</x:v>
      </x:c>
      <x:c r="L286" s="2" t="s">
        <x:v>110</x:v>
      </x:c>
      <x:c r="M286" s="2"/>
      <x:c r="N286" s="2">
        <x:v>1651</x:v>
      </x:c>
      <x:c r="O286" s="2">
        <x:v>1337</x:v>
      </x:c>
      <x:c r="P286" s="2">
        <x:v>2025</x:v>
      </x:c>
      <x:c r="Q286" s="2" t="s">
        <x:v>111</x:v>
      </x:c>
      <x:c r="R286" s="2">
        <x:v>1651</x:v>
      </x:c>
      <x:c r="S286" s="2" t="s">
        <x:v>111</x:v>
      </x:c>
      <x:c r="T286" s="2">
        <x:v>15</x:v>
      </x:c>
      <x:c r="U286" s="2">
        <x:v>30</x:v>
      </x:c>
      <x:c r="V286" s="2"/>
      <x:c r="W286" s="2"/>
      <x:c r="X286" s="2" t="s">
        <x:v>280</x:v>
      </x:c>
      <x:c r="Y286" s="2" t="s">
        <x:v>113</x:v>
      </x:c>
      <x:c r="Z286" s="2" t="s">
        <x:v>114</x:v>
      </x:c>
      <x:c r="AA286" s="11" t="n">
        <x:f>IFERROR(VLOOKUP(E286,Harmonization_Rules!$A$2:$B$9,2,FALSE),"")</x:f>
        <x:v>112.414</x:v>
      </x:c>
      <x:c r="AB286" s="2" t="str">
        <x:f t="shared" si="28"/>
        <x:v>ECOTOX_STANDARDIZED_TARGET_METAL</x:v>
      </x:c>
      <x:c r="AC286" s="12">
        <x:f t="shared" si="29"/>
        <x:v>1.651</x:v>
      </x:c>
      <x:c r="AD286" s="12">
        <x:f t="shared" si="30"/>
        <x:v>14.686782785062359</x:v>
      </x:c>
      <x:c r="AE286" s="12">
        <x:f t="shared" si="31"/>
        <x:v>2.6869479590567451</x:v>
      </x:c>
      <x:c r="AF286" s="2" t="str">
        <x:f t="shared" si="32"/>
        <x:v>HARMONIZED</x:v>
      </x:c>
      <x:c r="AG286" s="2" t="str">
        <x:f>IF(E286="Cr","Cr(VI) chromate/dichromate rows are retained but molar conversion is held until source-specific compound-vs-ion basis is resolved.",IF(D286=2977,"OBrien 1988 reports total dissolved Cu LC334 values in 10^-6 M; the numeric Analysis_Point is therefore treated directly as umol Cu/L.",IF(AND(D286=6825,L286="Formulation"),"Nipper 1993 source check showed the reported concentrations are nominal Zn; formulation coding does not trigger compound-mass conversion.",IF(Y286="PRIMARY_RECOVERED","Source-recovered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6" s="2" t="str">
        <x:f t="shared" si="33"/>
        <x:v>CORE</x:v>
      </x:c>
      <x:c r="AI286" s="2" t="str">
        <x:f t="shared" si="34"/>
        <x:v>YES</x:v>
      </x:c>
    </x:row>
    <x:row r="287" ht="40.5">
      <x:c r="A287" s="2">
        <x:v>2221</x:v>
      </x:c>
      <x:c r="B287" s="2">
        <x:v>1035623</x:v>
      </x:c>
      <x:c r="C287" s="2">
        <x:v>54864</x:v>
      </x:c>
      <x:c r="D287" s="2">
        <x:v>2183</x:v>
      </x:c>
      <x:c r="E287" s="2" t="s">
        <x:v>16</x:v>
      </x:c>
      <x:c r="F287" s="2" t="s">
        <x:v>279</x:v>
      </x:c>
      <x:c r="G287" s="2" t="s">
        <x:v>129</x:v>
      </x:c>
      <x:c r="H287" s="2" t="s">
        <x:v>107</x:v>
      </x:c>
      <x:c r="I287" s="2" t="s">
        <x:v>108</x:v>
      </x:c>
      <x:c r="J287" s="2">
        <x:v>4</x:v>
      </x:c>
      <x:c r="K287" s="2" t="s">
        <x:v>117</x:v>
      </x:c>
      <x:c r="L287" s="2" t="s">
        <x:v>110</x:v>
      </x:c>
      <x:c r="M287" s="2"/>
      <x:c r="N287" s="2">
        <x:v>1800</x:v>
      </x:c>
      <x:c r="O287" s="2">
        <x:v>1200</x:v>
      </x:c>
      <x:c r="P287" s="2">
        <x:v>2800</x:v>
      </x:c>
      <x:c r="Q287" s="2" t="s">
        <x:v>111</x:v>
      </x:c>
      <x:c r="R287" s="2">
        <x:v>1800</x:v>
      </x:c>
      <x:c r="S287" s="2" t="s">
        <x:v>111</x:v>
      </x:c>
      <x:c r="T287" s="2">
        <x:v>20</x:v>
      </x:c>
      <x:c r="U287" s="2">
        <x:v>7</x:v>
      </x:c>
      <x:c r="V287" s="2">
        <x:v>8</x:v>
      </x:c>
      <x:c r="W287" s="2"/>
      <x:c r="X287" s="2" t="s">
        <x:v>130</x:v>
      </x:c>
      <x:c r="Y287" s="2" t="s">
        <x:v>113</x:v>
      </x:c>
      <x:c r="Z287" s="2" t="s">
        <x:v>114</x:v>
      </x:c>
      <x:c r="AA287" s="11" t="n">
        <x:f>IFERROR(VLOOKUP(E287,Harmonization_Rules!$A$2:$B$9,2,FALSE),"")</x:f>
        <x:v>112.414</x:v>
      </x:c>
      <x:c r="AB287" s="2" t="str">
        <x:f t="shared" si="28"/>
        <x:v>ECOTOX_STANDARDIZED_TARGET_METAL</x:v>
      </x:c>
      <x:c r="AC287" s="12">
        <x:f t="shared" si="29"/>
        <x:v>1.8</x:v>
      </x:c>
      <x:c r="AD287" s="12">
        <x:f t="shared" si="30"/>
        <x:v>16.012240468269077</x:v>
      </x:c>
      <x:c r="AE287" s="12">
        <x:f t="shared" si="31"/>
        <x:v>2.773353459020873</x:v>
      </x:c>
      <x:c r="AF287" s="2" t="str">
        <x:f t="shared" si="32"/>
        <x:v>HARMONIZED</x:v>
      </x:c>
      <x:c r="AG287" s="2" t="str">
        <x:f>IF(E287="Cr","Cr(VI) chromate/dichromate rows are retained but molar conversion is held until source-specific compound-vs-ion basis is resolved.",IF(D287=2977,"OBrien 1988 reports total dissolved Cu LC335 values in 10^-6 M; the numeric Analysis_Point is therefore treated directly as umol Cu/L.",IF(AND(D287=6825,L287="Formulation"),"Nipper 1993 source check showed the reported concentrations are nominal Zn; formulation coding does not trigger compound-mass conversion.",IF(Y287="PRIMARY_RECOVERED","Source-recovered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7" s="2" t="str">
        <x:f t="shared" si="33"/>
        <x:v>CORE</x:v>
      </x:c>
      <x:c r="AI287" s="2" t="str">
        <x:f t="shared" si="34"/>
        <x:v>YES</x:v>
      </x:c>
    </x:row>
    <x:row r="288" ht="40.5">
      <x:c r="A288" s="2">
        <x:v>2224</x:v>
      </x:c>
      <x:c r="B288" s="2">
        <x:v>1165806</x:v>
      </x:c>
      <x:c r="C288" s="2">
        <x:v>189247</x:v>
      </x:c>
      <x:c r="D288" s="2">
        <x:v>14601</x:v>
      </x:c>
      <x:c r="E288" s="2" t="s">
        <x:v>16</x:v>
      </x:c>
      <x:c r="F288" s="2" t="s">
        <x:v>279</x:v>
      </x:c>
      <x:c r="G288" s="2" t="s">
        <x:v>141</x:v>
      </x:c>
      <x:c r="H288" s="2" t="s">
        <x:v>135</x:v>
      </x:c>
      <x:c r="I288" s="2" t="s">
        <x:v>108</x:v>
      </x:c>
      <x:c r="J288" s="2">
        <x:v>4</x:v>
      </x:c>
      <x:c r="K288" s="2" t="s">
        <x:v>117</x:v>
      </x:c>
      <x:c r="L288" s="2" t="s">
        <x:v>110</x:v>
      </x:c>
      <x:c r="M288" s="2"/>
      <x:c r="N288" s="2">
        <x:v>200</x:v>
      </x:c>
      <x:c r="O288" s="2">
        <x:v>154</x:v>
      </x:c>
      <x:c r="P288" s="2">
        <x:v>260</x:v>
      </x:c>
      <x:c r="Q288" s="2" t="s">
        <x:v>111</x:v>
      </x:c>
      <x:c r="R288" s="2">
        <x:v>200</x:v>
      </x:c>
      <x:c r="S288" s="2" t="s">
        <x:v>111</x:v>
      </x:c>
      <x:c r="T288" s="2">
        <x:v>10</x:v>
      </x:c>
      <x:c r="U288" s="2">
        <x:v>30</x:v>
      </x:c>
      <x:c r="V288" s="2"/>
      <x:c r="W288" s="2"/>
      <x:c r="X288" s="2" t="s">
        <x:v>280</x:v>
      </x:c>
      <x:c r="Y288" s="2" t="s">
        <x:v>113</x:v>
      </x:c>
      <x:c r="Z288" s="2" t="s">
        <x:v>114</x:v>
      </x:c>
      <x:c r="AA288" s="11" t="n">
        <x:f>IFERROR(VLOOKUP(E288,Harmonization_Rules!$A$2:$B$9,2,FALSE),"")</x:f>
        <x:v>112.414</x:v>
      </x:c>
      <x:c r="AB288" s="2" t="str">
        <x:f t="shared" si="28"/>
        <x:v>ECOTOX_STANDARDIZED_TARGET_METAL</x:v>
      </x:c>
      <x:c r="AC288" s="12">
        <x:f t="shared" si="29"/>
        <x:v>0.2</x:v>
      </x:c>
      <x:c r="AD288" s="12">
        <x:f t="shared" si="30"/>
        <x:v>1.7791378298076752</x:v>
      </x:c>
      <x:c r="AE288" s="12">
        <x:f t="shared" si="31"/>
        <x:v>0.57612888168465348</x:v>
      </x:c>
      <x:c r="AF288" s="2" t="str">
        <x:f t="shared" si="32"/>
        <x:v>HARMONIZED</x:v>
      </x:c>
      <x:c r="AG288" s="2" t="str">
        <x:f>IF(E288="Cr","Cr(VI) chromate/dichromate rows are retained but molar conversion is held until source-specific compound-vs-ion basis is resolved.",IF(D288=2977,"OBrien 1988 reports total dissolved Cu LC336 values in 10^-6 M; the numeric Analysis_Point is therefore treated directly as umol Cu/L.",IF(AND(D288=6825,L288="Formulation"),"Nipper 1993 source check showed the reported concentrations are nominal Zn; formulation coding does not trigger compound-mass conversion.",IF(Y288="PRIMARY_RECOVERED","Source-recovered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8" s="2" t="str">
        <x:f t="shared" si="33"/>
        <x:v>CORE</x:v>
      </x:c>
      <x:c r="AI288" s="2" t="str">
        <x:f t="shared" si="34"/>
        <x:v>YES</x:v>
      </x:c>
    </x:row>
    <x:row r="289" ht="40.5">
      <x:c r="A289" s="2">
        <x:v>2226</x:v>
      </x:c>
      <x:c r="B289" s="2">
        <x:v>1037865</x:v>
      </x:c>
      <x:c r="C289" s="2">
        <x:v>104470</x:v>
      </x:c>
      <x:c r="D289" s="2">
        <x:v>2332</x:v>
      </x:c>
      <x:c r="E289" s="2" t="s">
        <x:v>16</x:v>
      </x:c>
      <x:c r="F289" s="2" t="s">
        <x:v>279</x:v>
      </x:c>
      <x:c r="G289" s="2" t="s">
        <x:v>129</x:v>
      </x:c>
      <x:c r="H289" s="2" t="s">
        <x:v>107</x:v>
      </x:c>
      <x:c r="I289" s="2"/>
      <x:c r="J289" s="2">
        <x:v>4</x:v>
      </x:c>
      <x:c r="K289" s="2" t="s">
        <x:v>136</x:v>
      </x:c>
      <x:c r="L289" s="2" t="s">
        <x:v>110</x:v>
      </x:c>
      <x:c r="M289" s="2"/>
      <x:c r="N289" s="2">
        <x:v>780</x:v>
      </x:c>
      <x:c r="O289" s="2">
        <x:v>410</x:v>
      </x:c>
      <x:c r="P289" s="2">
        <x:v>1200</x:v>
      </x:c>
      <x:c r="Q289" s="2" t="s">
        <x:v>111</x:v>
      </x:c>
      <x:c r="R289" s="2">
        <x:v>780</x:v>
      </x:c>
      <x:c r="S289" s="2" t="s">
        <x:v>111</x:v>
      </x:c>
      <x:c r="T289" s="2"/>
      <x:c r="U289" s="2">
        <x:v>15</x:v>
      </x:c>
      <x:c r="V289" s="2"/>
      <x:c r="W289" s="2"/>
      <x:c r="X289" s="2" t="s">
        <x:v>205</x:v>
      </x:c>
      <x:c r="Y289" s="2" t="s">
        <x:v>113</x:v>
      </x:c>
      <x:c r="Z289" s="2" t="s">
        <x:v>114</x:v>
      </x:c>
      <x:c r="AA289" s="11" t="n">
        <x:f>IFERROR(VLOOKUP(E289,Harmonization_Rules!$A$2:$B$9,2,FALSE),"")</x:f>
        <x:v>112.414</x:v>
      </x:c>
      <x:c r="AB289" s="2" t="str">
        <x:f t="shared" si="28"/>
        <x:v>ECOTOX_STANDARDIZED_TARGET_METAL</x:v>
      </x:c>
      <x:c r="AC289" s="12">
        <x:f t="shared" si="29"/>
        <x:v>0.78</x:v>
      </x:c>
      <x:c r="AD289" s="12">
        <x:f t="shared" si="30"/>
        <x:v>6.9386375362499333</x:v>
      </x:c>
      <x:c r="AE289" s="12">
        <x:f t="shared" si="31"/>
        <x:v>1.9371054348202543</x:v>
      </x:c>
      <x:c r="AF289" s="2" t="str">
        <x:f t="shared" si="32"/>
        <x:v>HARMONIZED</x:v>
      </x:c>
      <x:c r="AG289" s="2" t="str">
        <x:f>IF(E289="Cr","Cr(VI) chromate/dichromate rows are retained but molar conversion is held until source-specific compound-vs-ion basis is resolved.",IF(D289=2977,"OBrien 1988 reports total dissolved Cu LC337 values in 10^-6 M; the numeric Analysis_Point is therefore treated directly as umol Cu/L.",IF(AND(D289=6825,L289="Formulation"),"Nipper 1993 source check showed the reported concentrations are nominal Zn; formulation coding does not trigger compound-mass conversion.",IF(Y289="PRIMARY_RECOVERED","Source-recovered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89" s="2" t="str">
        <x:f t="shared" si="33"/>
        <x:v>CORE</x:v>
      </x:c>
      <x:c r="AI289" s="2" t="str">
        <x:f t="shared" si="34"/>
        <x:v>YES</x:v>
      </x:c>
    </x:row>
    <x:row r="290" ht="40.5">
      <x:c r="A290" s="2">
        <x:v>2234</x:v>
      </x:c>
      <x:c r="B290" s="2">
        <x:v>1116276</x:v>
      </x:c>
      <x:c r="C290" s="2">
        <x:v>107518</x:v>
      </x:c>
      <x:c r="D290" s="2">
        <x:v>9029</x:v>
      </x:c>
      <x:c r="E290" s="2" t="s">
        <x:v>16</x:v>
      </x:c>
      <x:c r="F290" s="2" t="s">
        <x:v>279</x:v>
      </x:c>
      <x:c r="G290" s="2" t="s">
        <x:v>134</x:v>
      </x:c>
      <x:c r="H290" s="2" t="s">
        <x:v>135</x:v>
      </x:c>
      <x:c r="I290" s="2" t="s">
        <x:v>108</x:v>
      </x:c>
      <x:c r="J290" s="2">
        <x:v>4</x:v>
      </x:c>
      <x:c r="K290" s="2" t="s">
        <x:v>117</x:v>
      </x:c>
      <x:c r="L290" s="2" t="s">
        <x:v>110</x:v>
      </x:c>
      <x:c r="M290" s="2"/>
      <x:c r="N290" s="2">
        <x:v>93</x:v>
      </x:c>
      <x:c r="O290" s="2">
        <x:v>82</x:v>
      </x:c>
      <x:c r="P290" s="2">
        <x:v>106</x:v>
      </x:c>
      <x:c r="Q290" s="2" t="s">
        <x:v>111</x:v>
      </x:c>
      <x:c r="R290" s="2">
        <x:v>93</x:v>
      </x:c>
      <x:c r="S290" s="2" t="s">
        <x:v>111</x:v>
      </x:c>
      <x:c r="T290" s="2">
        <x:v>18</x:v>
      </x:c>
      <x:c r="U290" s="2">
        <x:v>15</x:v>
      </x:c>
      <x:c r="V290" s="2"/>
      <x:c r="W290" s="2"/>
      <x:c r="X290" s="2" t="s">
        <x:v>285</x:v>
      </x:c>
      <x:c r="Y290" s="2" t="s">
        <x:v>113</x:v>
      </x:c>
      <x:c r="Z290" s="2" t="s">
        <x:v>114</x:v>
      </x:c>
      <x:c r="AA290" s="11" t="n">
        <x:f>IFERROR(VLOOKUP(E290,Harmonization_Rules!$A$2:$B$9,2,FALSE),"")</x:f>
        <x:v>112.414</x:v>
      </x:c>
      <x:c r="AB290" s="2" t="str">
        <x:f t="shared" si="28"/>
        <x:v>ECOTOX_STANDARDIZED_TARGET_METAL</x:v>
      </x:c>
      <x:c r="AC290" s="12">
        <x:f t="shared" si="29"/>
        <x:v>9.2999999999999999E-2</x:v>
      </x:c>
      <x:c r="AD290" s="12">
        <x:f t="shared" si="30"/>
        <x:v>0.82729909086056896</x:v>
      </x:c>
      <x:c r="AE290" s="12">
        <x:f t="shared" si="31"/>
        <x:v>-0.18958899171012722</x:v>
      </x:c>
      <x:c r="AF290" s="2" t="str">
        <x:f t="shared" si="32"/>
        <x:v>HARMONIZED</x:v>
      </x:c>
      <x:c r="AG290" s="2" t="str">
        <x:f>IF(E290="Cr","Cr(VI) chromate/dichromate rows are retained but molar conversion is held until source-specific compound-vs-ion basis is resolved.",IF(D290=2977,"OBrien 1988 reports total dissolved Cu LC338 values in 10^-6 M; the numeric Analysis_Point is therefore treated directly as umol Cu/L.",IF(AND(D290=6825,L290="Formulation"),"Nipper 1993 source check showed the reported concentrations are nominal Zn; formulation coding does not trigger compound-mass conversion.",IF(Y290="PRIMARY_RECOVERED","Source-recovered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90" s="2" t="str">
        <x:f t="shared" si="33"/>
        <x:v>CORE</x:v>
      </x:c>
      <x:c r="AI290" s="2" t="str">
        <x:f t="shared" si="34"/>
        <x:v>YES</x:v>
      </x:c>
    </x:row>
    <x:row r="291" ht="40.5">
      <x:c r="A291" s="2">
        <x:v>2249</x:v>
      </x:c>
      <x:c r="B291" s="2">
        <x:v>1191627</x:v>
      </x:c>
      <x:c r="C291" s="2">
        <x:v>166349</x:v>
      </x:c>
      <x:c r="D291" s="2">
        <x:v>17219</x:v>
      </x:c>
      <x:c r="E291" s="2" t="s">
        <x:v>16</x:v>
      </x:c>
      <x:c r="F291" s="2" t="s">
        <x:v>279</x:v>
      </x:c>
      <x:c r="G291" s="2" t="s">
        <x:v>150</x:v>
      </x:c>
      <x:c r="H291" s="2" t="s">
        <x:v>135</x:v>
      </x:c>
      <x:c r="I291" s="2" t="s">
        <x:v>209</x:v>
      </x:c>
      <x:c r="J291" s="2">
        <x:v>4</x:v>
      </x:c>
      <x:c r="K291" s="2" t="s">
        <x:v>117</x:v>
      </x:c>
      <x:c r="L291" s="2" t="s">
        <x:v>110</x:v>
      </x:c>
      <x:c r="M291" s="2"/>
      <x:c r="N291" s="2">
        <x:v>213.2</x:v>
      </x:c>
      <x:c r="O291" s="2">
        <x:v>182</x:v>
      </x:c>
      <x:c r="P291" s="2">
        <x:v>249.7</x:v>
      </x:c>
      <x:c r="Q291" s="2" t="s">
        <x:v>111</x:v>
      </x:c>
      <x:c r="R291" s="2">
        <x:v>213.2</x:v>
      </x:c>
      <x:c r="S291" s="2" t="s">
        <x:v>111</x:v>
      </x:c>
      <x:c r="T291" s="2">
        <x:v>24</x:v>
      </x:c>
      <x:c r="U291" s="2">
        <x:v>15</x:v>
      </x:c>
      <x:c r="V291" s="2"/>
      <x:c r="W291" s="2"/>
      <x:c r="X291" s="2" t="s">
        <x:v>287</x:v>
      </x:c>
      <x:c r="Y291" s="2" t="s">
        <x:v>113</x:v>
      </x:c>
      <x:c r="Z291" s="2" t="s">
        <x:v>114</x:v>
      </x:c>
      <x:c r="AA291" s="11" t="n">
        <x:f>IFERROR(VLOOKUP(E291,Harmonization_Rules!$A$2:$B$9,2,FALSE),"")</x:f>
        <x:v>112.414</x:v>
      </x:c>
      <x:c r="AB291" s="2" t="str">
        <x:f t="shared" si="28"/>
        <x:v>ECOTOX_STANDARDIZED_TARGET_METAL</x:v>
      </x:c>
      <x:c r="AC291" s="12">
        <x:f t="shared" si="29"/>
        <x:v>0.2132</x:v>
      </x:c>
      <x:c r="AD291" s="12">
        <x:f t="shared" si="30"/>
        <x:v>1.8965609265749817</x:v>
      </x:c>
      <x:c r="AE291" s="12">
        <x:f t="shared" si="31"/>
        <x:v>0.64004220742830631</x:v>
      </x:c>
      <x:c r="AF291" s="2" t="str">
        <x:f t="shared" si="32"/>
        <x:v>HARMONIZED</x:v>
      </x:c>
      <x:c r="AG291" s="2" t="str">
        <x:f>IF(E291="Cr","Cr(VI) chromate/dichromate rows are retained but molar conversion is held until source-specific compound-vs-ion basis is resolved.",IF(D291=2977,"OBrien 1988 reports total dissolved Cu LC339 values in 10^-6 M; the numeric Analysis_Point is therefore treated directly as umol Cu/L.",IF(AND(D291=6825,L291="Formulation"),"Nipper 1993 source check showed the reported concentrations are nominal Zn; formulation coding does not trigger compound-mass conversion.",IF(Y291="PRIMARY_RECOVERED","Source-recovered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91" s="2" t="str">
        <x:f t="shared" si="33"/>
        <x:v>CORE</x:v>
      </x:c>
      <x:c r="AI291" s="2" t="str">
        <x:f t="shared" si="34"/>
        <x:v>YES</x:v>
      </x:c>
    </x:row>
    <x:row r="292" ht="67.5">
      <x:c r="A292" s="2">
        <x:v>2255</x:v>
      </x:c>
      <x:c r="B292" s="2">
        <x:v>1210146</x:v>
      </x:c>
      <x:c r="C292" s="2">
        <x:v>186386</x:v>
      </x:c>
      <x:c r="D292" s="2">
        <x:v>19281</x:v>
      </x:c>
      <x:c r="E292" s="2" t="s">
        <x:v>16</x:v>
      </x:c>
      <x:c r="F292" s="2" t="s">
        <x:v>279</x:v>
      </x:c>
      <x:c r="G292" s="2" t="s">
        <x:v>226</x:v>
      </x:c>
      <x:c r="H292" s="2" t="s">
        <x:v>107</x:v>
      </x:c>
      <x:c r="I292" s="2" t="s">
        <x:v>224</x:v>
      </x:c>
      <x:c r="J292" s="2">
        <x:v>4</x:v>
      </x:c>
      <x:c r="K292" s="2" t="s">
        <x:v>117</x:v>
      </x:c>
      <x:c r="L292" s="2" t="s">
        <x:v>110</x:v>
      </x:c>
      <x:c r="M292" s="2"/>
      <x:c r="N292" s="2">
        <x:v>29.7</x:v>
      </x:c>
      <x:c r="O292" s="2">
        <x:v>27.7</x:v>
      </x:c>
      <x:c r="P292" s="2">
        <x:v>31.7</x:v>
      </x:c>
      <x:c r="Q292" s="2" t="s">
        <x:v>111</x:v>
      </x:c>
      <x:c r="R292" s="2">
        <x:v>29.7</x:v>
      </x:c>
      <x:c r="S292" s="2" t="s">
        <x:v>111</x:v>
      </x:c>
      <x:c r="T292" s="2">
        <x:v>20</x:v>
      </x:c>
      <x:c r="U292" s="2"/>
      <x:c r="V292" s="2"/>
      <x:c r="W292" s="2"/>
      <x:c r="X292" s="2" t="s">
        <x:v>286</x:v>
      </x:c>
      <x:c r="Y292" s="2" t="s">
        <x:v>113</x:v>
      </x:c>
      <x:c r="Z292" s="2" t="s">
        <x:v>114</x:v>
      </x:c>
      <x:c r="AA292" s="11" t="n">
        <x:f>IFERROR(VLOOKUP(E292,Harmonization_Rules!$A$2:$B$9,2,FALSE),"")</x:f>
        <x:v>112.414</x:v>
      </x:c>
      <x:c r="AB292" s="2" t="str">
        <x:f t="shared" si="28"/>
        <x:v>ECOTOX_STANDARDIZED_TARGET_METAL</x:v>
      </x:c>
      <x:c r="AC292" s="12">
        <x:f t="shared" si="29"/>
        <x:v>2.9700000000000001E-2</x:v>
      </x:c>
      <x:c r="AD292" s="12">
        <x:f t="shared" si="30"/>
        <x:v>0.26420196772643978</x:v>
      </x:c>
      <x:c r="AE292" s="12">
        <x:f t="shared" si="31"/>
        <x:v>-1.3310414390547292</x:v>
      </x:c>
      <x:c r="AF292" s="2" t="str">
        <x:f t="shared" si="32"/>
        <x:v>HARMONIZED</x:v>
      </x:c>
      <x:c r="AG292" s="2" t="str">
        <x:f>IF(E292="Cr","Cr(VI) chromate/dichromate rows are retained but molar conversion is held until source-specific compound-vs-ion basis is resolved.",IF(D292=2977,"OBrien 1988 reports total dissolved Cu LC340 values in 10^-6 M; the numeric Analysis_Point is therefore treated directly as umol Cu/L.",IF(AND(D292=6825,L292="Formulation"),"Nipper 1993 source check showed the reported concentrations are nominal Zn; formulation coding does not trigger compound-mass conversion.",IF(Y292="PRIMARY_RECOVERED","Source-recovered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92" s="2" t="str">
        <x:f t="shared" si="33"/>
        <x:v>CORE</x:v>
      </x:c>
      <x:c r="AI292" s="2" t="str">
        <x:f t="shared" si="34"/>
        <x:v>YES</x:v>
      </x:c>
    </x:row>
    <x:row r="293" ht="67.5">
      <x:c r="A293" s="2">
        <x:v>2257</x:v>
      </x:c>
      <x:c r="B293" s="2">
        <x:v>1295986</x:v>
      </x:c>
      <x:c r="C293" s="2">
        <x:v>751250</x:v>
      </x:c>
      <x:c r="D293" s="2">
        <x:v>111315</x:v>
      </x:c>
      <x:c r="E293" s="2" t="s">
        <x:v>16</x:v>
      </x:c>
      <x:c r="F293" s="2" t="s">
        <x:v>279</x:v>
      </x:c>
      <x:c r="G293" s="2" t="s">
        <x:v>106</x:v>
      </x:c>
      <x:c r="H293" s="2" t="s">
        <x:v>107</x:v>
      </x:c>
      <x:c r="I293" s="2" t="s">
        <x:v>108</x:v>
      </x:c>
      <x:c r="J293" s="2">
        <x:v>4</x:v>
      </x:c>
      <x:c r="K293" s="2" t="s">
        <x:v>126</x:v>
      </x:c>
      <x:c r="L293" s="2" t="s">
        <x:v>110</x:v>
      </x:c>
      <x:c r="M293" s="2"/>
      <x:c r="N293" s="2">
        <x:v>25.2</x:v>
      </x:c>
      <x:c r="O293" s="2">
        <x:v>17.809999999999999</x:v>
      </x:c>
      <x:c r="P293" s="2">
        <x:v>35.549999999999997</x:v>
      </x:c>
      <x:c r="Q293" s="2" t="s">
        <x:v>121</x:v>
      </x:c>
      <x:c r="R293" s="2">
        <x:v>25.2</x:v>
      </x:c>
      <x:c r="S293" s="2" t="s">
        <x:v>121</x:v>
      </x:c>
      <x:c r="T293" s="2">
        <x:v>20</x:v>
      </x:c>
      <x:c r="U293" s="2">
        <x:v>32</x:v>
      </x:c>
      <x:c r="V293" s="2">
        <x:v>7.9</x:v>
      </x:c>
      <x:c r="W293" s="2"/>
      <x:c r="X293" s="2" t="s">
        <x:v>204</x:v>
      </x:c>
      <x:c r="Y293" s="2" t="s">
        <x:v>113</x:v>
      </x:c>
      <x:c r="Z293" s="2" t="s">
        <x:v>114</x:v>
      </x:c>
      <x:c r="AA293" s="11" t="n">
        <x:f>IFERROR(VLOOKUP(E293,Harmonization_Rules!$A$2:$B$9,2,FALSE),"")</x:f>
        <x:v>112.414</x:v>
      </x:c>
      <x:c r="AB293" s="2" t="str">
        <x:f t="shared" si="28"/>
        <x:v>ECOTOX_STANDARDIZED_TARGET_METAL</x:v>
      </x:c>
      <x:c r="AC293" s="12">
        <x:f t="shared" si="29"/>
        <x:v>25.2</x:v>
      </x:c>
      <x:c r="AD293" s="12">
        <x:f t="shared" si="30"/>
        <x:v>224.17136655576707</x:v>
      </x:c>
      <x:c r="AE293" s="12">
        <x:f t="shared" si="31"/>
        <x:v>5.4124107886361319</x:v>
      </x:c>
      <x:c r="AF293" s="2" t="str">
        <x:f t="shared" si="32"/>
        <x:v>HARMONIZED</x:v>
      </x:c>
      <x:c r="AG293" s="2" t="str">
        <x:f>IF(E293="Cr","Cr(VI) chromate/dichromate rows are retained but molar conversion is held until source-specific compound-vs-ion basis is resolved.",IF(D293=2977,"OBrien 1988 reports total dissolved Cu LC341 values in 10^-6 M; the numeric Analysis_Point is therefore treated directly as umol Cu/L.",IF(AND(D293=6825,L293="Formulation"),"Nipper 1993 source check showed the reported concentrations are nominal Zn; formulation coding does not trigger compound-mass conversion.",IF(Y293="PRIMARY_RECOVERED","Source-recovered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93" s="2" t="str">
        <x:f t="shared" si="33"/>
        <x:v>CORE</x:v>
      </x:c>
      <x:c r="AI293" s="2" t="str">
        <x:f t="shared" si="34"/>
        <x:v>YES</x:v>
      </x:c>
    </x:row>
    <x:row r="294" ht="40.5">
      <x:c r="A294" s="2">
        <x:v>2260</x:v>
      </x:c>
      <x:c r="B294" s="2">
        <x:v>1191626</x:v>
      </x:c>
      <x:c r="C294" s="2">
        <x:v>166348</x:v>
      </x:c>
      <x:c r="D294" s="2">
        <x:v>17219</x:v>
      </x:c>
      <x:c r="E294" s="2" t="s">
        <x:v>16</x:v>
      </x:c>
      <x:c r="F294" s="2" t="s">
        <x:v>279</x:v>
      </x:c>
      <x:c r="G294" s="2" t="s">
        <x:v>150</x:v>
      </x:c>
      <x:c r="H294" s="2" t="s">
        <x:v>135</x:v>
      </x:c>
      <x:c r="I294" s="2" t="s">
        <x:v>209</x:v>
      </x:c>
      <x:c r="J294" s="2">
        <x:v>4</x:v>
      </x:c>
      <x:c r="K294" s="2" t="s">
        <x:v>117</x:v>
      </x:c>
      <x:c r="L294" s="2" t="s">
        <x:v>110</x:v>
      </x:c>
      <x:c r="M294" s="2"/>
      <x:c r="N294" s="2">
        <x:v>51.6</x:v>
      </x:c>
      <x:c r="O294" s="2">
        <x:v>36.200000000000003</x:v>
      </x:c>
      <x:c r="P294" s="2">
        <x:v>73.5</x:v>
      </x:c>
      <x:c r="Q294" s="2" t="s">
        <x:v>111</x:v>
      </x:c>
      <x:c r="R294" s="2">
        <x:v>51.6</x:v>
      </x:c>
      <x:c r="S294" s="2" t="s">
        <x:v>111</x:v>
      </x:c>
      <x:c r="T294" s="2"/>
      <x:c r="U294" s="2">
        <x:v>5</x:v>
      </x:c>
      <x:c r="V294" s="2"/>
      <x:c r="W294" s="2"/>
      <x:c r="X294" s="2" t="s">
        <x:v>287</x:v>
      </x:c>
      <x:c r="Y294" s="2" t="s">
        <x:v>113</x:v>
      </x:c>
      <x:c r="Z294" s="2" t="s">
        <x:v>114</x:v>
      </x:c>
      <x:c r="AA294" s="11" t="n">
        <x:f>IFERROR(VLOOKUP(E294,Harmonization_Rules!$A$2:$B$9,2,FALSE),"")</x:f>
        <x:v>112.414</x:v>
      </x:c>
      <x:c r="AB294" s="2" t="str">
        <x:f t="shared" si="28"/>
        <x:v>ECOTOX_STANDARDIZED_TARGET_METAL</x:v>
      </x:c>
      <x:c r="AC294" s="12">
        <x:f t="shared" si="29"/>
        <x:v>5.16E-2</x:v>
      </x:c>
      <x:c r="AD294" s="12">
        <x:f t="shared" si="30"/>
        <x:v>0.45901756009038019</x:v>
      </x:c>
      <x:c r="AE294" s="12">
        <x:f t="shared" si="31"/>
        <x:v>-0.7786668123758661</x:v>
      </x:c>
      <x:c r="AF294" s="2" t="str">
        <x:f t="shared" si="32"/>
        <x:v>HARMONIZED</x:v>
      </x:c>
      <x:c r="AG294" s="2" t="str">
        <x:f>IF(E294="Cr","Cr(VI) chromate/dichromate rows are retained but molar conversion is held until source-specific compound-vs-ion basis is resolved.",IF(D294=2977,"OBrien 1988 reports total dissolved Cu LC342 values in 10^-6 M; the numeric Analysis_Point is therefore treated directly as umol Cu/L.",IF(AND(D294=6825,L294="Formulation"),"Nipper 1993 source check showed the reported concentrations are nominal Zn; formulation coding does not trigger compound-mass conversion.",IF(Y294="PRIMARY_RECOVERED","Source-recovered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94" s="2" t="str">
        <x:f t="shared" si="33"/>
        <x:v>CORE</x:v>
      </x:c>
      <x:c r="AI294" s="2" t="str">
        <x:f t="shared" si="34"/>
        <x:v>YES</x:v>
      </x:c>
    </x:row>
    <x:row r="295" ht="40.5">
      <x:c r="A295" s="2">
        <x:v>2271</x:v>
      </x:c>
      <x:c r="B295" s="2">
        <x:v>2146950</x:v>
      </x:c>
      <x:c r="C295" s="2">
        <x:v>2279333</x:v>
      </x:c>
      <x:c r="D295" s="2">
        <x:v>166028</x:v>
      </x:c>
      <x:c r="E295" s="2" t="s">
        <x:v>39</x:v>
      </x:c>
      <x:c r="F295" s="2" t="s">
        <x:v>288</x:v>
      </x:c>
      <x:c r="G295" s="2" t="s">
        <x:v>182</x:v>
      </x:c>
      <x:c r="H295" s="2" t="s">
        <x:v>107</x:v>
      </x:c>
      <x:c r="I295" s="2" t="s">
        <x:v>125</x:v>
      </x:c>
      <x:c r="J295" s="2">
        <x:v>2</x:v>
      </x:c>
      <x:c r="K295" s="2" t="s">
        <x:v>117</x:v>
      </x:c>
      <x:c r="L295" s="2" t="s">
        <x:v>110</x:v>
      </x:c>
      <x:c r="M295" s="2"/>
      <x:c r="N295" s="2">
        <x:v>9.5000000000000001E-2</x:v>
      </x:c>
      <x:c r="O295" s="2"/>
      <x:c r="P295" s="2"/>
      <x:c r="Q295" s="2" t="s">
        <x:v>121</x:v>
      </x:c>
      <x:c r="R295" s="2">
        <x:v>9.5000000000000001E-2</x:v>
      </x:c>
      <x:c r="S295" s="2" t="s">
        <x:v>121</x:v>
      </x:c>
      <x:c r="T295" s="2">
        <x:v>20</x:v>
      </x:c>
      <x:c r="U295" s="2">
        <x:v>38</x:v>
      </x:c>
      <x:c r="V295" s="2">
        <x:v>8</x:v>
      </x:c>
      <x:c r="W295" s="2"/>
      <x:c r="X295" s="2" t="s">
        <x:v>236</x:v>
      </x:c>
      <x:c r="Y295" s="2" t="s">
        <x:v>113</x:v>
      </x:c>
      <x:c r="Z295" s="2" t="s">
        <x:v>114</x:v>
      </x:c>
      <x:c r="AA295" s="11" t="n">
        <x:f>IFERROR(VLOOKUP(E295,Harmonization_Rules!$A$2:$B$9,2,FALSE),"")</x:f>
        <x:v>200.592</x:v>
      </x:c>
      <x:c r="AB295" s="2" t="str">
        <x:f t="shared" si="28"/>
        <x:v>ECOTOX_STANDARDIZED_TARGET_METAL</x:v>
      </x:c>
      <x:c r="AC295" s="12">
        <x:f t="shared" si="29"/>
        <x:v>9.5000000000000001E-2</x:v>
      </x:c>
      <x:c r="AD295" s="12">
        <x:f t="shared" si="30"/>
        <x:v>0.47359814947754642</x:v>
      </x:c>
      <x:c r="AE295" s="12">
        <x:f t="shared" si="31"/>
        <x:v>-0.74739610277312851</x:v>
      </x:c>
      <x:c r="AF295" s="2" t="str">
        <x:f t="shared" si="32"/>
        <x:v>HARMONIZED</x:v>
      </x:c>
      <x:c r="AG295" s="2" t="str">
        <x:f>IF(E295="Cr","Cr(VI) chromate/dichromate rows are retained but molar conversion is held until source-specific compound-vs-ion basis is resolved.",IF(D295=2977,"OBrien 1988 reports total dissolved Cu LC343 values in 10^-6 M; the numeric Analysis_Point is therefore treated directly as umol Cu/L.",IF(AND(D295=6825,L295="Formulation"),"Nipper 1993 source check showed the reported concentrations are nominal Zn; formulation coding does not trigger compound-mass conversion.",IF(Y295="PRIMARY_RECOVERED","Source-recovered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95" s="2" t="str">
        <x:f t="shared" si="33"/>
        <x:v>EXPLORATORY</x:v>
      </x:c>
      <x:c r="AI295" s="2" t="str">
        <x:f t="shared" si="34"/>
        <x:v>NO</x:v>
      </x:c>
    </x:row>
    <x:row r="296" ht="40.5">
      <x:c r="A296" s="2">
        <x:v>2275</x:v>
      </x:c>
      <x:c r="B296" s="2">
        <x:v>2146953</x:v>
      </x:c>
      <x:c r="C296" s="2">
        <x:v>2279336</x:v>
      </x:c>
      <x:c r="D296" s="2">
        <x:v>166028</x:v>
      </x:c>
      <x:c r="E296" s="2" t="s">
        <x:v>16</x:v>
      </x:c>
      <x:c r="F296" s="2" t="s">
        <x:v>289</x:v>
      </x:c>
      <x:c r="G296" s="2" t="s">
        <x:v>182</x:v>
      </x:c>
      <x:c r="H296" s="2" t="s">
        <x:v>107</x:v>
      </x:c>
      <x:c r="I296" s="2" t="s">
        <x:v>125</x:v>
      </x:c>
      <x:c r="J296" s="2">
        <x:v>2</x:v>
      </x:c>
      <x:c r="K296" s="2" t="s">
        <x:v>117</x:v>
      </x:c>
      <x:c r="L296" s="2" t="s">
        <x:v>110</x:v>
      </x:c>
      <x:c r="M296" s="2"/>
      <x:c r="N296" s="2">
        <x:v>2.12</x:v>
      </x:c>
      <x:c r="O296" s="2"/>
      <x:c r="P296" s="2"/>
      <x:c r="Q296" s="2" t="s">
        <x:v>121</x:v>
      </x:c>
      <x:c r="R296" s="2">
        <x:v>2.12</x:v>
      </x:c>
      <x:c r="S296" s="2" t="s">
        <x:v>121</x:v>
      </x:c>
      <x:c r="T296" s="2">
        <x:v>20</x:v>
      </x:c>
      <x:c r="U296" s="2">
        <x:v>38</x:v>
      </x:c>
      <x:c r="V296" s="2">
        <x:v>8</x:v>
      </x:c>
      <x:c r="W296" s="2"/>
      <x:c r="X296" s="2" t="s">
        <x:v>236</x:v>
      </x:c>
      <x:c r="Y296" s="2" t="s">
        <x:v>113</x:v>
      </x:c>
      <x:c r="Z296" s="2" t="s">
        <x:v>114</x:v>
      </x:c>
      <x:c r="AA296" s="11" t="n">
        <x:f>IFERROR(VLOOKUP(E296,Harmonization_Rules!$A$2:$B$9,2,FALSE),"")</x:f>
        <x:v>112.414</x:v>
      </x:c>
      <x:c r="AB296" s="2" t="str">
        <x:f t="shared" si="28"/>
        <x:v>ECOTOX_STANDARDIZED_TARGET_METAL</x:v>
      </x:c>
      <x:c r="AC296" s="12">
        <x:f t="shared" si="29"/>
        <x:v>2.12</x:v>
      </x:c>
      <x:c r="AD296" s="12">
        <x:f t="shared" si="30"/>
        <x:v>18.858860995961358</x:v>
      </x:c>
      <x:c r="AE296" s="12">
        <x:f t="shared" si="31"/>
        <x:v>2.9369828828026749</x:v>
      </x:c>
      <x:c r="AF296" s="2" t="str">
        <x:f t="shared" si="32"/>
        <x:v>HARMONIZED</x:v>
      </x:c>
      <x:c r="AG296" s="2" t="str">
        <x:f>IF(E296="Cr","Cr(VI) chromate/dichromate rows are retained but molar conversion is held until source-specific compound-vs-ion basis is resolved.",IF(D296=2977,"OBrien 1988 reports total dissolved Cu LC344 values in 10^-6 M; the numeric Analysis_Point is therefore treated directly as umol Cu/L.",IF(AND(D296=6825,L296="Formulation"),"Nipper 1993 source check showed the reported concentrations are nominal Zn; formulation coding does not trigger compound-mass conversion.",IF(Y296="PRIMARY_RECOVERED","Source-recovered point estimate retained, then converted on the target-metal scale.","ECOTOX standardized concentration used; for metal salts ECOTOX generally expresses concentration as active ionic form."))))</x:f>
        <x:v>ECOTOX standardized concentration used; for metal salts ECOTOX generally expresses concentration as active ionic form.</x:v>
      </x:c>
      <x:c r="AH296" s="2" t="str">
        <x:f t="shared" si="33"/>
        <x:v>CORE</x:v>
      </x:c>
      <x:c r="AI296" s="2" t="str">
        <x:f t="shared" si="34"/>
        <x:v>YES</x:v>
      </x:c>
    </x:row>
  </x:sheetData>
  <x:conditionalFormatting sqref="AF2:AF296">
    <x:cfRule type="expression" dxfId="2" priority="1">
      <x:formula>AF2="PENDING_CR_SOURCE_BASIS"</x:formula>
    </x:cfRule>
    <x:cfRule type="expression" dxfId="1" priority="2">
      <x:formula>AF2="HARMONIZED"</x:formula>
    </x:cfRule>
  </x:conditionalFormatting>
  <x:conditionalFormatting sqref="AI2:AI296">
    <x:cfRule type="expression" dxfId="0" priority="3">
      <x:formula>AI2="YES"</x:formula>
    </x:cfRule>
  </x:conditionalFormatting>
  <x:pageMargins left="0.7" right="0.7" top="0.75" bottom="0.75" header="0.3" footer="0.3"/>
</x:worksheet>
</file>

<file path=xl/worksheets/sheet10.xml><?xml version="1.0" encoding="utf-8"?>
<x:worksheet xmlns:x="http://schemas.openxmlformats.org/spreadsheetml/2006/main">
  <x:sheetFormatPr defaultRowHeight="13.5"/>
  <x:cols>
    <x:col min="1" max="1" width="14" customWidth="1"/>
    <x:col min="2" max="2" width="18" customWidth="1"/>
    <x:col min="3" max="3" width="38" customWidth="1"/>
    <x:col min="4" max="4" width="24" customWidth="1"/>
    <x:col min="5" max="5" width="44" customWidth="1"/>
    <x:col min="7" max="7" width="28" customWidth="1"/>
    <x:col min="8" max="8" width="70" customWidth="1"/>
  </x:cols>
  <x:sheetData>
    <x:row r="1" ht="27.75">
      <x:c r="A1" s="10" t="s">
        <x:v>4</x:v>
      </x:c>
      <x:c r="B1" s="10" t="s">
        <x:v>423</x:v>
      </x:c>
      <x:c r="C1" s="10" t="s">
        <x:v>424</x:v>
      </x:c>
      <x:c r="D1" s="10" t="s">
        <x:v>425</x:v>
      </x:c>
      <x:c r="E1" s="10" t="s">
        <x:v>426</x:v>
      </x:c>
      <x:c r="F1" s="2"/>
      <x:c r="G1" s="10" t="s">
        <x:v>427</x:v>
      </x:c>
      <x:c r="H1" s="10" t="s">
        <x:v>428</x:v>
      </x:c>
    </x:row>
    <x:row r="2" ht="40.5">
      <x:c r="A2" s="2" t="s">
        <x:v>10</x:v>
      </x:c>
      <x:c r="B2" s="2">
        <x:v>63.545999999999999</x:v>
      </x:c>
      <x:c r="C2" s="2" t="s">
        <x:v>429</x:v>
      </x:c>
      <x:c r="D2" s="2" t="s">
        <x:v>430</x:v>
      </x:c>
      <x:c r="E2" s="2" t="s">
        <x:v>431</x:v>
      </x:c>
      <x:c r="F2" s="2"/>
      <x:c r="G2" s="2" t="s">
        <x:v>432</x:v>
      </x:c>
      <x:c r="H2" s="2" t="s">
        <x:v>433</x:v>
      </x:c>
    </x:row>
    <x:row r="3" ht="27">
      <x:c r="A3" s="2" t="s">
        <x:v>16</x:v>
      </x:c>
      <x:c r="B3" s="2">
        <x:v>112.414</x:v>
      </x:c>
      <x:c r="C3" s="2" t="s">
        <x:v>434</x:v>
      </x:c>
      <x:c r="D3" s="2" t="s">
        <x:v>430</x:v>
      </x:c>
      <x:c r="E3" s="2" t="s">
        <x:v>435</x:v>
      </x:c>
      <x:c r="F3" s="2"/>
      <x:c r="G3" s="2" t="s">
        <x:v>436</x:v>
      </x:c>
      <x:c r="H3" s="2" t="s">
        <x:v>437</x:v>
      </x:c>
    </x:row>
    <x:row r="4" ht="40.5">
      <x:c r="A4" s="2" t="s">
        <x:v>21</x:v>
      </x:c>
      <x:c r="B4" s="2">
        <x:v>65.38</x:v>
      </x:c>
      <x:c r="C4" s="2" t="s">
        <x:v>438</x:v>
      </x:c>
      <x:c r="D4" s="2" t="s">
        <x:v>430</x:v>
      </x:c>
      <x:c r="E4" s="2" t="s">
        <x:v>439</x:v>
      </x:c>
      <x:c r="F4" s="2"/>
      <x:c r="G4" s="2" t="s">
        <x:v>440</x:v>
      </x:c>
      <x:c r="H4" s="2" t="s">
        <x:v>441</x:v>
      </x:c>
    </x:row>
    <x:row r="5" ht="27">
      <x:c r="A5" s="2" t="s">
        <x:v>27</x:v>
      </x:c>
      <x:c r="B5" s="2">
        <x:v>107.8682</x:v>
      </x:c>
      <x:c r="C5" s="2" t="s">
        <x:v>442</x:v>
      </x:c>
      <x:c r="D5" s="2" t="s">
        <x:v>430</x:v>
      </x:c>
      <x:c r="E5" s="2" t="s">
        <x:v>435</x:v>
      </x:c>
      <x:c r="F5" s="2"/>
      <x:c r="G5" s="2" t="s">
        <x:v>443</x:v>
      </x:c>
      <x:c r="H5" s="2" t="s">
        <x:v>444</x:v>
      </x:c>
    </x:row>
    <x:row r="6" ht="40.5">
      <x:c r="A6" s="2" t="s">
        <x:v>163</x:v>
      </x:c>
      <x:c r="B6" s="2">
        <x:v>51.996099999999998</x:v>
      </x:c>
      <x:c r="C6" s="2" t="s">
        <x:v>445</x:v>
      </x:c>
      <x:c r="D6" s="2" t="s">
        <x:v>446</x:v>
      </x:c>
      <x:c r="E6" s="2" t="s">
        <x:v>447</x:v>
      </x:c>
      <x:c r="F6" s="2"/>
      <x:c r="G6" s="2" t="s">
        <x:v>448</x:v>
      </x:c>
      <x:c r="H6" s="2" t="s">
        <x:v>449</x:v>
      </x:c>
    </x:row>
    <x:row r="7" ht="27">
      <x:c r="A7" s="2" t="s">
        <x:v>39</x:v>
      </x:c>
      <x:c r="B7" s="2">
        <x:v>200.59200000000001</x:v>
      </x:c>
      <x:c r="C7" s="2" t="s">
        <x:v>434</x:v>
      </x:c>
      <x:c r="D7" s="2" t="s">
        <x:v>430</x:v>
      </x:c>
      <x:c r="E7" s="2" t="s">
        <x:v>435</x:v>
      </x:c>
      <x:c r="F7" s="2"/>
      <x:c r="G7" s="2"/>
      <x:c r="H7" s="2"/>
    </x:row>
    <x:row r="8" ht="40.5">
      <x:c r="A8" s="2" t="s">
        <x:v>45</x:v>
      </x:c>
      <x:c r="B8" s="2">
        <x:v>58.693399999999997</x:v>
      </x:c>
      <x:c r="C8" s="2" t="s">
        <x:v>434</x:v>
      </x:c>
      <x:c r="D8" s="2" t="s">
        <x:v>430</x:v>
      </x:c>
      <x:c r="E8" s="2" t="s">
        <x:v>435</x:v>
      </x:c>
      <x:c r="F8" s="2"/>
      <x:c r="G8" s="2" t="s">
        <x:v>450</x:v>
      </x:c>
      <x:c r="H8" s="2" t="s">
        <x:v>451</x:v>
      </x:c>
    </x:row>
    <x:row r="9" ht="27">
      <x:c r="A9" s="2" t="s">
        <x:v>51</x:v>
      </x:c>
      <x:c r="B9" s="2">
        <x:v>207.2</x:v>
      </x:c>
      <x:c r="C9" s="2" t="s">
        <x:v>434</x:v>
      </x:c>
      <x:c r="D9" s="2" t="s">
        <x:v>430</x:v>
      </x:c>
      <x:c r="E9" s="2" t="s">
        <x:v>435</x:v>
      </x:c>
      <x:c r="F9" s="2"/>
      <x:c r="G9" s="2" t="s">
        <x:v>452</x:v>
      </x:c>
      <x:c r="H9" s="2" t="s">
        <x:v>453</x:v>
      </x:c>
    </x:row>
    <x:row r="10" ht="27">
      <x:c r="A10" s="2"/>
      <x:c r="B10" s="2"/>
      <x:c r="C10" s="2"/>
      <x:c r="D10" s="2"/>
      <x:c r="E10" s="2"/>
      <x:c r="F10" s="2"/>
      <x:c r="G10" s="2" t="s">
        <x:v>454</x:v>
      </x:c>
      <x:c r="H10" s="2" t="s">
        <x:v>455</x:v>
      </x:c>
    </x:row>
    <x:row r="11">
      <x:c r="A11" s="2"/>
      <x:c r="B11" s="2"/>
      <x:c r="C11" s="2"/>
      <x:c r="D11" s="2"/>
      <x:c r="E11" s="2"/>
      <x:c r="F11" s="2"/>
      <x:c r="G11" s="2"/>
      <x:c r="H11" s="2"/>
    </x:row>
    <x:row r="12" ht="27.75">
      <x:c r="A12" s="10" t="s">
        <x:v>456</x:v>
      </x:c>
      <x:c r="B12" s="10" t="s">
        <x:v>3</x:v>
      </x:c>
      <x:c r="C12" s="10" t="s">
        <x:v>457</x:v>
      </x:c>
      <x:c r="D12" s="2"/>
      <x:c r="E12" s="2"/>
      <x:c r="F12" s="2"/>
      <x:c r="G12" s="2"/>
      <x:c r="H12" s="2"/>
    </x:row>
    <x:row r="13">
      <x:c r="A13" s="2" t="s">
        <x:v>111</x:v>
      </x:c>
      <x:c r="B13" s="2" t="s">
        <x:v>458</x:v>
      </x:c>
      <x:c r="C13" s="2" t="s">
        <x:v>459</x:v>
      </x:c>
      <x:c r="D13" s="2"/>
      <x:c r="E13" s="2"/>
      <x:c r="F13" s="2"/>
      <x:c r="G13" s="2"/>
      <x:c r="H13" s="2"/>
    </x:row>
    <x:row r="14" ht="27">
      <x:c r="A14" s="2" t="s">
        <x:v>195</x:v>
      </x:c>
      <x:c r="B14" s="2" t="s">
        <x:v>460</x:v>
      </x:c>
      <x:c r="C14" s="2" t="s">
        <x:v>459</x:v>
      </x:c>
      <x:c r="D14" s="2"/>
      <x:c r="E14" s="2"/>
      <x:c r="F14" s="2"/>
      <x:c r="G14" s="2"/>
      <x:c r="H14" s="2"/>
    </x:row>
    <x:row r="15">
      <x:c r="A15" s="2" t="s">
        <x:v>121</x:v>
      </x:c>
      <x:c r="B15" s="2" t="s">
        <x:v>458</x:v>
      </x:c>
      <x:c r="C15" s="2" t="s">
        <x:v>461</x:v>
      </x:c>
      <x:c r="D15" s="2"/>
      <x:c r="E15" s="2"/>
      <x:c r="F15" s="2"/>
      <x:c r="G15" s="2"/>
      <x:c r="H15" s="2"/>
    </x:row>
    <x:row r="16" ht="27">
      <x:c r="A16" s="2" t="s">
        <x:v>207</x:v>
      </x:c>
      <x:c r="B16" s="2" t="s">
        <x:v>460</x:v>
      </x:c>
      <x:c r="C16" s="2" t="s">
        <x:v>461</x:v>
      </x:c>
      <x:c r="D16" s="2"/>
      <x:c r="E16" s="2"/>
      <x:c r="F16" s="2"/>
      <x:c r="G16" s="2"/>
      <x:c r="H16" s="2"/>
    </x:row>
    <x:row r="17" ht="27">
      <x:c r="A17" s="2" t="s">
        <x:v>154</x:v>
      </x:c>
      <x:c r="B17" s="2" t="s">
        <x:v>462</x:v>
      </x:c>
      <x:c r="C17" s="2" t="s">
        <x:v>463</x:v>
      </x:c>
      <x:c r="D17" s="2"/>
      <x:c r="E17" s="2"/>
      <x:c r="F17" s="2"/>
      <x:c r="G17" s="2"/>
      <x:c r="H17" s="2"/>
    </x:row>
    <x:row r="18" ht="40.5">
      <x:c r="A18" s="2" t="s">
        <x:v>464</x:v>
      </x:c>
      <x:c r="B18" s="2" t="s">
        <x:v>465</x:v>
      </x:c>
      <x:c r="C18" s="2" t="s">
        <x:v>466</x:v>
      </x:c>
      <x:c r="D18" s="2"/>
      <x:c r="E18" s="2"/>
      <x:c r="F18" s="2"/>
      <x:c r="G18" s="2"/>
      <x:c r="H18" s="2"/>
    </x:row>
    <x:row r="19">
      <x:c r="A19" s="2"/>
      <x:c r="B19" s="2"/>
      <x:c r="C19" s="2"/>
      <x:c r="D19" s="2"/>
      <x:c r="E19" s="2"/>
      <x:c r="F19" s="2"/>
      <x:c r="G19" s="2"/>
      <x:c r="H19" s="2"/>
    </x:row>
    <x:row r="20">
      <x:c r="A20" s="2"/>
      <x:c r="B20" s="2"/>
      <x:c r="C20" s="2"/>
      <x:c r="D20" s="2"/>
      <x:c r="E20" s="2"/>
      <x:c r="F20" s="2"/>
      <x:c r="G20" s="2"/>
      <x:c r="H20" s="2"/>
    </x:row>
  </x:sheetData>
  <x:pageMargins left="0.7" right="0.7" top="0.75" bottom="0.75" header="0.3" footer="0.3"/>
</x:worksheet>
</file>

<file path=xl/worksheets/sheet11.xml><?xml version="1.0" encoding="utf-8"?>
<x:worksheet xmlns:x="http://schemas.openxmlformats.org/spreadsheetml/2006/main">
  <x:sheetFormatPr defaultRowHeight="13.5"/>
  <x:cols>
    <x:col min="1" max="1" width="26" customWidth="1"/>
    <x:col min="2" max="2" width="14" customWidth="1"/>
    <x:col min="3" max="3" width="44" customWidth="1"/>
    <x:col min="4" max="4" width="34" customWidth="1"/>
    <x:col min="5" max="5" width="20" customWidth="1"/>
    <x:col min="6" max="6" width="18" customWidth="1"/>
    <x:col min="7" max="7" width="48" customWidth="1"/>
  </x:cols>
  <x:sheetData>
    <x:row r="1" ht="13.899999618530273">
      <x:c r="A1" s="10" t="s">
        <x:v>1</x:v>
      </x:c>
      <x:c r="B1" s="10" t="s">
        <x:v>2</x:v>
      </x:c>
      <x:c r="C1" s="10" t="s">
        <x:v>467</x:v>
      </x:c>
      <x:c r="D1" s="10" t="s">
        <x:v>468</x:v>
      </x:c>
      <x:c r="E1" s="2"/>
      <x:c r="F1" s="2"/>
      <x:c r="G1" s="2"/>
    </x:row>
    <x:row r="2">
      <x:c r="A2" s="2" t="s">
        <x:v>469</x:v>
      </x:c>
      <x:c r="B2" s="2" t="n">
        <x:f>COUNTA(Harmonized_295!A2:A296)</x:f>
        <x:v>295</x:v>
      </x:c>
      <x:c r="C2" s="2" t="s">
        <x:v>470</x:v>
      </x:c>
      <x:c r="D2" s="2" t="s">
        <x:v>471</x:v>
      </x:c>
      <x:c r="E2" s="2"/>
      <x:c r="F2" s="2"/>
      <x:c r="G2" s="2"/>
    </x:row>
    <x:row r="3">
      <x:c r="A3" s="2" t="s">
        <x:v>472</x:v>
      </x:c>
      <x:c r="B3" s="2" t="n">
        <x:f>COUNTIF(Harmonized_295!AF2:AF296,"HARMONIZED")</x:f>
        <x:v>246</x:v>
      </x:c>
      <x:c r="C3" s="2" t="s">
        <x:v>473</x:v>
      </x:c>
      <x:c r="D3" s="2" t="s">
        <x:v>474</x:v>
      </x:c>
      <x:c r="E3" s="2"/>
      <x:c r="F3" s="2"/>
      <x:c r="G3" s="2"/>
    </x:row>
    <x:row r="4" ht="27">
      <x:c r="A4" s="2" t="s">
        <x:v>475</x:v>
      </x:c>
      <x:c r="B4" s="2" t="n">
        <x:f>COUNTIF(Harmonized_295!AF2:AF296,"PENDING_CR_SOURCE_BASIS")</x:f>
        <x:v>49</x:v>
      </x:c>
      <x:c r="C4" s="2" t="s">
        <x:v>476</x:v>
      </x:c>
      <x:c r="D4" s="2" t="s">
        <x:v>477</x:v>
      </x:c>
      <x:c r="E4" s="2"/>
      <x:c r="F4" s="2"/>
      <x:c r="G4" s="2"/>
    </x:row>
    <x:row r="5">
      <x:c r="A5" s="2" t="s">
        <x:v>478</x:v>
      </x:c>
      <x:c r="B5" s="2" t="n">
        <x:f>COUNTIF(Harmonized_295!AH2:AH296,"CORE")</x:f>
        <x:v>186</x:v>
      </x:c>
      <x:c r="C5" s="2" t="s">
        <x:v>479</x:v>
      </x:c>
      <x:c r="D5" s="2" t="s">
        <x:v>480</x:v>
      </x:c>
      <x:c r="E5" s="2"/>
      <x:c r="F5" s="2"/>
      <x:c r="G5" s="2"/>
    </x:row>
    <x:row r="6">
      <x:c r="A6" s="2" t="s">
        <x:v>481</x:v>
      </x:c>
      <x:c r="B6" s="2" t="n">
        <x:f>COUNTIF(Harmonized_295!AI2:AI296,"YES")</x:f>
        <x:v>186</x:v>
      </x:c>
      <x:c r="C6" s="2" t="s">
        <x:v>482</x:v>
      </x:c>
      <x:c r="D6" s="2" t="s">
        <x:v>483</x:v>
      </x:c>
      <x:c r="E6" s="2"/>
      <x:c r="F6" s="2"/>
      <x:c r="G6" s="2"/>
    </x:row>
    <x:row r="7" ht="27">
      <x:c r="A7" s="2" t="s">
        <x:v>484</x:v>
      </x:c>
      <x:c r="B7" s="2" t="n">
        <x:f>COUNTIF(Harmonized_295!D2:D296,2977)</x:f>
        <x:v>13</x:v>
      </x:c>
      <x:c r="C7" s="2" t="s">
        <x:v>485</x:v>
      </x:c>
      <x:c r="D7" s="2" t="s">
        <x:v>486</x:v>
      </x:c>
      <x:c r="E7" s="2"/>
      <x:c r="F7" s="2"/>
      <x:c r="G7" s="2"/>
    </x:row>
    <x:row r="8">
      <x:c r="A8" s="2" t="s">
        <x:v>487</x:v>
      </x:c>
      <x:c r="B8" s="2" t="n">
        <x:f>COUNTIFS(Harmonized_295!D2:D296,6825,Harmonized_295!L2:L296,"Formulation")</x:f>
        <x:v>6</x:v>
      </x:c>
      <x:c r="C8" s="2" t="s">
        <x:v>488</x:v>
      </x:c>
      <x:c r="D8" s="2" t="s">
        <x:v>489</x:v>
      </x:c>
      <x:c r="E8" s="2"/>
      <x:c r="F8" s="2"/>
      <x:c r="G8" s="2"/>
    </x:row>
    <x:row r="9">
      <x:c r="A9" s="2" t="s">
        <x:v>490</x:v>
      </x:c>
      <x:c r="B9" s="2" t="n">
        <x:f>COUNTIF(Harmonized_295!Y2:Y296,"PRIMARY_RECOVERED")</x:f>
        <x:v>11</x:v>
      </x:c>
      <x:c r="C9" s="2" t="s">
        <x:v>491</x:v>
      </x:c>
      <x:c r="D9" s="2" t="s">
        <x:v>492</x:v>
      </x:c>
      <x:c r="E9" s="2"/>
      <x:c r="F9" s="2"/>
      <x:c r="G9" s="2"/>
    </x:row>
    <x:row r="10">
      <x:c r="A10" s="2"/>
      <x:c r="B10" s="2"/>
      <x:c r="C10" s="2"/>
      <x:c r="D10" s="2"/>
      <x:c r="E10" s="2"/>
      <x:c r="F10" s="2"/>
      <x:c r="G10" s="2"/>
    </x:row>
    <x:row r="11">
      <x:c r="A11" s="2"/>
      <x:c r="B11" s="2"/>
      <x:c r="C11" s="2"/>
      <x:c r="D11" s="2"/>
      <x:c r="E11" s="2"/>
      <x:c r="F11" s="2"/>
      <x:c r="G11" s="2"/>
    </x:row>
    <x:row r="12" ht="27.75">
      <x:c r="A12" s="10" t="s">
        <x:v>4</x:v>
      </x:c>
      <x:c r="B12" s="10" t="s">
        <x:v>493</x:v>
      </x:c>
      <x:c r="C12" s="10" t="s">
        <x:v>494</x:v>
      </x:c>
      <x:c r="D12" s="10" t="s">
        <x:v>304</x:v>
      </x:c>
      <x:c r="E12" s="10" t="s">
        <x:v>495</x:v>
      </x:c>
      <x:c r="F12" s="10" t="s">
        <x:v>496</x:v>
      </x:c>
      <x:c r="G12" s="10" t="s">
        <x:v>497</x:v>
      </x:c>
    </x:row>
    <x:row r="13">
      <x:c r="A13" s="2" t="s">
        <x:v>10</x:v>
      </x:c>
      <x:c r="B13" s="2" t="n">
        <x:f>COUNTIF(Harmonized_295!E$2:E$296,A13)</x:f>
        <x:v>104</x:v>
      </x:c>
      <x:c r="C13" s="2" t="n">
        <x:f>COUNTIFS(Harmonized_295!E$2:E$296,A13,Harmonized_295!AF$2:AF$296,"HARMONIZED")</x:f>
        <x:v>104</x:v>
      </x:c>
      <x:c r="D13" s="2" t="n">
        <x:f>COUNTIFS(Harmonized_295!E$2:E$296,A13,Harmonized_295!AF$2:AF$296,"PENDING_CR_SOURCE_BASIS")</x:f>
        <x:v>0</x:v>
      </x:c>
      <x:c r="E13" s="13" t="n">
        <x:f>IFERROR(AVERAGEIF(Harmonized_295!E$2:E$296,A13,Harmonized_295!AE$2:AE$296),"")</x:f>
        <x:v>1.2314607924893026</x:v>
      </x:c>
      <x:c r="F13" s="2" t="s">
        <x:v>11</x:v>
      </x:c>
      <x:c r="G13" s="2" t="s">
        <x:v>498</x:v>
      </x:c>
    </x:row>
    <x:row r="14">
      <x:c r="A14" s="2" t="s">
        <x:v>16</x:v>
      </x:c>
      <x:c r="B14" s="2" t="n">
        <x:f>COUNTIF(Harmonized_295!E$2:E$296,A14)</x:f>
        <x:v>42</x:v>
      </x:c>
      <x:c r="C14" s="2" t="n">
        <x:f>COUNTIFS(Harmonized_295!E$2:E$296,A14,Harmonized_295!AF$2:AF$296,"HARMONIZED")</x:f>
        <x:v>42</x:v>
      </x:c>
      <x:c r="D14" s="2" t="n">
        <x:f>COUNTIFS(Harmonized_295!E$2:E$296,A14,Harmonized_295!AF$2:AF$296,"PENDING_CR_SOURCE_BASIS")</x:f>
        <x:v>0</x:v>
      </x:c>
      <x:c r="E14" s="13" t="n">
        <x:f>IFERROR(AVERAGEIF(Harmonized_295!E$2:E$296,A14,Harmonized_295!AE$2:AE$296),"")</x:f>
        <x:v>1.0014356643645896</x:v>
      </x:c>
      <x:c r="F14" s="2" t="s">
        <x:v>11</x:v>
      </x:c>
      <x:c r="G14" s="2" t="s">
        <x:v>499</x:v>
      </x:c>
    </x:row>
    <x:row r="15" ht="27">
      <x:c r="A15" s="2" t="s">
        <x:v>21</x:v>
      </x:c>
      <x:c r="B15" s="2" t="n">
        <x:f>COUNTIF(Harmonized_295!E$2:E$296,A15)</x:f>
        <x:v>40</x:v>
      </x:c>
      <x:c r="C15" s="2" t="n">
        <x:f>COUNTIFS(Harmonized_295!E$2:E$296,A15,Harmonized_295!AF$2:AF$296,"HARMONIZED")</x:f>
        <x:v>40</x:v>
      </x:c>
      <x:c r="D15" s="2" t="n">
        <x:f>COUNTIFS(Harmonized_295!E$2:E$296,A15,Harmonized_295!AF$2:AF$296,"PENDING_CR_SOURCE_BASIS")</x:f>
        <x:v>0</x:v>
      </x:c>
      <x:c r="E15" s="13" t="n">
        <x:f>IFERROR(AVERAGEIF(Harmonized_295!E$2:E$296,A15,Harmonized_295!AE$2:AE$296),"")</x:f>
        <x:v>2.294265188490768</x:v>
      </x:c>
      <x:c r="F15" s="2" t="s">
        <x:v>11</x:v>
      </x:c>
      <x:c r="G15" s="2" t="s">
        <x:v>500</x:v>
      </x:c>
    </x:row>
    <x:row r="16">
      <x:c r="A16" s="2" t="s">
        <x:v>27</x:v>
      </x:c>
      <x:c r="B16" s="2" t="n">
        <x:f>COUNTIF(Harmonized_295!E$2:E$296,A16)</x:f>
        <x:v>18</x:v>
      </x:c>
      <x:c r="C16" s="2" t="n">
        <x:f>COUNTIFS(Harmonized_295!E$2:E$296,A16,Harmonized_295!AF$2:AF$296,"HARMONIZED")</x:f>
        <x:v>18</x:v>
      </x:c>
      <x:c r="D16" s="2" t="n">
        <x:f>COUNTIFS(Harmonized_295!E$2:E$296,A16,Harmonized_295!AF$2:AF$296,"PENDING_CR_SOURCE_BASIS")</x:f>
        <x:v>0</x:v>
      </x:c>
      <x:c r="E16" s="13" t="n">
        <x:f>IFERROR(AVERAGEIF(Harmonized_295!E$2:E$296,A16,Harmonized_295!AE$2:AE$296),"")</x:f>
        <x:v>-0.9071039418372311</x:v>
      </x:c>
      <x:c r="F16" s="2" t="s">
        <x:v>501</x:v>
      </x:c>
      <x:c r="G16" s="2" t="s">
        <x:v>502</x:v>
      </x:c>
    </x:row>
    <x:row r="17">
      <x:c r="A17" s="2" t="s">
        <x:v>163</x:v>
      </x:c>
      <x:c r="B17" s="2" t="n">
        <x:f>COUNTIF(Harmonized_295!E$2:E$296,A17)</x:f>
        <x:v>49</x:v>
      </x:c>
      <x:c r="C17" s="2" t="n">
        <x:f>COUNTIFS(Harmonized_295!E$2:E$296,A17,Harmonized_295!AF$2:AF$296,"HARMONIZED")</x:f>
        <x:v>0</x:v>
      </x:c>
      <x:c r="D17" s="2" t="n">
        <x:f>COUNTIFS(Harmonized_295!E$2:E$296,A17,Harmonized_295!AF$2:AF$296,"PENDING_CR_SOURCE_BASIS")</x:f>
        <x:v>49</x:v>
      </x:c>
      <x:c r="E17" s="13" t="str">
        <x:f>IFERROR(AVERAGEIF(Harmonized_295!E$2:E$296,A17,Harmonized_295!AE$2:AE$296),"")</x:f>
      </x:c>
      <x:c r="F17" s="2" t="s">
        <x:v>501</x:v>
      </x:c>
      <x:c r="G17" s="2" t="s">
        <x:v>503</x:v>
      </x:c>
    </x:row>
    <x:row r="18">
      <x:c r="A18" s="2" t="s">
        <x:v>39</x:v>
      </x:c>
      <x:c r="B18" s="2" t="n">
        <x:f>COUNTIF(Harmonized_295!E$2:E$296,A18)</x:f>
        <x:v>25</x:v>
      </x:c>
      <x:c r="C18" s="2" t="n">
        <x:f>COUNTIFS(Harmonized_295!E$2:E$296,A18,Harmonized_295!AF$2:AF$296,"HARMONIZED")</x:f>
        <x:v>25</x:v>
      </x:c>
      <x:c r="D18" s="2" t="n">
        <x:f>COUNTIFS(Harmonized_295!E$2:E$296,A18,Harmonized_295!AF$2:AF$296,"PENDING_CR_SOURCE_BASIS")</x:f>
        <x:v>0</x:v>
      </x:c>
      <x:c r="E18" s="13" t="n">
        <x:f>IFERROR(AVERAGEIF(Harmonized_295!E$2:E$296,A18,Harmonized_295!AE$2:AE$296),"")</x:f>
        <x:v>-2.094249954609412</x:v>
      </x:c>
      <x:c r="F18" s="2" t="s">
        <x:v>40</x:v>
      </x:c>
      <x:c r="G18" s="2" t="s">
        <x:v>504</x:v>
      </x:c>
    </x:row>
    <x:row r="19">
      <x:c r="A19" s="2" t="s">
        <x:v>45</x:v>
      </x:c>
      <x:c r="B19" s="2" t="n">
        <x:f>COUNTIF(Harmonized_295!E$2:E$296,A19)</x:f>
        <x:v>13</x:v>
      </x:c>
      <x:c r="C19" s="2" t="n">
        <x:f>COUNTIFS(Harmonized_295!E$2:E$296,A19,Harmonized_295!AF$2:AF$296,"HARMONIZED")</x:f>
        <x:v>13</x:v>
      </x:c>
      <x:c r="D19" s="2" t="n">
        <x:f>COUNTIFS(Harmonized_295!E$2:E$296,A19,Harmonized_295!AF$2:AF$296,"PENDING_CR_SOURCE_BASIS")</x:f>
        <x:v>0</x:v>
      </x:c>
      <x:c r="E19" s="13" t="n">
        <x:f>IFERROR(AVERAGEIF(Harmonized_295!E$2:E$296,A19,Harmonized_295!AE$2:AE$296),"")</x:f>
        <x:v>4.288697785868181</x:v>
      </x:c>
      <x:c r="F19" s="2" t="s">
        <x:v>46</x:v>
      </x:c>
      <x:c r="G19" s="2" t="s">
        <x:v>505</x:v>
      </x:c>
    </x:row>
    <x:row r="20">
      <x:c r="A20" s="2" t="s">
        <x:v>51</x:v>
      </x:c>
      <x:c r="B20" s="2" t="n">
        <x:f>COUNTIF(Harmonized_295!E$2:E$296,A20)</x:f>
        <x:v>4</x:v>
      </x:c>
      <x:c r="C20" s="2" t="n">
        <x:f>COUNTIFS(Harmonized_295!E$2:E$296,A20,Harmonized_295!AF$2:AF$296,"HARMONIZED")</x:f>
        <x:v>4</x:v>
      </x:c>
      <x:c r="D20" s="2" t="n">
        <x:f>COUNTIFS(Harmonized_295!E$2:E$296,A20,Harmonized_295!AF$2:AF$296,"PENDING_CR_SOURCE_BASIS")</x:f>
        <x:v>0</x:v>
      </x:c>
      <x:c r="E20" s="13" t="n">
        <x:f>IFERROR(AVERAGEIF(Harmonized_295!E$2:E$296,A20,Harmonized_295!AE$2:AE$296),"")</x:f>
        <x:v>0.04775787423705424</x:v>
      </x:c>
      <x:c r="F20" s="2" t="s">
        <x:v>46</x:v>
      </x:c>
      <x:c r="G20" s="2" t="s">
        <x:v>505</x:v>
      </x:c>
    </x:row>
  </x:sheetData>
  <x:pageMargins left="0.7" right="0.7" top="0.75" bottom="0.75" header="0.3" footer="0.3"/>
</x:worksheet>
</file>

<file path=xl/worksheets/sheet12.xml><?xml version="1.0" encoding="utf-8"?>
<x:worksheet xmlns:x="http://schemas.openxmlformats.org/spreadsheetml/2006/main">
  <x:sheetFormatPr defaultRowHeight="13.5"/>
  <x:cols>
    <x:col min="1" max="1" width="8" customWidth="1"/>
    <x:col min="2" max="2" width="24" customWidth="1"/>
    <x:col min="3" max="3" width="52" customWidth="1"/>
    <x:col min="4" max="4" width="48" customWidth="1"/>
    <x:col min="5" max="5" width="45" customWidth="1"/>
    <x:col min="6" max="6" width="28" customWidth="1"/>
  </x:cols>
  <x:sheetData>
    <x:row r="1" ht="13.899999618530273">
      <x:c r="A1" s="14" t="s">
        <x:v>361</x:v>
      </x:c>
      <x:c r="B1" s="14" t="s">
        <x:v>506</x:v>
      </x:c>
      <x:c r="C1" s="14" t="s">
        <x:v>507</x:v>
      </x:c>
      <x:c r="D1" s="14" t="s">
        <x:v>508</x:v>
      </x:c>
      <x:c r="E1" s="14" t="s">
        <x:v>509</x:v>
      </x:c>
      <x:c r="F1" s="14" t="s">
        <x:v>510</x:v>
      </x:c>
    </x:row>
    <x:row r="2" ht="27">
      <x:c r="A2" s="2">
        <x:v>1</x:v>
      </x:c>
      <x:c r="B2" s="2" t="s">
        <x:v>511</x:v>
      </x:c>
      <x:c r="C2" s="2" t="s">
        <x:v>512</x:v>
      </x:c>
      <x:c r="D2" s="2" t="s">
        <x:v>513</x:v>
      </x:c>
      <x:c r="E2" s="2" t="s">
        <x:v>514</x:v>
      </x:c>
      <x:c r="F2" s="2" t="s">
        <x:v>515</x:v>
      </x:c>
    </x:row>
    <x:row r="3" ht="27">
      <x:c r="A3" s="2">
        <x:v>2</x:v>
      </x:c>
      <x:c r="B3" s="2" t="s">
        <x:v>516</x:v>
      </x:c>
      <x:c r="C3" s="2" t="s">
        <x:v>517</x:v>
      </x:c>
      <x:c r="D3" s="2" t="s">
        <x:v>518</x:v>
      </x:c>
      <x:c r="E3" s="2" t="s">
        <x:v>519</x:v>
      </x:c>
      <x:c r="F3" s="2" t="s">
        <x:v>520</x:v>
      </x:c>
    </x:row>
    <x:row r="4" ht="27">
      <x:c r="A4" s="2">
        <x:v>3</x:v>
      </x:c>
      <x:c r="B4" s="2" t="s">
        <x:v>521</x:v>
      </x:c>
      <x:c r="C4" s="2" t="s">
        <x:v>522</x:v>
      </x:c>
      <x:c r="D4" s="2" t="s">
        <x:v>523</x:v>
      </x:c>
      <x:c r="E4" s="2" t="s">
        <x:v>524</x:v>
      </x:c>
      <x:c r="F4" s="2" t="s">
        <x:v>525</x:v>
      </x:c>
    </x:row>
    <x:row r="5" ht="40.5">
      <x:c r="A5" s="2">
        <x:v>4</x:v>
      </x:c>
      <x:c r="B5" s="2" t="s">
        <x:v>526</x:v>
      </x:c>
      <x:c r="C5" s="2" t="s">
        <x:v>527</x:v>
      </x:c>
      <x:c r="D5" s="2" t="s">
        <x:v>528</x:v>
      </x:c>
      <x:c r="E5" s="2" t="s">
        <x:v>529</x:v>
      </x:c>
      <x:c r="F5" s="2" t="s">
        <x:v>530</x:v>
      </x:c>
    </x:row>
    <x:row r="6" ht="40.5">
      <x:c r="A6" s="2">
        <x:v>5</x:v>
      </x:c>
      <x:c r="B6" s="2" t="s">
        <x:v>531</x:v>
      </x:c>
      <x:c r="C6" s="2" t="s">
        <x:v>532</x:v>
      </x:c>
      <x:c r="D6" s="2" t="s">
        <x:v>533</x:v>
      </x:c>
      <x:c r="E6" s="2" t="s">
        <x:v>534</x:v>
      </x:c>
      <x:c r="F6" s="2" t="s">
        <x:v>535</x:v>
      </x:c>
    </x:row>
    <x:row r="7" ht="40.5">
      <x:c r="A7" s="2">
        <x:v>6</x:v>
      </x:c>
      <x:c r="B7" s="2" t="s">
        <x:v>536</x:v>
      </x:c>
      <x:c r="C7" s="2" t="s">
        <x:v>537</x:v>
      </x:c>
      <x:c r="D7" s="2" t="s">
        <x:v>538</x:v>
      </x:c>
      <x:c r="E7" s="2" t="s">
        <x:v>539</x:v>
      </x:c>
      <x:c r="F7" s="2" t="s">
        <x:v>540</x:v>
      </x:c>
    </x:row>
    <x:row r="8" ht="40.5">
      <x:c r="A8" s="2">
        <x:v>7</x:v>
      </x:c>
      <x:c r="B8" s="2" t="s">
        <x:v>541</x:v>
      </x:c>
      <x:c r="C8" s="2" t="s">
        <x:v>542</x:v>
      </x:c>
      <x:c r="D8" s="2" t="s">
        <x:v>543</x:v>
      </x:c>
      <x:c r="E8" s="2" t="s">
        <x:v>544</x:v>
      </x:c>
      <x:c r="F8" s="2" t="s">
        <x:v>545</x:v>
      </x:c>
    </x:row>
    <x:row r="9" ht="54">
      <x:c r="A9" s="2">
        <x:v>8</x:v>
      </x:c>
      <x:c r="B9" s="2" t="s">
        <x:v>546</x:v>
      </x:c>
      <x:c r="C9" s="2" t="s">
        <x:v>547</x:v>
      </x:c>
      <x:c r="D9" s="2" t="s">
        <x:v>548</x:v>
      </x:c>
      <x:c r="E9" s="2" t="s">
        <x:v>549</x:v>
      </x:c>
      <x:c r="F9" s="2" t="s">
        <x:v>550</x:v>
      </x:c>
    </x:row>
    <x:row r="10" ht="40.5">
      <x:c r="A10" s="2">
        <x:v>9</x:v>
      </x:c>
      <x:c r="B10" s="2" t="s">
        <x:v>551</x:v>
      </x:c>
      <x:c r="C10" s="2" t="s">
        <x:v>552</x:v>
      </x:c>
      <x:c r="D10" s="2" t="s">
        <x:v>553</x:v>
      </x:c>
      <x:c r="E10" s="2" t="s">
        <x:v>554</x:v>
      </x:c>
      <x:c r="F10" s="2" t="s">
        <x:v>555</x:v>
      </x:c>
    </x:row>
    <x:row r="11" ht="27">
      <x:c r="A11" s="2">
        <x:v>10</x:v>
      </x:c>
      <x:c r="B11" s="2" t="s">
        <x:v>556</x:v>
      </x:c>
      <x:c r="C11" s="2" t="s">
        <x:v>557</x:v>
      </x:c>
      <x:c r="D11" s="2" t="s">
        <x:v>558</x:v>
      </x:c>
      <x:c r="E11" s="2" t="s">
        <x:v>559</x:v>
      </x:c>
      <x:c r="F11" s="2" t="s">
        <x:v>560</x:v>
      </x:c>
    </x:row>
    <x:row r="12" ht="40.5">
      <x:c r="A12" s="2">
        <x:v>11</x:v>
      </x:c>
      <x:c r="B12" s="2" t="s">
        <x:v>561</x:v>
      </x:c>
      <x:c r="C12" s="2" t="s">
        <x:v>562</x:v>
      </x:c>
      <x:c r="D12" s="2" t="s">
        <x:v>563</x:v>
      </x:c>
      <x:c r="E12" s="2" t="s">
        <x:v>564</x:v>
      </x:c>
      <x:c r="F12" s="2" t="s">
        <x:v>565</x:v>
      </x:c>
    </x:row>
    <x:row r="13" ht="27">
      <x:c r="A13" s="2">
        <x:v>12</x:v>
      </x:c>
      <x:c r="B13" s="2" t="s">
        <x:v>566</x:v>
      </x:c>
      <x:c r="C13" s="2" t="s">
        <x:v>567</x:v>
      </x:c>
      <x:c r="D13" s="2" t="s">
        <x:v>568</x:v>
      </x:c>
      <x:c r="E13" s="2" t="s">
        <x:v>569</x:v>
      </x:c>
      <x:c r="F13" s="2" t="s">
        <x:v>570</x:v>
      </x:c>
    </x:row>
    <x:row r="14" ht="27">
      <x:c r="A14" s="2">
        <x:v>13</x:v>
      </x:c>
      <x:c r="B14" s="2" t="s">
        <x:v>571</x:v>
      </x:c>
      <x:c r="C14" s="2" t="s">
        <x:v>572</x:v>
      </x:c>
      <x:c r="D14" s="2" t="s">
        <x:v>573</x:v>
      </x:c>
      <x:c r="E14" s="2" t="s">
        <x:v>574</x:v>
      </x:c>
      <x:c r="F14" s="2" t="s">
        <x:v>575</x:v>
      </x:c>
    </x:row>
  </x:sheetData>
  <x:pageMargins left="0.7" right="0.7" top="0.75" bottom="0.75" header="0.3" footer="0.3"/>
</x:worksheet>
</file>

<file path=xl/worksheets/sheet13.xml><?xml version="1.0" encoding="utf-8"?>
<x:worksheet xmlns:x="http://schemas.openxmlformats.org/spreadsheetml/2006/main">
  <x:sheetFormatPr defaultRowHeight="15"/>
  <x:cols>
    <x:col min="1" max="1" width="16" hidden="0" customWidth="1"/>
    <x:col min="2" max="2" width="12" hidden="0" customWidth="1"/>
    <x:col min="3" max="3" width="17" hidden="0" customWidth="1"/>
    <x:col min="4" max="4" width="17" hidden="0" customWidth="1"/>
    <x:col min="5" max="5" width="14" hidden="0" customWidth="1"/>
    <x:col min="6" max="6" width="20" hidden="0" customWidth="1"/>
    <x:col min="7" max="7" width="18" hidden="0" customWidth="1"/>
    <x:col min="8" max="8" width="52" hidden="0" customWidth="1"/>
  </x:cols>
  <x:sheetData>
    <x:row r="1" ht="29" customHeight="1">
      <x:c r="A1" s="42" t="str">
        <x:v>O'Brien 1988 | source review | 7 October 2026</x:v>
      </x:c>
      <x:c r="B1" s="42"/>
      <x:c r="C1" s="42"/>
      <x:c r="D1" s="42"/>
      <x:c r="E1" s="42"/>
      <x:c r="F1" s="42"/>
      <x:c r="G1" s="42"/>
      <x:c r="H1" s="42"/>
    </x:row>
    <x:row r="2" ht="34" customHeight="1">
      <x:c r="A2" s="45" t="str">
        <x:v>C6 is adult. Numeric LC50 values are unchanged. Culture temperature is NOT promoted to test temperature.</x:v>
      </x:c>
      <x:c r="B2" s="45"/>
      <x:c r="C2" s="45"/>
      <x:c r="D2" s="45"/>
      <x:c r="E2" s="45"/>
      <x:c r="F2" s="45"/>
      <x:c r="G2" s="45"/>
      <x:c r="H2" s="45"/>
    </x:row>
    <x:row r="3">
      <x:c r="A3" s="39"/>
      <x:c r="B3" s="39"/>
      <x:c r="C3" s="39"/>
      <x:c r="D3" s="39"/>
      <x:c r="E3" s="39"/>
      <x:c r="F3" s="39"/>
      <x:c r="G3" s="39"/>
      <x:c r="H3" s="39"/>
    </x:row>
    <x:row r="4" ht="34" customHeight="1">
      <x:c r="A4" s="49" t="str">
        <x:v>Result ID</x:v>
      </x:c>
      <x:c r="B4" s="49" t="str">
        <x:v>Source stage</x:v>
      </x:c>
      <x:c r="C4" s="49" t="str">
        <x:v>Source LC50 (umol/L)</x:v>
      </x:c>
      <x:c r="D4" s="49" t="str">
        <x:v>Dataset LC50 (umol/L)</x:v>
      </x:c>
      <x:c r="E4" s="49" t="str">
        <x:v>Numeric difference</x:v>
      </x:c>
      <x:c r="F4" s="49" t="str">
        <x:v>Broad stage after review</x:v>
      </x:c>
      <x:c r="G4" s="49" t="str">
        <x:v>Culture temperature (C)</x:v>
      </x:c>
      <x:c r="H4" s="49" t="str">
        <x:v>Evidence / decision</x:v>
      </x:c>
    </x:row>
    <x:row r="5" ht="64" customHeight="1">
      <x:c r="A5" s="45" t="str">
        <x:v>E_R115189</x:v>
      </x:c>
      <x:c r="B5" s="45" t="str">
        <x:v>Egg</x:v>
      </x:c>
      <x:c r="C5" s="53" t="n">
        <x:v>3.6</x:v>
      </x:c>
      <x:c r="D5" s="53" t="n">
        <x:v>3.6</x:v>
      </x:c>
      <x:c r="E5" s="53" t="n">
        <x:f>D5-C5</x:f>
        <x:v>0</x:v>
      </x:c>
      <x:c r="F5" s="45" t="str">
        <x:v>Egg</x:v>
      </x:c>
      <x:c r="G5" s="55" t="n">
        <x:v>16</x:v>
      </x:c>
      <x:c r="H5" s="45" t="str">
        <x:v>Table 1 p.61; C6=adult in Table 2 p.62. 16 +/-1 C is in culture paragraph (p.60); numeric test temperature remains missing.</x:v>
      </x:c>
    </x:row>
    <x:row r="6" ht="64" customHeight="1">
      <x:c r="A6" s="45" t="str">
        <x:v>E_R115190</x:v>
      </x:c>
      <x:c r="B6" s="45" t="str">
        <x:v>N1</x:v>
      </x:c>
      <x:c r="C6" s="53" t="n">
        <x:v>1.2</x:v>
      </x:c>
      <x:c r="D6" s="53" t="n">
        <x:v>1.2</x:v>
      </x:c>
      <x:c r="E6" s="53" t="n">
        <x:f>D6-C6</x:f>
        <x:v>0</x:v>
      </x:c>
      <x:c r="F6" s="45" t="str">
        <x:v>Nauplii</x:v>
      </x:c>
      <x:c r="G6" s="55" t="n">
        <x:v>16</x:v>
      </x:c>
      <x:c r="H6" s="45" t="str">
        <x:v>Table 1 p.61; C6=adult in Table 2 p.62. 16 +/-1 C is in culture paragraph (p.60); numeric test temperature remains missing.</x:v>
      </x:c>
    </x:row>
    <x:row r="7" ht="64" customHeight="1">
      <x:c r="A7" s="45" t="str">
        <x:v>E_R115191</x:v>
      </x:c>
      <x:c r="B7" s="45" t="str">
        <x:v>N2</x:v>
      </x:c>
      <x:c r="C7" s="53" t="n">
        <x:v>0.3</x:v>
      </x:c>
      <x:c r="D7" s="53" t="n">
        <x:v>0.3</x:v>
      </x:c>
      <x:c r="E7" s="53" t="n">
        <x:f>D7-C7</x:f>
        <x:v>0</x:v>
      </x:c>
      <x:c r="F7" s="45" t="str">
        <x:v>Nauplii</x:v>
      </x:c>
      <x:c r="G7" s="55" t="n">
        <x:v>16</x:v>
      </x:c>
      <x:c r="H7" s="45" t="str">
        <x:v>Table 1 p.61; C6=adult in Table 2 p.62. 16 +/-1 C is in culture paragraph (p.60); numeric test temperature remains missing.</x:v>
      </x:c>
    </x:row>
    <x:row r="8" ht="64" customHeight="1">
      <x:c r="A8" s="45" t="str">
        <x:v>E_R115192</x:v>
      </x:c>
      <x:c r="B8" s="45" t="str">
        <x:v>N3</x:v>
      </x:c>
      <x:c r="C8" s="53" t="n">
        <x:v>2.5</x:v>
      </x:c>
      <x:c r="D8" s="53" t="n">
        <x:v>2.5</x:v>
      </x:c>
      <x:c r="E8" s="53" t="n">
        <x:f>D8-C8</x:f>
        <x:v>0</x:v>
      </x:c>
      <x:c r="F8" s="45" t="str">
        <x:v>Nauplii</x:v>
      </x:c>
      <x:c r="G8" s="55" t="n">
        <x:v>16</x:v>
      </x:c>
      <x:c r="H8" s="45" t="str">
        <x:v>Table 1 p.61; C6=adult in Table 2 p.62. 16 +/-1 C is in culture paragraph (p.60); numeric test temperature remains missing.</x:v>
      </x:c>
    </x:row>
    <x:row r="9" ht="64" customHeight="1">
      <x:c r="A9" s="45" t="str">
        <x:v>E_R115193</x:v>
      </x:c>
      <x:c r="B9" s="45" t="str">
        <x:v>N4</x:v>
      </x:c>
      <x:c r="C9" s="53" t="n">
        <x:v>2.9</x:v>
      </x:c>
      <x:c r="D9" s="53" t="n">
        <x:v>2.9</x:v>
      </x:c>
      <x:c r="E9" s="53" t="n">
        <x:f>D9-C9</x:f>
        <x:v>0</x:v>
      </x:c>
      <x:c r="F9" s="45" t="str">
        <x:v>Nauplii</x:v>
      </x:c>
      <x:c r="G9" s="55" t="n">
        <x:v>16</x:v>
      </x:c>
      <x:c r="H9" s="45" t="str">
        <x:v>Table 1 p.61; C6=adult in Table 2 p.62. 16 +/-1 C is in culture paragraph (p.60); numeric test temperature remains missing.</x:v>
      </x:c>
    </x:row>
    <x:row r="10" ht="64" customHeight="1">
      <x:c r="A10" s="45" t="str">
        <x:v>E_R115194</x:v>
      </x:c>
      <x:c r="B10" s="45" t="str">
        <x:v>N5</x:v>
      </x:c>
      <x:c r="C10" s="53" t="n">
        <x:v>4.1</x:v>
      </x:c>
      <x:c r="D10" s="53" t="n">
        <x:v>4.1</x:v>
      </x:c>
      <x:c r="E10" s="53" t="n">
        <x:f>D10-C10</x:f>
        <x:v>0</x:v>
      </x:c>
      <x:c r="F10" s="45" t="str">
        <x:v>Nauplii</x:v>
      </x:c>
      <x:c r="G10" s="55" t="n">
        <x:v>16</x:v>
      </x:c>
      <x:c r="H10" s="45" t="str">
        <x:v>Table 1 p.61; C6=adult in Table 2 p.62. 16 +/-1 C is in culture paragraph (p.60); numeric test temperature remains missing.</x:v>
      </x:c>
    </x:row>
    <x:row r="11" ht="64" customHeight="1">
      <x:c r="A11" s="45" t="str">
        <x:v>E_R115195</x:v>
      </x:c>
      <x:c r="B11" s="45" t="str">
        <x:v>N6</x:v>
      </x:c>
      <x:c r="C11" s="53" t="n">
        <x:v>4.8</x:v>
      </x:c>
      <x:c r="D11" s="53" t="n">
        <x:v>4.8</x:v>
      </x:c>
      <x:c r="E11" s="53" t="n">
        <x:f>D11-C11</x:f>
        <x:v>0</x:v>
      </x:c>
      <x:c r="F11" s="45" t="str">
        <x:v>Nauplii</x:v>
      </x:c>
      <x:c r="G11" s="55" t="n">
        <x:v>16</x:v>
      </x:c>
      <x:c r="H11" s="45" t="str">
        <x:v>Table 1 p.61; C6=adult in Table 2 p.62. 16 +/-1 C is in culture paragraph (p.60); numeric test temperature remains missing.</x:v>
      </x:c>
    </x:row>
    <x:row r="12" ht="64" customHeight="1">
      <x:c r="A12" s="45" t="str">
        <x:v>E_R115196</x:v>
      </x:c>
      <x:c r="B12" s="45" t="str">
        <x:v>C1</x:v>
      </x:c>
      <x:c r="C12" s="53" t="n">
        <x:v>5.9</x:v>
      </x:c>
      <x:c r="D12" s="53" t="n">
        <x:v>5.9</x:v>
      </x:c>
      <x:c r="E12" s="53" t="n">
        <x:f>D12-C12</x:f>
        <x:v>0</x:v>
      </x:c>
      <x:c r="F12" s="45" t="str">
        <x:v>Copepodite</x:v>
      </x:c>
      <x:c r="G12" s="55" t="n">
        <x:v>16</x:v>
      </x:c>
      <x:c r="H12" s="45" t="str">
        <x:v>Table 1 p.61; C6=adult in Table 2 p.62. 16 +/-1 C is in culture paragraph (p.60); numeric test temperature remains missing.</x:v>
      </x:c>
    </x:row>
    <x:row r="13" ht="64" customHeight="1">
      <x:c r="A13" s="45" t="str">
        <x:v>E_R115197</x:v>
      </x:c>
      <x:c r="B13" s="45" t="str">
        <x:v>C2</x:v>
      </x:c>
      <x:c r="C13" s="53" t="n">
        <x:v>7.8</x:v>
      </x:c>
      <x:c r="D13" s="53" t="n">
        <x:v>7.8</x:v>
      </x:c>
      <x:c r="E13" s="53" t="n">
        <x:f>D13-C13</x:f>
        <x:v>0</x:v>
      </x:c>
      <x:c r="F13" s="45" t="str">
        <x:v>Copepodite</x:v>
      </x:c>
      <x:c r="G13" s="55" t="n">
        <x:v>16</x:v>
      </x:c>
      <x:c r="H13" s="45" t="str">
        <x:v>Table 1 p.61; C6=adult in Table 2 p.62. 16 +/-1 C is in culture paragraph (p.60); numeric test temperature remains missing.</x:v>
      </x:c>
    </x:row>
    <x:row r="14" ht="64" customHeight="1">
      <x:c r="A14" s="45" t="str">
        <x:v>E_R115198</x:v>
      </x:c>
      <x:c r="B14" s="45" t="str">
        <x:v>C3</x:v>
      </x:c>
      <x:c r="C14" s="53" t="n">
        <x:v>6.5</x:v>
      </x:c>
      <x:c r="D14" s="53" t="n">
        <x:v>6.5</x:v>
      </x:c>
      <x:c r="E14" s="53" t="n">
        <x:f>D14-C14</x:f>
        <x:v>0</x:v>
      </x:c>
      <x:c r="F14" s="45" t="str">
        <x:v>Copepodite</x:v>
      </x:c>
      <x:c r="G14" s="55" t="n">
        <x:v>16</x:v>
      </x:c>
      <x:c r="H14" s="45" t="str">
        <x:v>Table 1 p.61; C6=adult in Table 2 p.62. 16 +/-1 C is in culture paragraph (p.60); numeric test temperature remains missing.</x:v>
      </x:c>
    </x:row>
    <x:row r="15" ht="64" customHeight="1">
      <x:c r="A15" s="45" t="str">
        <x:v>E_R115199</x:v>
      </x:c>
      <x:c r="B15" s="45" t="str">
        <x:v>C4</x:v>
      </x:c>
      <x:c r="C15" s="53" t="n">
        <x:v>6.2</x:v>
      </x:c>
      <x:c r="D15" s="53" t="n">
        <x:v>6.2</x:v>
      </x:c>
      <x:c r="E15" s="53" t="n">
        <x:f>D15-C15</x:f>
        <x:v>0</x:v>
      </x:c>
      <x:c r="F15" s="45" t="str">
        <x:v>Copepodite</x:v>
      </x:c>
      <x:c r="G15" s="55" t="n">
        <x:v>16</x:v>
      </x:c>
      <x:c r="H15" s="45" t="str">
        <x:v>Table 1 p.61; C6=adult in Table 2 p.62. 16 +/-1 C is in culture paragraph (p.60); numeric test temperature remains missing.</x:v>
      </x:c>
    </x:row>
    <x:row r="16" ht="64" customHeight="1">
      <x:c r="A16" s="45" t="str">
        <x:v>E_R115200</x:v>
      </x:c>
      <x:c r="B16" s="45" t="str">
        <x:v>C5</x:v>
      </x:c>
      <x:c r="C16" s="53" t="n">
        <x:v>6.2</x:v>
      </x:c>
      <x:c r="D16" s="53" t="n">
        <x:v>6.2</x:v>
      </x:c>
      <x:c r="E16" s="53" t="n">
        <x:f>D16-C16</x:f>
        <x:v>0</x:v>
      </x:c>
      <x:c r="F16" s="45" t="str">
        <x:v>Copepodite</x:v>
      </x:c>
      <x:c r="G16" s="55" t="n">
        <x:v>16</x:v>
      </x:c>
      <x:c r="H16" s="45" t="str">
        <x:v>Table 1 p.61; C6=adult in Table 2 p.62. 16 +/-1 C is in culture paragraph (p.60); numeric test temperature remains missing.</x:v>
      </x:c>
    </x:row>
    <x:row r="17" ht="64" customHeight="1">
      <x:c r="A17" s="45" t="str">
        <x:v>E_R115201</x:v>
      </x:c>
      <x:c r="B17" s="45" t="str">
        <x:v>C6</x:v>
      </x:c>
      <x:c r="C17" s="53" t="n">
        <x:v>12</x:v>
      </x:c>
      <x:c r="D17" s="53" t="n">
        <x:v>12</x:v>
      </x:c>
      <x:c r="E17" s="53" t="n">
        <x:f>D17-C17</x:f>
        <x:v>0</x:v>
      </x:c>
      <x:c r="F17" s="45" t="str">
        <x:v>Adult</x:v>
      </x:c>
      <x:c r="G17" s="55" t="n">
        <x:v>16</x:v>
      </x:c>
      <x:c r="H17" s="45" t="str">
        <x:v>Table 1 p.61; C6=adult in Table 2 p.62. 16 +/-1 C is in culture paragraph (p.60); numeric test temperature remains missing.</x:v>
      </x:c>
    </x:row>
    <x:row r="18">
      <x:c r="A18" s="39"/>
      <x:c r="B18" s="39"/>
      <x:c r="C18" s="39"/>
      <x:c r="D18" s="39"/>
      <x:c r="E18" s="39"/>
      <x:c r="F18" s="39"/>
      <x:c r="G18" s="39"/>
      <x:c r="H18" s="39"/>
    </x:row>
    <x:row r="19" ht="25" customHeight="1">
      <x:c r="A19" s="45" t="str">
        <x:v>Source: O'Brien et al. (1988), Marine Ecology Progress Series 44:59-64. DOI: 10.3354/meps044059.</x:v>
      </x:c>
      <x:c r="B19" s="45"/>
      <x:c r="C19" s="45"/>
      <x:c r="D19" s="45"/>
      <x:c r="E19" s="45"/>
      <x:c r="F19" s="45"/>
      <x:c r="G19" s="45"/>
      <x:c r="H19" s="45"/>
    </x:row>
    <x:row r="20">
      <x:c r="A20" s="45" t="str">
        <x:v>Raw ECOTOX records remain unchanged. Stage is the stage at test start. The six naupliar entries and five juvenile copepodite entries are retained separately; grouping for comparisons occurs downstream in the R workflow.</x:v>
      </x:c>
      <x:c r="B20" s="45"/>
      <x:c r="C20" s="45"/>
      <x:c r="D20" s="45"/>
      <x:c r="E20" s="45"/>
      <x:c r="F20" s="45"/>
      <x:c r="G20" s="45"/>
      <x:c r="H20" s="45"/>
    </x:row>
    <x:row r="21">
      <x:c r="A21" s="45"/>
      <x:c r="B21" s="45"/>
      <x:c r="C21" s="45"/>
      <x:c r="D21" s="45"/>
      <x:c r="E21" s="45"/>
      <x:c r="F21" s="45"/>
      <x:c r="G21" s="45"/>
      <x:c r="H21" s="45"/>
    </x:row>
  </x:sheetData>
  <x:mergeCells>
    <x:mergeCell ref="A1:H1"/>
    <x:mergeCell ref="A2:H2"/>
    <x:mergeCell ref="A19:H19"/>
    <x:mergeCell ref="A20:H21"/>
  </x:mergeCells>
  <x:pageMargins left="0.7" right="0.7" top="0.75" bottom="0.75" header="0.3" footer="0.3"/>
</x:worksheet>
</file>