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653b65301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Audit" sheetId="1" r:id="R9e25a9a90f67470c"/>
    <x:sheet xmlns:r="http://schemas.openxmlformats.org/officeDocument/2006/relationships" name="Results" sheetId="2" r:id="Re833e2b4516d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"/>
    <x:numFmt numFmtId="203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2F2F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e5e2066714be1" /><Relationship Type="http://schemas.openxmlformats.org/officeDocument/2006/relationships/theme" Target="/xl/theme/theme1.xml" Id="R7e0943d0bfe9496a" /><Relationship Type="http://schemas.openxmlformats.org/officeDocument/2006/relationships/sharedStrings" Target="/xl/sharedStrings.xml" Id="Rc477499652d84e09" /><Relationship Type="http://schemas.openxmlformats.org/officeDocument/2006/relationships/worksheet" Target="/xl/worksheets/sheet1.xml" Id="R9e25a9a90f67470c" /><Relationship Type="http://schemas.openxmlformats.org/officeDocument/2006/relationships/worksheet" Target="/xl/worksheets/sheet2.xml" Id="Re833e2b4516d48d9" /></Relationships>
</file>

<file path=xl/tables/table1.xml><?xml version="1.0" encoding="utf-8"?>
<x:table xmlns:x="http://schemas.openxmlformats.org/spreadsheetml/2006/main" id="1" name="SourceAuditTable" displayName="SourceAuditTable" ref="A1:I27" headerRowCount="1" totalsRowCount="0" totalsRowShown="0">
  <x:tableColumns count="9">
    <x:tableColumn id="1" name="Audit_ID"/>
    <x:tableColumn id="2" name="Reference"/>
    <x:tableColumn id="3" name="DOI"/>
    <x:tableColumn id="4" name="Final_role"/>
    <x:tableColumn id="5" name="Reviewed_result_rows"/>
    <x:tableColumn id="6" name="Quant_rows_kept"/>
    <x:tableColumn id="7" name="Paper_scope"/>
    <x:tableColumn id="8" name="Short_reason"/>
    <x:tableColumn id="9" name="Possible_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SResultsTable" displayName="WoSResultsTable" ref="A1:V63" headerRowCount="1" totalsRowCount="0" totalsRowShown="0">
  <x:tableColumns count="22">
    <x:tableColumn id="1" name="Audit_ID"/>
    <x:tableColumn id="2" name="Reference_ID"/>
    <x:tableColumn id="3" name="Test_ID"/>
    <x:tableColumn id="4" name="Result_ID"/>
    <x:tableColumn id="5" name="Reference"/>
    <x:tableColumn id="6" name="Species"/>
    <x:tableColumn id="7" name="Order"/>
    <x:tableColumn id="8" name="Stage_Sex"/>
    <x:tableColumn id="9" name="Metal"/>
    <x:tableColumn id="10" name="Duration_h"/>
    <x:tableColumn id="11" name="LC50_reported"/>
    <x:tableColumn id="12" name="Unit"/>
    <x:tableColumn id="13" name="Chemical"/>
    <x:tableColumn id="14" name="Concentration_basis"/>
    <x:tableColumn id="15" name="Concentration_type"/>
    <x:tableColumn id="16" name="Temp_C"/>
    <x:tableColumn id="17" name="Salinity"/>
    <x:tableColumn id="18" name="Include_in_combined"/>
    <x:tableColumn id="19" name="Extrapolation_flag"/>
    <x:tableColumn id="20" name="Duplicate_flag"/>
    <x:tableColumn id="21" name="Source_location"/>
    <x:tableColumn id="2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2ede98b96543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fac9dbd1414a6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6" hidden="0" customWidth="1"/>
    <x:col min="5" max="5" width="14" hidden="0" customWidth="1"/>
    <x:col min="6" max="6" width="14" hidden="0" customWidth="1"/>
    <x:col min="7" max="7" width="28" hidden="0" customWidth="1"/>
    <x:col min="8" max="8" width="44" hidden="0" customWidth="1"/>
    <x:col min="9" max="9" width="30" hidden="0" customWidth="1"/>
  </x:cols>
  <x:sheetData>
    <x:row r="1">
      <x:c r="A1" s="10" t="str">
        <x:v>Audit_ID</x:v>
      </x:c>
      <x:c r="B1" s="10" t="str">
        <x:v>Reference</x:v>
      </x:c>
      <x:c r="C1" s="10" t="str">
        <x:v>DOI</x:v>
      </x:c>
      <x:c r="D1" s="10" t="str">
        <x:v>Final_role</x:v>
      </x:c>
      <x:c r="E1" s="10" t="str">
        <x:v>Reviewed_result_rows</x:v>
      </x:c>
      <x:c r="F1" s="10" t="str">
        <x:v>Quant_rows_kept</x:v>
      </x:c>
      <x:c r="G1" s="10" t="str">
        <x:v>Paper_scope</x:v>
      </x:c>
      <x:c r="H1" s="10" t="str">
        <x:v>Short_reason</x:v>
      </x:c>
      <x:c r="I1" s="10" t="str">
        <x:v>Possible_use</x:v>
      </x:c>
    </x:row>
    <x:row r="2">
      <x:c r="A2" s="11" t="str">
        <x:v>A01</x:v>
      </x:c>
      <x:c r="B2" s="11" t="str">
        <x:v>Opoku et al. (2024)</x:v>
      </x:c>
      <x:c r="C2" s="11" t="str">
        <x:v>10.1007/s11852-023-01009-y</x:v>
      </x:c>
      <x:c r="D2" s="11" t="str">
        <x:v>EXCLUDE</x:v>
      </x:c>
      <x:c r="E2" s="11" t="n">
        <x:f>COUNTIF(Results!$A$2:$A$63,A2)</x:f>
        <x:v>2</x:v>
      </x:c>
      <x:c r="F2" s="11" t="n">
        <x:f>COUNTIFS(Results!$A$2:$A$63,A2,Results!$R$2:$R$63,"YES")</x:f>
        <x:v>0</x:v>
      </x:c>
      <x:c r="G2" s="11" t="str">
        <x:v>Cd; 24 h; two calanoid species</x:v>
      </x:c>
      <x:c r="H2" s="11" t="str">
        <x:v>Concentration basis unresolved (Cd vs CdCl2 mass).</x:v>
      </x:c>
      <x:c r="I2" s="11" t="str">
        <x:v>Coverage audit only</x:v>
      </x:c>
    </x:row>
    <x:row r="3">
      <x:c r="A3" s="11" t="str">
        <x:v>A02</x:v>
      </x:c>
      <x:c r="B3" s="11" t="str">
        <x:v>Panneerselvam et al. (2018)</x:v>
      </x:c>
      <x:c r="C3" s="11" t="str">
        <x:v>10.1007/s00128-018-2279-7</x:v>
      </x:c>
      <x:c r="D3" s="11" t="str">
        <x:v>ADD</x:v>
      </x:c>
      <x:c r="E3" s="11" t="n">
        <x:f>COUNTIF(Results!$A$2:$A$63,A3)</x:f>
        <x:v>2</x:v>
      </x:c>
      <x:c r="F3" s="11" t="n">
        <x:f>COUNTIFS(Results!$A$2:$A$63,A3,Results!$R$2:$R$63,"YES")</x:f>
        <x:v>2</x:v>
      </x:c>
      <x:c r="G3" s="11" t="str">
        <x:v>Ni; 96 h; two copepod species</x:v>
      </x:c>
      <x:c r="H3" s="11" t="str">
        <x:v>Measured dissolved Ni; Table/Results values used.</x:v>
      </x:c>
      <x:c r="I3" s="11" t="str">
        <x:v>Quantitative augmentation</x:v>
      </x:c>
    </x:row>
    <x:row r="4">
      <x:c r="A4" s="11" t="str">
        <x:v>A03</x:v>
      </x:c>
      <x:c r="B4" s="11" t="str">
        <x:v>Kadiene et al. (2017)</x:v>
      </x:c>
      <x:c r="C4" s="11" t="str">
        <x:v>10.1007/s10646-017-1848-6</x:v>
      </x:c>
      <x:c r="D4" s="11" t="str">
        <x:v>ADD</x:v>
      </x:c>
      <x:c r="E4" s="11" t="n">
        <x:f>COUNTIF(Results!$A$2:$A$63,A4)</x:f>
        <x:v>9</x:v>
      </x:c>
      <x:c r="F4" s="11" t="n">
        <x:f>COUNTIFS(Results!$A$2:$A$63,A4,Results!$R$2:$R$63,"YES")</x:f>
        <x:v>9</x:v>
      </x:c>
      <x:c r="G4" s="11" t="str">
        <x:v>Cd; 48–96 h; adult male/female</x:v>
      </x:c>
      <x:c r="H4" s="11" t="str">
        <x:v>Nine source-reported LC50s retained; one extrapolation flag.</x:v>
      </x:c>
      <x:c r="I4" s="11" t="str">
        <x:v>Quantitative augmentation</x:v>
      </x:c>
    </x:row>
    <x:row r="5">
      <x:c r="A5" s="11" t="str">
        <x:v>A04</x:v>
      </x:c>
      <x:c r="B5" s="11" t="str">
        <x:v>Tollefsen et al. (2017)</x:v>
      </x:c>
      <x:c r="C5" s="11" t="str">
        <x:v>10.1080/15287394.2017.1352198</x:v>
      </x:c>
      <x:c r="D5" s="11" t="str">
        <x:v>ADD</x:v>
      </x:c>
      <x:c r="E5" s="11" t="n">
        <x:f>COUNTIF(Results!$A$2:$A$63,A5)</x:f>
        <x:v>4</x:v>
      </x:c>
      <x:c r="F5" s="11" t="n">
        <x:f>COUNTIFS(Results!$A$2:$A$63,A5,Results!$R$2:$R$63,"YES")</x:f>
        <x:v>4</x:v>
      </x:c>
      <x:c r="G5" s="11" t="str">
        <x:v>Hg; 24–96 h; Calanus finmarchicus CV</x:v>
      </x:c>
      <x:c r="H5" s="11" t="str">
        <x:v>Measured Hg; one internal 48-h reporting discrepancy noted.</x:v>
      </x:c>
      <x:c r="I5" s="11" t="str">
        <x:v>Quantitative augmentation</x:v>
      </x:c>
    </x:row>
    <x:row r="6">
      <x:c r="A6" s="11" t="str">
        <x:v>A05</x:v>
      </x:c>
      <x:c r="B6" s="11" t="str">
        <x:v>Tlili et al. (2016)</x:v>
      </x:c>
      <x:c r="C6" s="11" t="str">
        <x:v>10.1016/j.chemosphere.2015.10.057</x:v>
      </x:c>
      <x:c r="D6" s="11" t="str">
        <x:v>ADD</x:v>
      </x:c>
      <x:c r="E6" s="11" t="n">
        <x:f>COUNTIF(Results!$A$2:$A$63,A6)</x:f>
        <x:v>4</x:v>
      </x:c>
      <x:c r="F6" s="11" t="n">
        <x:f>COUNTIFS(Results!$A$2:$A$63,A6,Results!$R$2:$R$63,"YES")</x:f>
        <x:v>4</x:v>
      </x:c>
      <x:c r="G6" s="11" t="str">
        <x:v>Ni; 24–96 h; Pseudodiaptomus marinus</x:v>
      </x:c>
      <x:c r="H6" s="11" t="str">
        <x:v>Elemental Ni basis clear; one extrapolation flag.</x:v>
      </x:c>
      <x:c r="I6" s="11" t="str">
        <x:v>Quantitative augmentation</x:v>
      </x:c>
    </x:row>
    <x:row r="7">
      <x:c r="A7" s="11" t="str">
        <x:v>A06</x:v>
      </x:c>
      <x:c r="B7" s="11" t="str">
        <x:v>Lavorante et al. (2013)</x:v>
      </x:c>
      <x:c r="C7" s="11" t="str">
        <x:v>10.1016/j.ecoenv.2013.05.010</x:v>
      </x:c>
      <x:c r="D7" s="11" t="str">
        <x:v>ADD</x:v>
      </x:c>
      <x:c r="E7" s="11" t="n">
        <x:f>COUNTIF(Results!$A$2:$A$63,A7)</x:f>
        <x:v>1</x:v>
      </x:c>
      <x:c r="F7" s="11" t="n">
        <x:f>COUNTIFS(Results!$A$2:$A$63,A7,Results!$R$2:$R$63,"YES")</x:f>
        <x:v>1</x:v>
      </x:c>
      <x:c r="G7" s="11" t="str">
        <x:v>Zn; 72 h; Tisbe biminiensis nauplii</x:v>
      </x:c>
      <x:c r="H7" s="11" t="str">
        <x:v>ZnSO4 exposure analytically checked; source gives elemental Zn equivalent.</x:v>
      </x:c>
      <x:c r="I7" s="11" t="str">
        <x:v>Quantitative augmentation</x:v>
      </x:c>
    </x:row>
    <x:row r="8">
      <x:c r="A8" s="11" t="str">
        <x:v>A07</x:v>
      </x:c>
      <x:c r="B8" s="11" t="str">
        <x:v>Prato et al. (2023)</x:v>
      </x:c>
      <x:c r="C8" s="11" t="str">
        <x:v>10.1080/02757540.2023.2271906</x:v>
      </x:c>
      <x:c r="D8" s="11" t="str">
        <x:v>EXTERNAL ONLY</x:v>
      </x:c>
      <x:c r="E8" s="11" t="n">
        <x:f>COUNTIF(Results!$A$2:$A$63,A8)</x:f>
        <x:v>0</x:v>
      </x:c>
      <x:c r="F8" s="11" t="n">
        <x:f>COUNTIFS(Results!$A$2:$A$63,A8,Results!$R$2:$R$63,"YES")</x:f>
        <x:v>0</x:v>
      </x:c>
      <x:c r="G8" s="11" t="str">
        <x:v>Cu historical-control data</x:v>
      </x:c>
      <x:c r="H8" s="11" t="str">
        <x:v>Historical control summary; individual run provenance not suitable for normal Result extraction.</x:v>
      </x:c>
      <x:c r="I8" s="11" t="str">
        <x:v>Methods / control-data context</x:v>
      </x:c>
    </x:row>
    <x:row r="9">
      <x:c r="A9" s="11" t="str">
        <x:v>A08</x:v>
      </x:c>
      <x:c r="B9" s="11" t="str">
        <x:v>Farkas et al. (2020)</x:v>
      </x:c>
      <x:c r="C9" s="11" t="str">
        <x:v>10.1016/j.aquatox.2020.105582</x:v>
      </x:c>
      <x:c r="D9" s="11" t="str">
        <x:v>ADD</x:v>
      </x:c>
      <x:c r="E9" s="11" t="n">
        <x:f>COUNTIF(Results!$A$2:$A$63,A9)</x:f>
        <x:v>1</x:v>
      </x:c>
      <x:c r="F9" s="11" t="n">
        <x:f>COUNTIFS(Results!$A$2:$A$63,A9,Results!$R$2:$R$63,"YES")</x:f>
        <x:v>1</x:v>
      </x:c>
      <x:c r="G9" s="11" t="str">
        <x:v>Ag; 96 h; ionic Ag+ arm</x:v>
      </x:c>
      <x:c r="H9" s="11" t="str">
        <x:v>Separate plain ionic Ag arm retained; AgNP/oil arms not used.</x:v>
      </x:c>
      <x:c r="I9" s="11" t="str">
        <x:v>Quantitative augmentation</x:v>
      </x:c>
    </x:row>
    <x:row r="10">
      <x:c r="A10" s="11" t="str">
        <x:v>A09</x:v>
      </x:c>
      <x:c r="B10" s="11" t="str">
        <x:v>Vimercati et al. (2020)</x:v>
      </x:c>
      <x:c r="C10" s="11" t="str">
        <x:v>10.3389/fpubh.2020.00192</x:v>
      </x:c>
      <x:c r="D10" s="11" t="str">
        <x:v>ADD</x:v>
      </x:c>
      <x:c r="E10" s="11" t="n">
        <x:f>COUNTIF(Results!$A$2:$A$63,A10)</x:f>
        <x:v>3</x:v>
      </x:c>
      <x:c r="F10" s="11" t="n">
        <x:f>COUNTIFS(Results!$A$2:$A$63,A10,Results!$R$2:$R$63,"YES")</x:f>
        <x:v>3</x:v>
      </x:c>
      <x:c r="G10" s="11" t="str">
        <x:v>Zn; 96 h; ZnSO4 comparator arm</x:v>
      </x:c>
      <x:c r="H10" s="11" t="str">
        <x:v>Three separate source-reported trials retained; ZnO NP arm not used.</x:v>
      </x:c>
      <x:c r="I10" s="11" t="str">
        <x:v>Quantitative augmentation</x:v>
      </x:c>
    </x:row>
    <x:row r="11">
      <x:c r="A11" s="11" t="str">
        <x:v>A10</x:v>
      </x:c>
      <x:c r="B11" s="11" t="str">
        <x:v>Cherkashin (2020)</x:v>
      </x:c>
      <x:c r="C11" s="11" t="str">
        <x:v>10.1134/S1063074020030037</x:v>
      </x:c>
      <x:c r="D11" s="11" t="str">
        <x:v>ADD</x:v>
      </x:c>
      <x:c r="E11" s="11" t="n">
        <x:f>COUNTIF(Results!$A$2:$A$63,A11)</x:f>
        <x:v>4</x:v>
      </x:c>
      <x:c r="F11" s="11" t="n">
        <x:f>COUNTIFS(Results!$A$2:$A$63,A11,Results!$R$2:$R$63,"YES")</x:f>
        <x:v>4</x:v>
      </x:c>
      <x:c r="G11" s="11" t="str">
        <x:v>Zn; 24/48 h; two copepod species</x:v>
      </x:c>
      <x:c r="H11" s="11" t="str">
        <x:v>Average measured Zn2+ concentrations used.</x:v>
      </x:c>
      <x:c r="I11" s="11" t="str">
        <x:v>Quantitative augmentation</x:v>
      </x:c>
    </x:row>
    <x:row r="12">
      <x:c r="A12" s="11" t="str">
        <x:v>A11</x:v>
      </x:c>
      <x:c r="B12" s="11" t="str">
        <x:v>Kadiene et al. (2019)</x:v>
      </x:c>
      <x:c r="C12" s="11" t="str">
        <x:v>10.1016/j.chemosphere.2019.05.220</x:v>
      </x:c>
      <x:c r="D12" s="11" t="str">
        <x:v>ADD</x:v>
      </x:c>
      <x:c r="E12" s="11" t="n">
        <x:f>COUNTIF(Results!$A$2:$A$63,A12)</x:f>
        <x:v>2</x:v>
      </x:c>
      <x:c r="F12" s="11" t="n">
        <x:f>COUNTIFS(Results!$A$2:$A$63,A12,Results!$R$2:$R$63,"YES")</x:f>
        <x:v>2</x:v>
      </x:c>
      <x:c r="G12" s="11" t="str">
        <x:v>Cd; 96 h; nauplii and copepodids</x:v>
      </x:c>
      <x:c r="H12" s="11" t="str">
        <x:v>Two stage-specific acute LC50s retained.</x:v>
      </x:c>
      <x:c r="I12" s="11" t="str">
        <x:v>Quantitative augmentation; chronic results may inform Discussion</x:v>
      </x:c>
    </x:row>
    <x:row r="13">
      <x:c r="A13" s="11" t="str">
        <x:v>A12</x:v>
      </x:c>
      <x:c r="B13" s="11" t="str">
        <x:v>Tlili et al. (2019)</x:v>
      </x:c>
      <x:c r="C13" s="11" t="str">
        <x:v>10.1007/s41742-019-00202-y</x:v>
      </x:c>
      <x:c r="D13" s="11" t="str">
        <x:v>ADD</x:v>
      </x:c>
      <x:c r="E13" s="11" t="n">
        <x:f>COUNTIF(Results!$A$2:$A$63,A13)</x:f>
        <x:v>4</x:v>
      </x:c>
      <x:c r="F13" s="11" t="n">
        <x:f>COUNTIFS(Results!$A$2:$A$63,A13,Results!$R$2:$R$63,"YES")</x:f>
        <x:v>4</x:v>
      </x:c>
      <x:c r="G13" s="11" t="str">
        <x:v>Hg; 24–96 h; Pseudodiaptomus marinus</x:v>
      </x:c>
      <x:c r="H13" s="11" t="str">
        <x:v>Reported acute values treated as HgCl2 mass basis; two extrapolation flags.</x:v>
      </x:c>
      <x:c r="I13" s="11" t="str">
        <x:v>Quantitative augmentation; uptake-pathway context</x:v>
      </x:c>
    </x:row>
    <x:row r="14">
      <x:c r="A14" s="11" t="str">
        <x:v>A13</x:v>
      </x:c>
      <x:c r="B14" s="11" t="str">
        <x:v>Charry et al. (2019)</x:v>
      </x:c>
      <x:c r="C14" s="11" t="str">
        <x:v>10.1016/j.ecoenv.2019.03.022</x:v>
      </x:c>
      <x:c r="D14" s="11" t="str">
        <x:v>ADD</x:v>
      </x:c>
      <x:c r="E14" s="11" t="n">
        <x:f>COUNTIF(Results!$A$2:$A$63,A14)</x:f>
        <x:v>2</x:v>
      </x:c>
      <x:c r="F14" s="11" t="n">
        <x:f>COUNTIFS(Results!$A$2:$A$63,A14,Results!$R$2:$R$63,"YES")</x:f>
        <x:v>2</x:v>
      </x:c>
      <x:c r="G14" s="11" t="str">
        <x:v>Cu; 48 h nauplii + 96 h adults</x:v>
      </x:c>
      <x:c r="H14" s="11" t="str">
        <x:v>Measured Cu concentrations used.</x:v>
      </x:c>
      <x:c r="I14" s="11" t="str">
        <x:v>Quantitative augmentation; chronic results may inform Discussion</x:v>
      </x:c>
    </x:row>
    <x:row r="15">
      <x:c r="A15" s="11" t="str">
        <x:v>A14</x:v>
      </x:c>
      <x:c r="B15" s="11" t="str">
        <x:v>Yi et al. (2019)</x:v>
      </x:c>
      <x:c r="C15" s="11" t="str">
        <x:v>10.1016/j.cbpc.2019.04.014</x:v>
      </x:c>
      <x:c r="D15" s="11" t="str">
        <x:v>ADD</x:v>
      </x:c>
      <x:c r="E15" s="11" t="n">
        <x:f>COUNTIF(Results!$A$2:$A$63,A15)</x:f>
        <x:v>2</x:v>
      </x:c>
      <x:c r="F15" s="11" t="n">
        <x:f>COUNTIFS(Results!$A$2:$A$63,A15,Results!$R$2:$R$63,"YES")</x:f>
        <x:v>1</x:v>
      </x:c>
      <x:c r="G15" s="11" t="str">
        <x:v>Cd/Pb; 96 h; Tigriopus japonicus</x:v>
      </x:c>
      <x:c r="H15" s="11" t="str">
        <x:v>Cd retained. Pb excluded because precipitation made nominal LC50 poorly interpretable.</x:v>
      </x:c>
      <x:c r="I15" s="11" t="str">
        <x:v>Cd quantitative; Pb/nZnO arms contextual</x:v>
      </x:c>
    </x:row>
    <x:row r="16">
      <x:c r="A16" s="11" t="str">
        <x:v>A15</x:v>
      </x:c>
      <x:c r="B16" s="11" t="str">
        <x:v>Zidour et al. (2019)</x:v>
      </x:c>
      <x:c r="C16" s="11" t="str">
        <x:v>10.1016/j.chemosphere.2018.12.148</x:v>
      </x:c>
      <x:c r="D16" s="11" t="str">
        <x:v>ADD</x:v>
      </x:c>
      <x:c r="E16" s="11" t="n">
        <x:f>COUNTIF(Results!$A$2:$A$63,A16)</x:f>
        <x:v>13</x:v>
      </x:c>
      <x:c r="F16" s="11" t="n">
        <x:f>COUNTIFS(Results!$A$2:$A$63,A16,Results!$R$2:$R$63,"YES")</x:f>
        <x:v>11</x:v>
      </x:c>
      <x:c r="G16" s="11" t="str">
        <x:v>Cd/Cu/Ni; 48–96 h; Eurytemora affinis</x:v>
      </x:c>
      <x:c r="H16" s="11" t="str">
        <x:v>Eleven new Results retained after removing two Cd-96 h duplicates from Kadiene 2017.</x:v>
      </x:c>
      <x:c r="I16" s="11" t="str">
        <x:v>Quantitative augmentation; strong cross-metal connectivity</x:v>
      </x:c>
    </x:row>
    <x:row r="17">
      <x:c r="A17" s="11" t="str">
        <x:v>A16</x:v>
      </x:c>
      <x:c r="B17" s="11" t="str">
        <x:v>Biandolino et al. (2018)</x:v>
      </x:c>
      <x:c r="C17" s="11" t="str">
        <x:v>10.1016/j.ecoenv.2017.08.041</x:v>
      </x:c>
      <x:c r="D17" s="11" t="str">
        <x:v>ADD</x:v>
      </x:c>
      <x:c r="E17" s="11" t="n">
        <x:f>COUNTIF(Results!$A$2:$A$63,A17)</x:f>
        <x:v>1</x:v>
      </x:c>
      <x:c r="F17" s="11" t="n">
        <x:f>COUNTIFS(Results!$A$2:$A$63,A17,Results!$R$2:$R$63,"YES")</x:f>
        <x:v>1</x:v>
      </x:c>
      <x:c r="G17" s="11" t="str">
        <x:v>Cu; 48 h; Tigriopus fulvus nauplii</x:v>
      </x:c>
      <x:c r="H17" s="11" t="str">
        <x:v>Paper-reported mean LC50 retained; individual run LC50s not available.</x:v>
      </x:c>
      <x:c r="I17" s="11" t="str">
        <x:v>Quantitative augmentation</x:v>
      </x:c>
    </x:row>
    <x:row r="18">
      <x:c r="A18" s="11" t="str">
        <x:v>A17</x:v>
      </x:c>
      <x:c r="B18" s="11" t="str">
        <x:v>Øverjordet et al. (2014)</x:v>
      </x:c>
      <x:c r="C18" s="11" t="str">
        <x:v>10.1016/j.aquatox.2014.06.019</x:v>
      </x:c>
      <x:c r="D18" s="11" t="str">
        <x:v>ADD</x:v>
      </x:c>
      <x:c r="E18" s="11" t="n">
        <x:f>COUNTIF(Results!$A$2:$A$63,A18)</x:f>
        <x:v>4</x:v>
      </x:c>
      <x:c r="F18" s="11" t="n">
        <x:f>COUNTIFS(Results!$A$2:$A$63,A18,Results!$R$2:$R$63,"YES")</x:f>
        <x:v>4</x:v>
      </x:c>
      <x:c r="G18" s="11" t="str">
        <x:v>Hg; 48/96 h; two Calanus species</x:v>
      </x:c>
      <x:c r="H18" s="11" t="str">
        <x:v>Hg2+ basis clear; exposure solutions analytically measured.</x:v>
      </x:c>
      <x:c r="I18" s="11" t="str">
        <x:v>Quantitative augmentation</x:v>
      </x:c>
    </x:row>
    <x:row r="19">
      <x:c r="A19" s="11" t="str">
        <x:v>A18</x:v>
      </x:c>
      <x:c r="B19" s="11" t="str">
        <x:v>Mohammed et al. (2010)</x:v>
      </x:c>
      <x:c r="C19" s="11" t="str">
        <x:v>10.1007/s10646-010-0471-6</x:v>
      </x:c>
      <x:c r="D19" s="11" t="str">
        <x:v>ADD</x:v>
      </x:c>
      <x:c r="E19" s="11" t="n">
        <x:f>COUNTIF(Results!$A$2:$A$63,A19)</x:f>
        <x:v>3</x:v>
      </x:c>
      <x:c r="F19" s="11" t="n">
        <x:f>COUNTIFS(Results!$A$2:$A$63,A19,Results!$R$2:$R$63,"YES")</x:f>
        <x:v>3</x:v>
      </x:c>
      <x:c r="G19" s="11" t="str">
        <x:v>Ni; 48 h; three copepod species</x:v>
      </x:c>
      <x:c r="H19" s="11" t="str">
        <x:v>Nominal concentrations explicitly reported as mg Ni/L.</x:v>
      </x:c>
      <x:c r="I19" s="11" t="str">
        <x:v>Quantitative augmentation</x:v>
      </x:c>
    </x:row>
    <x:row r="20">
      <x:c r="A20" s="11" t="str">
        <x:v>A19</x:v>
      </x:c>
      <x:c r="B20" s="11" t="str">
        <x:v>Chen/Dong warming paper (2022)</x:v>
      </x:c>
      <x:c r="C20" s="11" t="str">
        <x:v>10.1007/s00128-021-03385-3</x:v>
      </x:c>
      <x:c r="D20" s="11" t="str">
        <x:v>MODIFIER</x:v>
      </x:c>
      <x:c r="E20" s="11" t="n">
        <x:f>COUNTIF(Results!$A$2:$A$63,A20)</x:f>
        <x:v>0</x:v>
      </x:c>
      <x:c r="F20" s="11" t="n">
        <x:f>COUNTIFS(Results!$A$2:$A$63,A20,Results!$R$2:$R$63,"YES")</x:f>
        <x:v>0</x:v>
      </x:c>
      <x:c r="G20" s="11" t="str">
        <x:v>Hg × deliberate temperature</x:v>
      </x:c>
      <x:c r="H20" s="11" t="str">
        <x:v>Deliberate warming comparison; kept outside plain-metal quantitative layer.</x:v>
      </x:c>
      <x:c r="I20" s="11" t="str">
        <x:v>Modifier / climate-stressor context</x:v>
      </x:c>
    </x:row>
    <x:row r="21">
      <x:c r="A21" s="11" t="str">
        <x:v>A20</x:v>
      </x:c>
      <x:c r="B21" s="11" t="str">
        <x:v>Wei et al. (2021)</x:v>
      </x:c>
      <x:c r="C21" s="11" t="str">
        <x:v>10.1016/j.marpolbul.2021.113145</x:v>
      </x:c>
      <x:c r="D21" s="11" t="str">
        <x:v>MODIFIER</x:v>
      </x:c>
      <x:c r="E21" s="11" t="n">
        <x:f>COUNTIF(Results!$A$2:$A$63,A21)</x:f>
        <x:v>0</x:v>
      </x:c>
      <x:c r="F21" s="11" t="n">
        <x:f>COUNTIFS(Results!$A$2:$A$63,A21,Results!$R$2:$R$63,"YES")</x:f>
        <x:v>0</x:v>
      </x:c>
      <x:c r="G21" s="11" t="str">
        <x:v>Cd × acidification</x:v>
      </x:c>
      <x:c r="H21" s="11" t="str">
        <x:v>Deliberate acidification study; not used in plain-metal quantitative layer.</x:v>
      </x:c>
      <x:c r="I21" s="11" t="str">
        <x:v>Modifier / ocean-acidification context</x:v>
      </x:c>
    </x:row>
    <x:row r="22">
      <x:c r="A22" s="11" t="str">
        <x:v>A21</x:v>
      </x:c>
      <x:c r="B22" s="11" t="str">
        <x:v>Bao et al. (2018)</x:v>
      </x:c>
      <x:c r="C22" s="11" t="str">
        <x:v>10.1007/s11356-017-9428-0</x:v>
      </x:c>
      <x:c r="D22" s="11" t="str">
        <x:v>MODIFIER</x:v>
      </x:c>
      <x:c r="E22" s="11" t="n">
        <x:f>COUNTIF(Results!$A$2:$A$63,A22)</x:f>
        <x:v>0</x:v>
      </x:c>
      <x:c r="F22" s="11" t="n">
        <x:f>COUNTIFS(Results!$A$2:$A$63,A22,Results!$R$2:$R$63,"YES")</x:f>
        <x:v>0</x:v>
      </x:c>
      <x:c r="G22" s="11" t="str">
        <x:v>Cu water-effect-ratio study</x:v>
      </x:c>
      <x:c r="H22" s="11" t="str">
        <x:v>Site-water / water-matrix manipulation.</x:v>
      </x:c>
      <x:c r="I22" s="11" t="str">
        <x:v>Modifier / water-chemistry context</x:v>
      </x:c>
    </x:row>
    <x:row r="23">
      <x:c r="A23" s="11" t="str">
        <x:v>A22</x:v>
      </x:c>
      <x:c r="B23" s="11" t="str">
        <x:v>Li et al. (2014)</x:v>
      </x:c>
      <x:c r="C23" s="11" t="str">
        <x:v>10.1007/s10646-014-1297-4</x:v>
      </x:c>
      <x:c r="D23" s="11" t="str">
        <x:v>MODIFIER</x:v>
      </x:c>
      <x:c r="E23" s="11" t="n">
        <x:f>COUNTIF(Results!$A$2:$A$63,A23)</x:f>
        <x:v>0</x:v>
      </x:c>
      <x:c r="F23" s="11" t="n">
        <x:f>COUNTIFS(Results!$A$2:$A$63,A23,Results!$R$2:$R$63,"YES")</x:f>
        <x:v>0</x:v>
      </x:c>
      <x:c r="G23" s="11" t="str">
        <x:v>Cu × deliberate temperature series</x:v>
      </x:c>
      <x:c r="H23" s="11" t="str">
        <x:v>Temperature was deliberately manipulated across the acute tests.</x:v>
      </x:c>
      <x:c r="I23" s="11" t="str">
        <x:v>Modifier / temperature context</x:v>
      </x:c>
    </x:row>
    <x:row r="24">
      <x:c r="A24" s="11" t="str">
        <x:v>A23</x:v>
      </x:c>
      <x:c r="B24" s="11" t="str">
        <x:v>Holan et al. (2019)</x:v>
      </x:c>
      <x:c r="C24" s="11" t="str">
        <x:v>10.1016/j.envpol.2019.02.016</x:v>
      </x:c>
      <x:c r="D24" s="11" t="str">
        <x:v>EXCLUDE</x:v>
      </x:c>
      <x:c r="E24" s="11" t="n">
        <x:f>COUNTIF(Results!$A$2:$A$63,A24)</x:f>
        <x:v>0</x:v>
      </x:c>
      <x:c r="F24" s="11" t="n">
        <x:f>COUNTIFS(Results!$A$2:$A$63,A24,Results!$R$2:$R$63,"YES")</x:f>
        <x:v>0</x:v>
      </x:c>
      <x:c r="G24" s="11" t="str">
        <x:v>Cu × temperature/salinity</x:v>
      </x:c>
      <x:c r="H24" s="11" t="str">
        <x:v>Copepod LC50 reported after 7 d (&gt;96 h).</x:v>
      </x:c>
      <x:c r="I24" s="11" t="str">
        <x:v>Environmental-modifier literature</x:v>
      </x:c>
    </x:row>
    <x:row r="25">
      <x:c r="A25" s="11" t="str">
        <x:v>A24</x:v>
      </x:c>
      <x:c r="B25" s="11" t="str">
        <x:v>Forget et al. (1999)</x:v>
      </x:c>
      <x:c r="C25" s="11" t="str">
        <x:v>10.1002/etc.5620180514</x:v>
      </x:c>
      <x:c r="D25" s="11" t="str">
        <x:v>NO NEW DATA</x:v>
      </x:c>
      <x:c r="E25" s="11" t="n">
        <x:f>COUNTIF(Results!$A$2:$A$63,A25)</x:f>
        <x:v>0</x:v>
      </x:c>
      <x:c r="F25" s="11" t="n">
        <x:f>COUNTIFS(Results!$A$2:$A$63,A25,Results!$R$2:$R$63,"YES")</x:f>
        <x:v>0</x:v>
      </x:c>
      <x:c r="G25" s="11" t="str">
        <x:v>Pesticide–metal mixtures</x:v>
      </x:c>
      <x:c r="H25" s="11" t="str">
        <x:v>Plain-metal LC50s were re-reported from previous work, not new results in this paper.</x:v>
      </x:c>
      <x:c r="I25" s="11" t="str">
        <x:v>Mixture context only</x:v>
      </x:c>
    </x:row>
    <x:row r="26">
      <x:c r="A26" s="11" t="str">
        <x:v>A25</x:v>
      </x:c>
      <x:c r="B26" s="11" t="str">
        <x:v>Chen (2016)</x:v>
      </x:c>
      <x:c r="C26" s="11" t="str"/>
      <x:c r="D26" s="11" t="str">
        <x:v>UNRESOLVED</x:v>
      </x:c>
      <x:c r="E26" s="11" t="n">
        <x:f>COUNTIF(Results!$A$2:$A$63,A26)</x:f>
        <x:v>0</x:v>
      </x:c>
      <x:c r="F26" s="11" t="n">
        <x:f>COUNTIFS(Results!$A$2:$A$63,A26,Results!$R$2:$R$63,"YES")</x:f>
        <x:v>0</x:v>
      </x:c>
      <x:c r="G26" s="11" t="str">
        <x:v>Pseudodiaptomus annandalei; metal additions</x:v>
      </x:c>
      <x:c r="H26" s="11" t="str">
        <x:v>Full text not obtained; no source-verified Result added.</x:v>
      </x:c>
      <x:c r="I26" s="11" t="str">
        <x:v>Coverage audit only</x:v>
      </x:c>
    </x:row>
    <x:row r="27" ht="60" customHeight="1">
      <x:c r="A27" s="20" t="str">
        <x:v>A26</x:v>
      </x:c>
      <x:c r="B27" s="20" t="str">
        <x:v>Yang et al. (2022)</x:v>
      </x:c>
      <x:c r="C27" s="20" t="str">
        <x:v>10.1016/j.chemosphere.2022.134099</x:v>
      </x:c>
      <x:c r="D27" s="20" t="str">
        <x:v>ADD</x:v>
      </x:c>
      <x:c r="E27" s="20" t="n">
        <x:f>COUNTIF(Results!$A$2:$A$63,A27)</x:f>
        <x:v>1</x:v>
      </x:c>
      <x:c r="F27" s="20" t="n">
        <x:f>COUNTIFS(Results!$A$2:$A$63,A27,Results!$R$2:$R$63,"YES")</x:f>
        <x:v>1</x:v>
      </x:c>
      <x:c r="G27" s="20" t="str">
        <x:v>ZnCl2 comparator; 96 h; Tigriopus japonicus</x:v>
      </x:c>
      <x:c r="H27" s="20" t="str">
        <x:v>Separate ZnCl2 LC50 reported as Zn2+; retain result with incomplete arm-specific protocol metadata.</x:v>
      </x:c>
      <x:c r="I27" s="20" t="str">
        <x:v>Quantitative augmentation; metadata limitation documented</x:v>
      </x:c>
    </x:row>
  </x:sheetData>
  <x:conditionalFormatting sqref="D2:D26">
    <x:cfRule type="expression" dxfId="2" priority="1">
      <x:formula>D2="ADD"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2ede98b96543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27" hidden="0" customWidth="1"/>
    <x:col min="6" max="6" width="28" hidden="0" customWidth="1"/>
    <x:col min="7" max="7" width="14" hidden="0" customWidth="1"/>
    <x:col min="8" max="8" width="24" hidden="0" customWidth="1"/>
    <x:col min="9" max="9" width="9" hidden="0" customWidth="1"/>
    <x:col min="10" max="10" width="11" hidden="0" customWidth="1"/>
    <x:col min="11" max="11" width="14" hidden="0" customWidth="1"/>
    <x:col min="12" max="12" width="13" hidden="0" customWidth="1"/>
    <x:col min="13" max="13" width="20" hidden="0" customWidth="1"/>
    <x:col min="14" max="14" width="27" hidden="0" customWidth="1"/>
    <x:col min="15" max="15" width="27" hidden="0" customWidth="1"/>
    <x:col min="16" max="16" width="12" hidden="0" customWidth="1"/>
    <x:col min="17" max="17" width="12" hidden="0" customWidth="1"/>
    <x:col min="18" max="18" width="15" hidden="0" customWidth="1"/>
    <x:col min="19" max="19" width="15" hidden="0" customWidth="1"/>
    <x:col min="20" max="20" width="15" hidden="0" customWidth="1"/>
    <x:col min="21" max="21" width="20" hidden="0" customWidth="1"/>
    <x:col min="22" max="22" width="48" hidden="0" customWidth="1"/>
  </x:cols>
  <x:sheetData>
    <x:row r="1">
      <x:c r="A1" s="10" t="str">
        <x:v>Audit_ID</x:v>
      </x:c>
      <x:c r="B1" s="10" t="str">
        <x:v>Reference_ID</x:v>
      </x:c>
      <x:c r="C1" s="10" t="str">
        <x:v>Test_ID</x:v>
      </x:c>
      <x:c r="D1" s="10" t="str">
        <x:v>Result_ID</x:v>
      </x:c>
      <x:c r="E1" s="10" t="str">
        <x:v>Reference</x:v>
      </x:c>
      <x:c r="F1" s="10" t="str">
        <x:v>Species</x:v>
      </x:c>
      <x:c r="G1" s="10" t="str">
        <x:v>Order</x:v>
      </x:c>
      <x:c r="H1" s="10" t="str">
        <x:v>Stage_Sex</x:v>
      </x:c>
      <x:c r="I1" s="10" t="str">
        <x:v>Metal</x:v>
      </x:c>
      <x:c r="J1" s="10" t="str">
        <x:v>Duration_h</x:v>
      </x:c>
      <x:c r="K1" s="10" t="str">
        <x:v>LC50_reported</x:v>
      </x:c>
      <x:c r="L1" s="10" t="str">
        <x:v>Unit</x:v>
      </x:c>
      <x:c r="M1" s="10" t="str">
        <x:v>Chemical</x:v>
      </x:c>
      <x:c r="N1" s="10" t="str">
        <x:v>Concentration_basis</x:v>
      </x:c>
      <x:c r="O1" s="10" t="str">
        <x:v>Concentration_type</x:v>
      </x:c>
      <x:c r="P1" s="10" t="str">
        <x:v>Temp_C</x:v>
      </x:c>
      <x:c r="Q1" s="10" t="str">
        <x:v>Salinity</x:v>
      </x:c>
      <x:c r="R1" s="10" t="str">
        <x:v>Include_in_combined</x:v>
      </x:c>
      <x:c r="S1" s="10" t="str">
        <x:v>Extrapolation_flag</x:v>
      </x:c>
      <x:c r="T1" s="10" t="str">
        <x:v>Duplicate_flag</x:v>
      </x:c>
      <x:c r="U1" s="10" t="str">
        <x:v>Source_location</x:v>
      </x:c>
      <x:c r="V1" s="10" t="str">
        <x:v>Note</x:v>
      </x:c>
    </x:row>
    <x:row r="2">
      <x:c r="A2" s="11" t="str">
        <x:v>A01</x:v>
      </x:c>
      <x:c r="B2" s="11" t="str"/>
      <x:c r="C2" s="11" t="str"/>
      <x:c r="D2" s="11" t="str"/>
      <x:c r="E2" s="11" t="str">
        <x:v>Opoku et al. (2024)</x:v>
      </x:c>
      <x:c r="F2" s="11" t="str">
        <x:v>Temora stylifera</x:v>
      </x:c>
      <x:c r="G2" s="11" t="str">
        <x:v>Calanoida</x:v>
      </x:c>
      <x:c r="H2" s="11" t="str">
        <x:v>Adult; mixed 5F:2M</x:v>
      </x:c>
      <x:c r="I2" s="11" t="str">
        <x:v>Cd</x:v>
      </x:c>
      <x:c r="J2" s="14" t="n">
        <x:v>24</x:v>
      </x:c>
      <x:c r="K2" s="16" t="n">
        <x:v>120.2</x:v>
      </x:c>
      <x:c r="L2" s="11" t="str">
        <x:v>µg/L</x:v>
      </x:c>
      <x:c r="M2" s="11" t="str">
        <x:v>CdCl2</x:v>
      </x:c>
      <x:c r="N2" s="11" t="str">
        <x:v>Unclear: Cd vs CdCl2 mass</x:v>
      </x:c>
      <x:c r="O2" s="11" t="str">
        <x:v>Nominal</x:v>
      </x:c>
      <x:c r="P2" s="18" t="n">
        <x:v>25</x:v>
      </x:c>
      <x:c r="Q2" s="18" t="n">
        <x:v>33</x:v>
      </x:c>
      <x:c r="R2" s="11" t="str">
        <x:v>NO</x:v>
      </x:c>
      <x:c r="S2" s="11" t="str">
        <x:v>NO</x:v>
      </x:c>
      <x:c r="T2" s="11" t="str">
        <x:v>NO</x:v>
      </x:c>
      <x:c r="U2" s="11" t="str">
        <x:v>Results/Table 3</x:v>
      </x:c>
      <x:c r="V2" s="11" t="str">
        <x:v>Concentration basis unresolved.</x:v>
      </x:c>
    </x:row>
    <x:row r="3">
      <x:c r="A3" s="11" t="str">
        <x:v>A01</x:v>
      </x:c>
      <x:c r="B3" s="11" t="str"/>
      <x:c r="C3" s="11" t="str"/>
      <x:c r="D3" s="11" t="str"/>
      <x:c r="E3" s="11" t="str">
        <x:v>Opoku et al. (2024)</x:v>
      </x:c>
      <x:c r="F3" s="11" t="str">
        <x:v>Centropages velificatus</x:v>
      </x:c>
      <x:c r="G3" s="11" t="str">
        <x:v>Calanoida</x:v>
      </x:c>
      <x:c r="H3" s="11" t="str">
        <x:v>Adult; mixed 5F:2M</x:v>
      </x:c>
      <x:c r="I3" s="11" t="str">
        <x:v>Cd</x:v>
      </x:c>
      <x:c r="J3" s="14" t="n">
        <x:v>24</x:v>
      </x:c>
      <x:c r="K3" s="16" t="n">
        <x:v>35.6</x:v>
      </x:c>
      <x:c r="L3" s="11" t="str">
        <x:v>µg/L</x:v>
      </x:c>
      <x:c r="M3" s="11" t="str">
        <x:v>CdCl2</x:v>
      </x:c>
      <x:c r="N3" s="11" t="str">
        <x:v>Unclear: Cd vs CdCl2 mass</x:v>
      </x:c>
      <x:c r="O3" s="11" t="str">
        <x:v>Nominal</x:v>
      </x:c>
      <x:c r="P3" s="18" t="n">
        <x:v>25</x:v>
      </x:c>
      <x:c r="Q3" s="18" t="n">
        <x:v>33</x:v>
      </x:c>
      <x:c r="R3" s="11" t="str">
        <x:v>NO</x:v>
      </x:c>
      <x:c r="S3" s="11" t="str">
        <x:v>NO</x:v>
      </x:c>
      <x:c r="T3" s="11" t="str">
        <x:v>NO</x:v>
      </x:c>
      <x:c r="U3" s="11" t="str">
        <x:v>Results/Table 3</x:v>
      </x:c>
      <x:c r="V3" s="11" t="str">
        <x:v>Concentration basis unresolved.</x:v>
      </x:c>
    </x:row>
    <x:row r="4">
      <x:c r="A4" s="11" t="str">
        <x:v>A02</x:v>
      </x:c>
      <x:c r="B4" s="11" t="str">
        <x:v>W_001</x:v>
      </x:c>
      <x:c r="C4" s="11" t="str">
        <x:v>W_001_T01</x:v>
      </x:c>
      <x:c r="D4" s="11" t="str">
        <x:v>W_001_T01_R01</x:v>
      </x:c>
      <x:c r="E4" s="11" t="str">
        <x:v>Panneerselvam et al. (2018)</x:v>
      </x:c>
      <x:c r="F4" s="11" t="str">
        <x:v>Oithona similis</x:v>
      </x:c>
      <x:c r="G4" s="11" t="str">
        <x:v>Cyclopoida</x:v>
      </x:c>
      <x:c r="H4" s="11" t="str">
        <x:v>Adult</x:v>
      </x:c>
      <x:c r="I4" s="11" t="str">
        <x:v>Ni</x:v>
      </x:c>
      <x:c r="J4" s="14" t="n">
        <x:v>96</x:v>
      </x:c>
      <x:c r="K4" s="16" t="n">
        <x:v>2.52</x:v>
      </x:c>
      <x:c r="L4" s="11" t="str">
        <x:v>mg Ni/L</x:v>
      </x:c>
      <x:c r="M4" s="11" t="str">
        <x:v>Ni salt not reported</x:v>
      </x:c>
      <x:c r="N4" s="11" t="str">
        <x:v>Elemental Ni</x:v>
      </x:c>
      <x:c r="O4" s="11" t="str">
        <x:v>Measured dissolved</x:v>
      </x:c>
      <x:c r="P4" s="18" t="n">
        <x:v>24</x:v>
      </x:c>
      <x:c r="Q4" s="18" t="n">
        <x:v>30</x:v>
      </x:c>
      <x:c r="R4" s="11" t="str">
        <x:v>YES</x:v>
      </x:c>
      <x:c r="S4" s="11" t="str">
        <x:v>NO</x:v>
      </x:c>
      <x:c r="T4" s="11" t="str">
        <x:v>NO</x:v>
      </x:c>
      <x:c r="U4" s="11" t="str">
        <x:v>Results/Table 1</x:v>
      </x:c>
      <x:c r="V4" s="11" t="str">
        <x:v>Table/Results value used; abstract differs.</x:v>
      </x:c>
    </x:row>
    <x:row r="5">
      <x:c r="A5" s="11" t="str">
        <x:v>A02</x:v>
      </x:c>
      <x:c r="B5" s="11" t="str">
        <x:v>W_001</x:v>
      </x:c>
      <x:c r="C5" s="11" t="str">
        <x:v>W_001_T02</x:v>
      </x:c>
      <x:c r="D5" s="11" t="str">
        <x:v>W_001_T02_R01</x:v>
      </x:c>
      <x:c r="E5" s="11" t="str">
        <x:v>Panneerselvam et al. (2018)</x:v>
      </x:c>
      <x:c r="F5" s="11" t="str">
        <x:v>Acartia danae</x:v>
      </x:c>
      <x:c r="G5" s="11" t="str">
        <x:v>Calanoida</x:v>
      </x:c>
      <x:c r="H5" s="11" t="str">
        <x:v>Adult</x:v>
      </x:c>
      <x:c r="I5" s="11" t="str">
        <x:v>Ni</x:v>
      </x:c>
      <x:c r="J5" s="14" t="n">
        <x:v>96</x:v>
      </x:c>
      <x:c r="K5" s="16" t="n">
        <x:v>2.351</x:v>
      </x:c>
      <x:c r="L5" s="11" t="str">
        <x:v>mg Ni/L</x:v>
      </x:c>
      <x:c r="M5" s="11" t="str">
        <x:v>Ni salt not reported</x:v>
      </x:c>
      <x:c r="N5" s="11" t="str">
        <x:v>Elemental Ni</x:v>
      </x:c>
      <x:c r="O5" s="11" t="str">
        <x:v>Measured dissolved</x:v>
      </x:c>
      <x:c r="P5" s="18" t="n">
        <x:v>24</x:v>
      </x:c>
      <x:c r="Q5" s="18" t="n">
        <x:v>30</x:v>
      </x:c>
      <x:c r="R5" s="11" t="str">
        <x:v>YES</x:v>
      </x:c>
      <x:c r="S5" s="11" t="str">
        <x:v>NO</x:v>
      </x:c>
      <x:c r="T5" s="11" t="str">
        <x:v>NO</x:v>
      </x:c>
      <x:c r="U5" s="11" t="str">
        <x:v>Results/Table 1</x:v>
      </x:c>
      <x:c r="V5" s="11" t="str">
        <x:v>Table/Results value used; abstract rounded differently.</x:v>
      </x:c>
    </x:row>
    <x:row r="6">
      <x:c r="A6" s="11" t="str">
        <x:v>A03</x:v>
      </x:c>
      <x:c r="B6" s="11" t="str">
        <x:v>W_002</x:v>
      </x:c>
      <x:c r="C6" s="11" t="str">
        <x:v>W_002_T01</x:v>
      </x:c>
      <x:c r="D6" s="11" t="str">
        <x:v>W_002_R01</x:v>
      </x:c>
      <x:c r="E6" s="11" t="str">
        <x:v>Kadiene et al. (2017)</x:v>
      </x:c>
      <x:c r="F6" s="11" t="str">
        <x:v>Pseudodiaptomus annandalei</x:v>
      </x:c>
      <x:c r="G6" s="11" t="str">
        <x:v>Calanoida</x:v>
      </x:c>
      <x:c r="H6" s="11" t="str">
        <x:v>Adult male</x:v>
      </x:c>
      <x:c r="I6" s="11" t="str">
        <x:v>Cd</x:v>
      </x:c>
      <x:c r="J6" s="14" t="n">
        <x:v>72</x:v>
      </x:c>
      <x:c r="K6" s="16" t="n">
        <x:v>252.2</x:v>
      </x:c>
      <x:c r="L6" s="11" t="str">
        <x:v>µg Cd/L</x:v>
      </x:c>
      <x:c r="M6" s="11" t="str">
        <x:v>Cd salt not reported</x:v>
      </x:c>
      <x:c r="N6" s="11" t="str">
        <x:v>Elemental Cd</x:v>
      </x:c>
      <x:c r="O6" s="11" t="str">
        <x:v>Nominal</x:v>
      </x:c>
      <x:c r="P6" s="18" t="n">
        <x:v>26</x:v>
      </x:c>
      <x:c r="Q6" s="18" t="n">
        <x:v>15</x:v>
      </x:c>
      <x:c r="R6" s="11" t="str">
        <x:v>YES</x:v>
      </x:c>
      <x:c r="S6" s="11" t="str">
        <x:v>NO</x:v>
      </x:c>
      <x:c r="T6" s="11" t="str">
        <x:v>NO</x:v>
      </x:c>
      <x:c r="U6" s="11" t="str">
        <x:v>Table 1</x:v>
      </x:c>
      <x:c r="V6" s="11" t="str"/>
    </x:row>
    <x:row r="7">
      <x:c r="A7" s="11" t="str">
        <x:v>A03</x:v>
      </x:c>
      <x:c r="B7" s="11" t="str">
        <x:v>W_002</x:v>
      </x:c>
      <x:c r="C7" s="11" t="str">
        <x:v>W_002_T01</x:v>
      </x:c>
      <x:c r="D7" s="11" t="str">
        <x:v>W_002_R02</x:v>
      </x:c>
      <x:c r="E7" s="11" t="str">
        <x:v>Kadiene et al. (2017)</x:v>
      </x:c>
      <x:c r="F7" s="11" t="str">
        <x:v>Pseudodiaptomus annandalei</x:v>
      </x:c>
      <x:c r="G7" s="11" t="str">
        <x:v>Calanoida</x:v>
      </x:c>
      <x:c r="H7" s="11" t="str">
        <x:v>Adult male</x:v>
      </x:c>
      <x:c r="I7" s="11" t="str">
        <x:v>Cd</x:v>
      </x:c>
      <x:c r="J7" s="14" t="n">
        <x:v>96</x:v>
      </x:c>
      <x:c r="K7" s="16" t="n">
        <x:v>120.59</x:v>
      </x:c>
      <x:c r="L7" s="11" t="str">
        <x:v>µg Cd/L</x:v>
      </x:c>
      <x:c r="M7" s="11" t="str">
        <x:v>Cd salt not reported</x:v>
      </x:c>
      <x:c r="N7" s="11" t="str">
        <x:v>Elemental Cd</x:v>
      </x:c>
      <x:c r="O7" s="11" t="str">
        <x:v>Nominal</x:v>
      </x:c>
      <x:c r="P7" s="18" t="n">
        <x:v>26</x:v>
      </x:c>
      <x:c r="Q7" s="18" t="n">
        <x:v>15</x:v>
      </x:c>
      <x:c r="R7" s="11" t="str">
        <x:v>YES</x:v>
      </x:c>
      <x:c r="S7" s="11" t="str">
        <x:v>NO</x:v>
      </x:c>
      <x:c r="T7" s="11" t="str">
        <x:v>NO</x:v>
      </x:c>
      <x:c r="U7" s="11" t="str">
        <x:v>Table 1</x:v>
      </x:c>
      <x:c r="V7" s="11" t="str"/>
    </x:row>
    <x:row r="8">
      <x:c r="A8" s="11" t="str">
        <x:v>A03</x:v>
      </x:c>
      <x:c r="B8" s="11" t="str">
        <x:v>W_002</x:v>
      </x:c>
      <x:c r="C8" s="11" t="str">
        <x:v>W_002_T02</x:v>
      </x:c>
      <x:c r="D8" s="11" t="str">
        <x:v>W_002_R03</x:v>
      </x:c>
      <x:c r="E8" s="11" t="str">
        <x:v>Kadiene et al. (2017)</x:v>
      </x:c>
      <x:c r="F8" s="11" t="str">
        <x:v>Pseudodiaptomus annandalei</x:v>
      </x:c>
      <x:c r="G8" s="11" t="str">
        <x:v>Calanoida</x:v>
      </x:c>
      <x:c r="H8" s="11" t="str">
        <x:v>Adult female</x:v>
      </x:c>
      <x:c r="I8" s="11" t="str">
        <x:v>Cd</x:v>
      </x:c>
      <x:c r="J8" s="14" t="n">
        <x:v>72</x:v>
      </x:c>
      <x:c r="K8" s="16" t="n">
        <x:v>461.86</x:v>
      </x:c>
      <x:c r="L8" s="11" t="str">
        <x:v>µg Cd/L</x:v>
      </x:c>
      <x:c r="M8" s="11" t="str">
        <x:v>Cd salt not reported</x:v>
      </x:c>
      <x:c r="N8" s="11" t="str">
        <x:v>Elemental Cd</x:v>
      </x:c>
      <x:c r="O8" s="11" t="str">
        <x:v>Nominal</x:v>
      </x:c>
      <x:c r="P8" s="18" t="n">
        <x:v>26</x:v>
      </x:c>
      <x:c r="Q8" s="18" t="n">
        <x:v>15</x:v>
      </x:c>
      <x:c r="R8" s="11" t="str">
        <x:v>YES</x:v>
      </x:c>
      <x:c r="S8" s="11" t="str">
        <x:v>YES</x:v>
      </x:c>
      <x:c r="T8" s="11" t="str">
        <x:v>NO</x:v>
      </x:c>
      <x:c r="U8" s="11" t="str">
        <x:v>Table 1</x:v>
      </x:c>
      <x:c r="V8" s="11" t="str">
        <x:v>LC50 above highest tested concentration (360 µg/L).</x:v>
      </x:c>
    </x:row>
    <x:row r="9">
      <x:c r="A9" s="11" t="str">
        <x:v>A03</x:v>
      </x:c>
      <x:c r="B9" s="11" t="str">
        <x:v>W_002</x:v>
      </x:c>
      <x:c r="C9" s="11" t="str">
        <x:v>W_002_T02</x:v>
      </x:c>
      <x:c r="D9" s="11" t="str">
        <x:v>W_002_R04</x:v>
      </x:c>
      <x:c r="E9" s="11" t="str">
        <x:v>Kadiene et al. (2017)</x:v>
      </x:c>
      <x:c r="F9" s="11" t="str">
        <x:v>Pseudodiaptomus annandalei</x:v>
      </x:c>
      <x:c r="G9" s="11" t="str">
        <x:v>Calanoida</x:v>
      </x:c>
      <x:c r="H9" s="11" t="str">
        <x:v>Adult female</x:v>
      </x:c>
      <x:c r="I9" s="11" t="str">
        <x:v>Cd</x:v>
      </x:c>
      <x:c r="J9" s="14" t="n">
        <x:v>96</x:v>
      </x:c>
      <x:c r="K9" s="16" t="n">
        <x:v>239.46</x:v>
      </x:c>
      <x:c r="L9" s="11" t="str">
        <x:v>µg Cd/L</x:v>
      </x:c>
      <x:c r="M9" s="11" t="str">
        <x:v>Cd salt not reported</x:v>
      </x:c>
      <x:c r="N9" s="11" t="str">
        <x:v>Elemental Cd</x:v>
      </x:c>
      <x:c r="O9" s="11" t="str">
        <x:v>Nominal</x:v>
      </x:c>
      <x:c r="P9" s="18" t="n">
        <x:v>26</x:v>
      </x:c>
      <x:c r="Q9" s="18" t="n">
        <x:v>15</x:v>
      </x:c>
      <x:c r="R9" s="11" t="str">
        <x:v>YES</x:v>
      </x:c>
      <x:c r="S9" s="11" t="str">
        <x:v>NO</x:v>
      </x:c>
      <x:c r="T9" s="11" t="str">
        <x:v>NO</x:v>
      </x:c>
      <x:c r="U9" s="11" t="str">
        <x:v>Table 1</x:v>
      </x:c>
      <x:c r="V9" s="11" t="str"/>
    </x:row>
    <x:row r="10">
      <x:c r="A10" s="11" t="str">
        <x:v>A03</x:v>
      </x:c>
      <x:c r="B10" s="11" t="str">
        <x:v>W_002</x:v>
      </x:c>
      <x:c r="C10" s="11" t="str">
        <x:v>W_002_T03</x:v>
      </x:c>
      <x:c r="D10" s="11" t="str">
        <x:v>W_002_R05</x:v>
      </x:c>
      <x:c r="E10" s="11" t="str">
        <x:v>Kadiene et al. (2017)</x:v>
      </x:c>
      <x:c r="F10" s="11" t="str">
        <x:v>Eurytemora affinis</x:v>
      </x:c>
      <x:c r="G10" s="11" t="str">
        <x:v>Calanoida</x:v>
      </x:c>
      <x:c r="H10" s="11" t="str">
        <x:v>Adult female</x:v>
      </x:c>
      <x:c r="I10" s="11" t="str">
        <x:v>Cd</x:v>
      </x:c>
      <x:c r="J10" s="14" t="n">
        <x:v>48</x:v>
      </x:c>
      <x:c r="K10" s="16" t="n">
        <x:v>365.54</x:v>
      </x:c>
      <x:c r="L10" s="11" t="str">
        <x:v>µg Cd/L</x:v>
      </x:c>
      <x:c r="M10" s="11" t="str">
        <x:v>Cd salt not reported</x:v>
      </x:c>
      <x:c r="N10" s="11" t="str">
        <x:v>Elemental Cd</x:v>
      </x:c>
      <x:c r="O10" s="11" t="str">
        <x:v>Nominal</x:v>
      </x:c>
      <x:c r="P10" s="18" t="n">
        <x:v>18</x:v>
      </x:c>
      <x:c r="Q10" s="18" t="n">
        <x:v>15</x:v>
      </x:c>
      <x:c r="R10" s="11" t="str">
        <x:v>YES</x:v>
      </x:c>
      <x:c r="S10" s="11" t="str">
        <x:v>NO</x:v>
      </x:c>
      <x:c r="T10" s="11" t="str">
        <x:v>NO</x:v>
      </x:c>
      <x:c r="U10" s="11" t="str">
        <x:v>Table 1</x:v>
      </x:c>
      <x:c r="V10" s="11" t="str"/>
    </x:row>
    <x:row r="11">
      <x:c r="A11" s="11" t="str">
        <x:v>A03</x:v>
      </x:c>
      <x:c r="B11" s="11" t="str">
        <x:v>W_002</x:v>
      </x:c>
      <x:c r="C11" s="11" t="str">
        <x:v>W_002_T04</x:v>
      </x:c>
      <x:c r="D11" s="11" t="str">
        <x:v>W_002_R06</x:v>
      </x:c>
      <x:c r="E11" s="11" t="str">
        <x:v>Kadiene et al. (2017)</x:v>
      </x:c>
      <x:c r="F11" s="11" t="str">
        <x:v>Eurytemora affinis</x:v>
      </x:c>
      <x:c r="G11" s="11" t="str">
        <x:v>Calanoida</x:v>
      </x:c>
      <x:c r="H11" s="11" t="str">
        <x:v>Adult male</x:v>
      </x:c>
      <x:c r="I11" s="11" t="str">
        <x:v>Cd</x:v>
      </x:c>
      <x:c r="J11" s="14" t="n">
        <x:v>72</x:v>
      </x:c>
      <x:c r="K11" s="16" t="n">
        <x:v>281.94</x:v>
      </x:c>
      <x:c r="L11" s="11" t="str">
        <x:v>µg Cd/L</x:v>
      </x:c>
      <x:c r="M11" s="11" t="str">
        <x:v>Cd salt not reported</x:v>
      </x:c>
      <x:c r="N11" s="11" t="str">
        <x:v>Elemental Cd</x:v>
      </x:c>
      <x:c r="O11" s="11" t="str">
        <x:v>Nominal</x:v>
      </x:c>
      <x:c r="P11" s="18" t="n">
        <x:v>18</x:v>
      </x:c>
      <x:c r="Q11" s="18" t="n">
        <x:v>15</x:v>
      </x:c>
      <x:c r="R11" s="11" t="str">
        <x:v>YES</x:v>
      </x:c>
      <x:c r="S11" s="11" t="str">
        <x:v>NO</x:v>
      </x:c>
      <x:c r="T11" s="11" t="str">
        <x:v>NO</x:v>
      </x:c>
      <x:c r="U11" s="11" t="str">
        <x:v>Table 1</x:v>
      </x:c>
      <x:c r="V11" s="11" t="str"/>
    </x:row>
    <x:row r="12">
      <x:c r="A12" s="11" t="str">
        <x:v>A03</x:v>
      </x:c>
      <x:c r="B12" s="11" t="str">
        <x:v>W_002</x:v>
      </x:c>
      <x:c r="C12" s="11" t="str">
        <x:v>W_002_T03</x:v>
      </x:c>
      <x:c r="D12" s="11" t="str">
        <x:v>W_002_R07</x:v>
      </x:c>
      <x:c r="E12" s="11" t="str">
        <x:v>Kadiene et al. (2017)</x:v>
      </x:c>
      <x:c r="F12" s="11" t="str">
        <x:v>Eurytemora affinis</x:v>
      </x:c>
      <x:c r="G12" s="11" t="str">
        <x:v>Calanoida</x:v>
      </x:c>
      <x:c r="H12" s="11" t="str">
        <x:v>Adult female</x:v>
      </x:c>
      <x:c r="I12" s="11" t="str">
        <x:v>Cd</x:v>
      </x:c>
      <x:c r="J12" s="14" t="n">
        <x:v>72</x:v>
      </x:c>
      <x:c r="K12" s="16" t="n">
        <x:v>158.88</x:v>
      </x:c>
      <x:c r="L12" s="11" t="str">
        <x:v>µg Cd/L</x:v>
      </x:c>
      <x:c r="M12" s="11" t="str">
        <x:v>Cd salt not reported</x:v>
      </x:c>
      <x:c r="N12" s="11" t="str">
        <x:v>Elemental Cd</x:v>
      </x:c>
      <x:c r="O12" s="11" t="str">
        <x:v>Nominal</x:v>
      </x:c>
      <x:c r="P12" s="18" t="n">
        <x:v>18</x:v>
      </x:c>
      <x:c r="Q12" s="18" t="n">
        <x:v>15</x:v>
      </x:c>
      <x:c r="R12" s="11" t="str">
        <x:v>YES</x:v>
      </x:c>
      <x:c r="S12" s="11" t="str">
        <x:v>NO</x:v>
      </x:c>
      <x:c r="T12" s="11" t="str">
        <x:v>NO</x:v>
      </x:c>
      <x:c r="U12" s="11" t="str">
        <x:v>Table 1</x:v>
      </x:c>
      <x:c r="V12" s="11" t="str"/>
    </x:row>
    <x:row r="13">
      <x:c r="A13" s="11" t="str">
        <x:v>A03</x:v>
      </x:c>
      <x:c r="B13" s="11" t="str">
        <x:v>W_002</x:v>
      </x:c>
      <x:c r="C13" s="11" t="str">
        <x:v>W_002_T04</x:v>
      </x:c>
      <x:c r="D13" s="11" t="str">
        <x:v>W_002_R08</x:v>
      </x:c>
      <x:c r="E13" s="11" t="str">
        <x:v>Kadiene et al. (2017)</x:v>
      </x:c>
      <x:c r="F13" s="11" t="str">
        <x:v>Eurytemora affinis</x:v>
      </x:c>
      <x:c r="G13" s="11" t="str">
        <x:v>Calanoida</x:v>
      </x:c>
      <x:c r="H13" s="11" t="str">
        <x:v>Adult male</x:v>
      </x:c>
      <x:c r="I13" s="11" t="str">
        <x:v>Cd</x:v>
      </x:c>
      <x:c r="J13" s="14" t="n">
        <x:v>96</x:v>
      </x:c>
      <x:c r="K13" s="16" t="n">
        <x:v>127.75</x:v>
      </x:c>
      <x:c r="L13" s="11" t="str">
        <x:v>µg Cd/L</x:v>
      </x:c>
      <x:c r="M13" s="11" t="str">
        <x:v>Cd salt not reported</x:v>
      </x:c>
      <x:c r="N13" s="11" t="str">
        <x:v>Elemental Cd</x:v>
      </x:c>
      <x:c r="O13" s="11" t="str">
        <x:v>Nominal</x:v>
      </x:c>
      <x:c r="P13" s="18" t="n">
        <x:v>18</x:v>
      </x:c>
      <x:c r="Q13" s="18" t="n">
        <x:v>15</x:v>
      </x:c>
      <x:c r="R13" s="11" t="str">
        <x:v>YES</x:v>
      </x:c>
      <x:c r="S13" s="11" t="str">
        <x:v>NO</x:v>
      </x:c>
      <x:c r="T13" s="11" t="str">
        <x:v>NO</x:v>
      </x:c>
      <x:c r="U13" s="11" t="str">
        <x:v>Table 1</x:v>
      </x:c>
      <x:c r="V13" s="11" t="str"/>
    </x:row>
    <x:row r="14">
      <x:c r="A14" s="11" t="str">
        <x:v>A03</x:v>
      </x:c>
      <x:c r="B14" s="11" t="str">
        <x:v>W_002</x:v>
      </x:c>
      <x:c r="C14" s="11" t="str">
        <x:v>W_002_T03</x:v>
      </x:c>
      <x:c r="D14" s="11" t="str">
        <x:v>W_002_R09</x:v>
      </x:c>
      <x:c r="E14" s="11" t="str">
        <x:v>Kadiene et al. (2017)</x:v>
      </x:c>
      <x:c r="F14" s="11" t="str">
        <x:v>Eurytemora affinis</x:v>
      </x:c>
      <x:c r="G14" s="11" t="str">
        <x:v>Calanoida</x:v>
      </x:c>
      <x:c r="H14" s="11" t="str">
        <x:v>Adult female</x:v>
      </x:c>
      <x:c r="I14" s="11" t="str">
        <x:v>Cd</x:v>
      </x:c>
      <x:c r="J14" s="14" t="n">
        <x:v>96</x:v>
      </x:c>
      <x:c r="K14" s="16" t="n">
        <x:v>90.04</x:v>
      </x:c>
      <x:c r="L14" s="11" t="str">
        <x:v>µg Cd/L</x:v>
      </x:c>
      <x:c r="M14" s="11" t="str">
        <x:v>Cd salt not reported</x:v>
      </x:c>
      <x:c r="N14" s="11" t="str">
        <x:v>Elemental Cd</x:v>
      </x:c>
      <x:c r="O14" s="11" t="str">
        <x:v>Nominal</x:v>
      </x:c>
      <x:c r="P14" s="18" t="n">
        <x:v>18</x:v>
      </x:c>
      <x:c r="Q14" s="18" t="n">
        <x:v>15</x:v>
      </x:c>
      <x:c r="R14" s="11" t="str">
        <x:v>YES</x:v>
      </x:c>
      <x:c r="S14" s="11" t="str">
        <x:v>NO</x:v>
      </x:c>
      <x:c r="T14" s="11" t="str">
        <x:v>NO</x:v>
      </x:c>
      <x:c r="U14" s="11" t="str">
        <x:v>Table 1</x:v>
      </x:c>
      <x:c r="V14" s="11" t="str"/>
    </x:row>
    <x:row r="15">
      <x:c r="A15" s="11" t="str">
        <x:v>A04</x:v>
      </x:c>
      <x:c r="B15" s="11" t="str">
        <x:v>W_003</x:v>
      </x:c>
      <x:c r="C15" s="11" t="str">
        <x:v>W_003_T01</x:v>
      </x:c>
      <x:c r="D15" s="11" t="str">
        <x:v>W_003_T01_R01</x:v>
      </x:c>
      <x:c r="E15" s="11" t="str">
        <x:v>Tollefsen et al. (2017)</x:v>
      </x:c>
      <x:c r="F15" s="11" t="str">
        <x:v>Calanus finmarchicus</x:v>
      </x:c>
      <x:c r="G15" s="11" t="str">
        <x:v>Calanoida</x:v>
      </x:c>
      <x:c r="H15" s="11" t="str">
        <x:v>Copepodite V (CV)</x:v>
      </x:c>
      <x:c r="I15" s="11" t="str">
        <x:v>Hg</x:v>
      </x:c>
      <x:c r="J15" s="14" t="n">
        <x:v>24</x:v>
      </x:c>
      <x:c r="K15" s="16" t="n">
        <x:v>279</x:v>
      </x:c>
      <x:c r="L15" s="11" t="str">
        <x:v>µg Hg/L</x:v>
      </x:c>
      <x:c r="M15" s="11" t="str">
        <x:v>HgCl2</x:v>
      </x:c>
      <x:c r="N15" s="11" t="str">
        <x:v>Elemental Hg / Hg2+</x:v>
      </x:c>
      <x:c r="O15" s="11" t="str">
        <x:v>Measured</x:v>
      </x:c>
      <x:c r="P15" s="18" t="n">
        <x:v>10</x:v>
      </x:c>
      <x:c r="Q15" s="18"/>
      <x:c r="R15" s="11" t="str">
        <x:v>YES</x:v>
      </x:c>
      <x:c r="S15" s="11" t="str">
        <x:v>YES</x:v>
      </x:c>
      <x:c r="T15" s="11" t="str">
        <x:v>NO</x:v>
      </x:c>
      <x:c r="U15" s="11" t="str">
        <x:v>Abstract/Results</x:v>
      </x:c>
      <x:c r="V15" s="11" t="str">
        <x:v>LC50 above tested concentration range.</x:v>
      </x:c>
    </x:row>
    <x:row r="16">
      <x:c r="A16" s="11" t="str">
        <x:v>A04</x:v>
      </x:c>
      <x:c r="B16" s="11" t="str">
        <x:v>W_003</x:v>
      </x:c>
      <x:c r="C16" s="11" t="str">
        <x:v>W_003_T01</x:v>
      </x:c>
      <x:c r="D16" s="11" t="str">
        <x:v>W_003_T01_R02</x:v>
      </x:c>
      <x:c r="E16" s="11" t="str">
        <x:v>Tollefsen et al. (2017)</x:v>
      </x:c>
      <x:c r="F16" s="11" t="str">
        <x:v>Calanus finmarchicus</x:v>
      </x:c>
      <x:c r="G16" s="11" t="str">
        <x:v>Calanoida</x:v>
      </x:c>
      <x:c r="H16" s="11" t="str">
        <x:v>Copepodite V (CV)</x:v>
      </x:c>
      <x:c r="I16" s="11" t="str">
        <x:v>Hg</x:v>
      </x:c>
      <x:c r="J16" s="14" t="n">
        <x:v>48</x:v>
      </x:c>
      <x:c r="K16" s="16" t="n">
        <x:v>73</x:v>
      </x:c>
      <x:c r="L16" s="11" t="str">
        <x:v>µg Hg/L</x:v>
      </x:c>
      <x:c r="M16" s="11" t="str">
        <x:v>HgCl2</x:v>
      </x:c>
      <x:c r="N16" s="11" t="str">
        <x:v>Elemental Hg / Hg2+</x:v>
      </x:c>
      <x:c r="O16" s="11" t="str">
        <x:v>Measured</x:v>
      </x:c>
      <x:c r="P16" s="18" t="n">
        <x:v>10</x:v>
      </x:c>
      <x:c r="Q16" s="18"/>
      <x:c r="R16" s="11" t="str">
        <x:v>YES</x:v>
      </x:c>
      <x:c r="S16" s="11" t="str">
        <x:v>NO</x:v>
      </x:c>
      <x:c r="T16" s="11" t="str">
        <x:v>NO</x:v>
      </x:c>
      <x:c r="U16" s="11" t="str">
        <x:v>Abstract/Results</x:v>
      </x:c>
      <x:c r="V16" s="11" t="str">
        <x:v>Discussion reports 43.1 once; Abstract/Results consistently report 73.</x:v>
      </x:c>
    </x:row>
    <x:row r="17">
      <x:c r="A17" s="11" t="str">
        <x:v>A04</x:v>
      </x:c>
      <x:c r="B17" s="11" t="str">
        <x:v>W_003</x:v>
      </x:c>
      <x:c r="C17" s="11" t="str">
        <x:v>W_003_T01</x:v>
      </x:c>
      <x:c r="D17" s="11" t="str">
        <x:v>W_003_T01_R03</x:v>
      </x:c>
      <x:c r="E17" s="11" t="str">
        <x:v>Tollefsen et al. (2017)</x:v>
      </x:c>
      <x:c r="F17" s="11" t="str">
        <x:v>Calanus finmarchicus</x:v>
      </x:c>
      <x:c r="G17" s="11" t="str">
        <x:v>Calanoida</x:v>
      </x:c>
      <x:c r="H17" s="11" t="str">
        <x:v>Copepodite V (CV)</x:v>
      </x:c>
      <x:c r="I17" s="11" t="str">
        <x:v>Hg</x:v>
      </x:c>
      <x:c r="J17" s="14" t="n">
        <x:v>72</x:v>
      </x:c>
      <x:c r="K17" s="16" t="n">
        <x:v>48</x:v>
      </x:c>
      <x:c r="L17" s="11" t="str">
        <x:v>µg Hg/L</x:v>
      </x:c>
      <x:c r="M17" s="11" t="str">
        <x:v>HgCl2</x:v>
      </x:c>
      <x:c r="N17" s="11" t="str">
        <x:v>Elemental Hg / Hg2+</x:v>
      </x:c>
      <x:c r="O17" s="11" t="str">
        <x:v>Measured</x:v>
      </x:c>
      <x:c r="P17" s="18" t="n">
        <x:v>10</x:v>
      </x:c>
      <x:c r="Q17" s="18"/>
      <x:c r="R17" s="11" t="str">
        <x:v>YES</x:v>
      </x:c>
      <x:c r="S17" s="11" t="str">
        <x:v>NO</x:v>
      </x:c>
      <x:c r="T17" s="11" t="str">
        <x:v>NO</x:v>
      </x:c>
      <x:c r="U17" s="11" t="str">
        <x:v>Abstract/Results</x:v>
      </x:c>
      <x:c r="V17" s="11" t="str"/>
    </x:row>
    <x:row r="18">
      <x:c r="A18" s="11" t="str">
        <x:v>A04</x:v>
      </x:c>
      <x:c r="B18" s="11" t="str">
        <x:v>W_003</x:v>
      </x:c>
      <x:c r="C18" s="11" t="str">
        <x:v>W_003_T01</x:v>
      </x:c>
      <x:c r="D18" s="11" t="str">
        <x:v>W_003_T01_R04</x:v>
      </x:c>
      <x:c r="E18" s="11" t="str">
        <x:v>Tollefsen et al. (2017)</x:v>
      </x:c>
      <x:c r="F18" s="11" t="str">
        <x:v>Calanus finmarchicus</x:v>
      </x:c>
      <x:c r="G18" s="11" t="str">
        <x:v>Calanoida</x:v>
      </x:c>
      <x:c r="H18" s="11" t="str">
        <x:v>Copepodite V (CV)</x:v>
      </x:c>
      <x:c r="I18" s="11" t="str">
        <x:v>Hg</x:v>
      </x:c>
      <x:c r="J18" s="14" t="n">
        <x:v>96</x:v>
      </x:c>
      <x:c r="K18" s="16" t="n">
        <x:v>34</x:v>
      </x:c>
      <x:c r="L18" s="11" t="str">
        <x:v>µg Hg/L</x:v>
      </x:c>
      <x:c r="M18" s="11" t="str">
        <x:v>HgCl2</x:v>
      </x:c>
      <x:c r="N18" s="11" t="str">
        <x:v>Elemental Hg / Hg2+</x:v>
      </x:c>
      <x:c r="O18" s="11" t="str">
        <x:v>Measured</x:v>
      </x:c>
      <x:c r="P18" s="18" t="n">
        <x:v>10</x:v>
      </x:c>
      <x:c r="Q18" s="18"/>
      <x:c r="R18" s="11" t="str">
        <x:v>YES</x:v>
      </x:c>
      <x:c r="S18" s="11" t="str">
        <x:v>NO</x:v>
      </x:c>
      <x:c r="T18" s="11" t="str">
        <x:v>NO</x:v>
      </x:c>
      <x:c r="U18" s="11" t="str">
        <x:v>Abstract/Results</x:v>
      </x:c>
      <x:c r="V18" s="11" t="str"/>
    </x:row>
    <x:row r="19">
      <x:c r="A19" s="11" t="str">
        <x:v>A05</x:v>
      </x:c>
      <x:c r="B19" s="11" t="str">
        <x:v>W_004</x:v>
      </x:c>
      <x:c r="C19" s="11" t="str">
        <x:v>W_004_T01</x:v>
      </x:c>
      <x:c r="D19" s="11" t="str">
        <x:v>W_004_T01_R01</x:v>
      </x:c>
      <x:c r="E19" s="11" t="str">
        <x:v>Tlili et al. (2016)</x:v>
      </x:c>
      <x:c r="F19" s="11" t="str">
        <x:v>Pseudodiaptomus marinus</x:v>
      </x:c>
      <x:c r="G19" s="11" t="str">
        <x:v>Calanoida</x:v>
      </x:c>
      <x:c r="H19" s="11" t="str">
        <x:v>Adult</x:v>
      </x:c>
      <x:c r="I19" s="11" t="str">
        <x:v>Ni</x:v>
      </x:c>
      <x:c r="J19" s="14" t="n">
        <x:v>24</x:v>
      </x:c>
      <x:c r="K19" s="16" t="n">
        <x:v>531.39</x:v>
      </x:c>
      <x:c r="L19" s="11" t="str">
        <x:v>µg Ni/L</x:v>
      </x:c>
      <x:c r="M19" s="11" t="str">
        <x:v>NiSO4·6H2O</x:v>
      </x:c>
      <x:c r="N19" s="11" t="str">
        <x:v>Elemental Ni</x:v>
      </x:c>
      <x:c r="O19" s="11" t="str">
        <x:v>Nominal</x:v>
      </x:c>
      <x:c r="P19" s="18" t="n">
        <x:v>20</x:v>
      </x:c>
      <x:c r="Q19" s="18" t="n">
        <x:v>33</x:v>
      </x:c>
      <x:c r="R19" s="11" t="str">
        <x:v>YES</x:v>
      </x:c>
      <x:c r="S19" s="11" t="str">
        <x:v>YES</x:v>
      </x:c>
      <x:c r="T19" s="11" t="str">
        <x:v>NO</x:v>
      </x:c>
      <x:c r="U19" s="11" t="str">
        <x:v>Table 2</x:v>
      </x:c>
      <x:c r="V19" s="11" t="str">
        <x:v>24-h LC50 slightly above highest tested concentration.</x:v>
      </x:c>
    </x:row>
    <x:row r="20">
      <x:c r="A20" s="11" t="str">
        <x:v>A05</x:v>
      </x:c>
      <x:c r="B20" s="11" t="str">
        <x:v>W_004</x:v>
      </x:c>
      <x:c r="C20" s="11" t="str">
        <x:v>W_004_T01</x:v>
      </x:c>
      <x:c r="D20" s="11" t="str">
        <x:v>W_004_T01_R02</x:v>
      </x:c>
      <x:c r="E20" s="11" t="str">
        <x:v>Tlili et al. (2016)</x:v>
      </x:c>
      <x:c r="F20" s="11" t="str">
        <x:v>Pseudodiaptomus marinus</x:v>
      </x:c>
      <x:c r="G20" s="11" t="str">
        <x:v>Calanoida</x:v>
      </x:c>
      <x:c r="H20" s="11" t="str">
        <x:v>Adult</x:v>
      </x:c>
      <x:c r="I20" s="11" t="str">
        <x:v>Ni</x:v>
      </x:c>
      <x:c r="J20" s="14" t="n">
        <x:v>48</x:v>
      </x:c>
      <x:c r="K20" s="16" t="n">
        <x:v>313.84</x:v>
      </x:c>
      <x:c r="L20" s="11" t="str">
        <x:v>µg Ni/L</x:v>
      </x:c>
      <x:c r="M20" s="11" t="str">
        <x:v>NiSO4·6H2O</x:v>
      </x:c>
      <x:c r="N20" s="11" t="str">
        <x:v>Elemental Ni</x:v>
      </x:c>
      <x:c r="O20" s="11" t="str">
        <x:v>Nominal</x:v>
      </x:c>
      <x:c r="P20" s="18" t="n">
        <x:v>20</x:v>
      </x:c>
      <x:c r="Q20" s="18" t="n">
        <x:v>33</x:v>
      </x:c>
      <x:c r="R20" s="11" t="str">
        <x:v>YES</x:v>
      </x:c>
      <x:c r="S20" s="11" t="str">
        <x:v>NO</x:v>
      </x:c>
      <x:c r="T20" s="11" t="str">
        <x:v>NO</x:v>
      </x:c>
      <x:c r="U20" s="11" t="str">
        <x:v>Table 2</x:v>
      </x:c>
      <x:c r="V20" s="11" t="str"/>
    </x:row>
    <x:row r="21">
      <x:c r="A21" s="11" t="str">
        <x:v>A05</x:v>
      </x:c>
      <x:c r="B21" s="11" t="str">
        <x:v>W_004</x:v>
      </x:c>
      <x:c r="C21" s="11" t="str">
        <x:v>W_004_T01</x:v>
      </x:c>
      <x:c r="D21" s="11" t="str">
        <x:v>W_004_T01_R03</x:v>
      </x:c>
      <x:c r="E21" s="11" t="str">
        <x:v>Tlili et al. (2016)</x:v>
      </x:c>
      <x:c r="F21" s="11" t="str">
        <x:v>Pseudodiaptomus marinus</x:v>
      </x:c>
      <x:c r="G21" s="11" t="str">
        <x:v>Calanoida</x:v>
      </x:c>
      <x:c r="H21" s="11" t="str">
        <x:v>Adult</x:v>
      </x:c>
      <x:c r="I21" s="11" t="str">
        <x:v>Ni</x:v>
      </x:c>
      <x:c r="J21" s="14" t="n">
        <x:v>72</x:v>
      </x:c>
      <x:c r="K21" s="16" t="n">
        <x:v>182.51</x:v>
      </x:c>
      <x:c r="L21" s="11" t="str">
        <x:v>µg Ni/L</x:v>
      </x:c>
      <x:c r="M21" s="11" t="str">
        <x:v>NiSO4·6H2O</x:v>
      </x:c>
      <x:c r="N21" s="11" t="str">
        <x:v>Elemental Ni</x:v>
      </x:c>
      <x:c r="O21" s="11" t="str">
        <x:v>Nominal</x:v>
      </x:c>
      <x:c r="P21" s="18" t="n">
        <x:v>20</x:v>
      </x:c>
      <x:c r="Q21" s="18" t="n">
        <x:v>33</x:v>
      </x:c>
      <x:c r="R21" s="11" t="str">
        <x:v>YES</x:v>
      </x:c>
      <x:c r="S21" s="11" t="str">
        <x:v>NO</x:v>
      </x:c>
      <x:c r="T21" s="11" t="str">
        <x:v>NO</x:v>
      </x:c>
      <x:c r="U21" s="11" t="str">
        <x:v>Table 2</x:v>
      </x:c>
      <x:c r="V21" s="11" t="str"/>
    </x:row>
    <x:row r="22">
      <x:c r="A22" s="11" t="str">
        <x:v>A05</x:v>
      </x:c>
      <x:c r="B22" s="11" t="str">
        <x:v>W_004</x:v>
      </x:c>
      <x:c r="C22" s="11" t="str">
        <x:v>W_004_T01</x:v>
      </x:c>
      <x:c r="D22" s="11" t="str">
        <x:v>W_004_T01_R04</x:v>
      </x:c>
      <x:c r="E22" s="11" t="str">
        <x:v>Tlili et al. (2016)</x:v>
      </x:c>
      <x:c r="F22" s="11" t="str">
        <x:v>Pseudodiaptomus marinus</x:v>
      </x:c>
      <x:c r="G22" s="11" t="str">
        <x:v>Calanoida</x:v>
      </x:c>
      <x:c r="H22" s="11" t="str">
        <x:v>Adult</x:v>
      </x:c>
      <x:c r="I22" s="11" t="str">
        <x:v>Ni</x:v>
      </x:c>
      <x:c r="J22" s="14" t="n">
        <x:v>96</x:v>
      </x:c>
      <x:c r="K22" s="16" t="n">
        <x:v>136.17</x:v>
      </x:c>
      <x:c r="L22" s="11" t="str">
        <x:v>µg Ni/L</x:v>
      </x:c>
      <x:c r="M22" s="11" t="str">
        <x:v>NiSO4·6H2O</x:v>
      </x:c>
      <x:c r="N22" s="11" t="str">
        <x:v>Elemental Ni</x:v>
      </x:c>
      <x:c r="O22" s="11" t="str">
        <x:v>Nominal</x:v>
      </x:c>
      <x:c r="P22" s="18" t="n">
        <x:v>20</x:v>
      </x:c>
      <x:c r="Q22" s="18" t="n">
        <x:v>33</x:v>
      </x:c>
      <x:c r="R22" s="11" t="str">
        <x:v>YES</x:v>
      </x:c>
      <x:c r="S22" s="11" t="str">
        <x:v>NO</x:v>
      </x:c>
      <x:c r="T22" s="11" t="str">
        <x:v>NO</x:v>
      </x:c>
      <x:c r="U22" s="11" t="str">
        <x:v>Table 2</x:v>
      </x:c>
      <x:c r="V22" s="11" t="str"/>
    </x:row>
    <x:row r="23">
      <x:c r="A23" s="11" t="str">
        <x:v>A06</x:v>
      </x:c>
      <x:c r="B23" s="11" t="str">
        <x:v>W_005</x:v>
      </x:c>
      <x:c r="C23" s="11" t="str">
        <x:v>W_005_T01</x:v>
      </x:c>
      <x:c r="D23" s="11" t="str">
        <x:v>W_005_T01_R01</x:v>
      </x:c>
      <x:c r="E23" s="11" t="str">
        <x:v>Lavorante et al. (2013)</x:v>
      </x:c>
      <x:c r="F23" s="11" t="str">
        <x:v>Tisbe biminiensis</x:v>
      </x:c>
      <x:c r="G23" s="11" t="str">
        <x:v>Harpacticoida</x:v>
      </x:c>
      <x:c r="H23" s="11" t="str">
        <x:v>Nauplii ≤24 h</x:v>
      </x:c>
      <x:c r="I23" s="11" t="str">
        <x:v>Zn</x:v>
      </x:c>
      <x:c r="J23" s="14" t="n">
        <x:v>72</x:v>
      </x:c>
      <x:c r="K23" s="16" t="n">
        <x:v>0.79</x:v>
      </x:c>
      <x:c r="L23" s="11" t="str">
        <x:v>mg Zn/L</x:v>
      </x:c>
      <x:c r="M23" s="11" t="str">
        <x:v>ZnSO4·7H2O</x:v>
      </x:c>
      <x:c r="N23" s="11" t="str">
        <x:v>Elemental Zn / Zn2+</x:v>
      </x:c>
      <x:c r="O23" s="11" t="str">
        <x:v>Nominal; analytically verified</x:v>
      </x:c>
      <x:c r="P23" s="18" t="n">
        <x:v>28</x:v>
      </x:c>
      <x:c r="Q23" s="18" t="n">
        <x:v>34</x:v>
      </x:c>
      <x:c r="R23" s="11" t="str">
        <x:v>YES</x:v>
      </x:c>
      <x:c r="S23" s="11" t="str">
        <x:v>NO</x:v>
      </x:c>
      <x:c r="T23" s="11" t="str">
        <x:v>NO</x:v>
      </x:c>
      <x:c r="U23" s="11" t="str">
        <x:v>Table 1 / Results</x:v>
      </x:c>
      <x:c r="V23" s="11" t="str">
        <x:v>Source also reports 3.46 mg/L ZnSO4·7H2O and converts to 0.79 mg/L Zn2+.</x:v>
      </x:c>
    </x:row>
    <x:row r="24">
      <x:c r="A24" s="11" t="str">
        <x:v>A08</x:v>
      </x:c>
      <x:c r="B24" s="11" t="str">
        <x:v>W_006</x:v>
      </x:c>
      <x:c r="C24" s="11" t="str">
        <x:v>W_006_T01</x:v>
      </x:c>
      <x:c r="D24" s="11" t="str">
        <x:v>W_006_T01_R01</x:v>
      </x:c>
      <x:c r="E24" s="11" t="str">
        <x:v>Farkas et al. (2020)</x:v>
      </x:c>
      <x:c r="F24" s="11" t="str">
        <x:v>Calanus finmarchicus</x:v>
      </x:c>
      <x:c r="G24" s="11" t="str">
        <x:v>Calanoida</x:v>
      </x:c>
      <x:c r="H24" s="11" t="str">
        <x:v>Newly molted non-ovulating females</x:v>
      </x:c>
      <x:c r="I24" s="11" t="str">
        <x:v>Ag</x:v>
      </x:c>
      <x:c r="J24" s="14" t="n">
        <x:v>96</x:v>
      </x:c>
      <x:c r="K24" s="16" t="n">
        <x:v>146</x:v>
      </x:c>
      <x:c r="L24" s="11" t="str">
        <x:v>µg Ag/L</x:v>
      </x:c>
      <x:c r="M24" s="11" t="str">
        <x:v>AgNO3</x:v>
      </x:c>
      <x:c r="N24" s="11" t="str">
        <x:v>Elemental Ag</x:v>
      </x:c>
      <x:c r="O24" s="11" t="str">
        <x:v>Measured total Ag</x:v>
      </x:c>
      <x:c r="P24" s="18" t="n">
        <x:v>10</x:v>
      </x:c>
      <x:c r="Q24" s="18"/>
      <x:c r="R24" s="11" t="str">
        <x:v>YES</x:v>
      </x:c>
      <x:c r="S24" s="11" t="str">
        <x:v>NO</x:v>
      </x:c>
      <x:c r="T24" s="11" t="str">
        <x:v>NO</x:v>
      </x:c>
      <x:c r="U24" s="11" t="str">
        <x:v>Results</x:v>
      </x:c>
      <x:c r="V24" s="11" t="str">
        <x:v>Ionic Ag+ arm only; AgNP and oil-mixture arms excluded.</x:v>
      </x:c>
    </x:row>
    <x:row r="25">
      <x:c r="A25" s="11" t="str">
        <x:v>A09</x:v>
      </x:c>
      <x:c r="B25" s="11" t="str">
        <x:v>W_007</x:v>
      </x:c>
      <x:c r="C25" s="11" t="str">
        <x:v>W_007_T01</x:v>
      </x:c>
      <x:c r="D25" s="11" t="str">
        <x:v>W_007_T01_R01</x:v>
      </x:c>
      <x:c r="E25" s="11" t="str">
        <x:v>Vimercati et al. (2020)</x:v>
      </x:c>
      <x:c r="F25" s="11" t="str">
        <x:v>Tigriopus fulvus</x:v>
      </x:c>
      <x:c r="G25" s="11" t="str">
        <x:v>Harpacticoida</x:v>
      </x:c>
      <x:c r="H25" s="11" t="str">
        <x:v>Nauplii 24–48 h</x:v>
      </x:c>
      <x:c r="I25" s="11" t="str">
        <x:v>Zn</x:v>
      </x:c>
      <x:c r="J25" s="14" t="n">
        <x:v>96</x:v>
      </x:c>
      <x:c r="K25" s="16" t="n">
        <x:v>0.63</x:v>
      </x:c>
      <x:c r="L25" s="11" t="str">
        <x:v>mg Zn/L</x:v>
      </x:c>
      <x:c r="M25" s="11" t="str">
        <x:v>ZnSO4·H2O</x:v>
      </x:c>
      <x:c r="N25" s="11" t="str">
        <x:v>Elemental Zn</x:v>
      </x:c>
      <x:c r="O25" s="11" t="str">
        <x:v>Nominal; analytically verified</x:v>
      </x:c>
      <x:c r="P25" s="18" t="n">
        <x:v>20</x:v>
      </x:c>
      <x:c r="Q25" s="18" t="n">
        <x:v>38</x:v>
      </x:c>
      <x:c r="R25" s="11" t="str">
        <x:v>YES</x:v>
      </x:c>
      <x:c r="S25" s="11" t="str">
        <x:v>NO</x:v>
      </x:c>
      <x:c r="T25" s="11" t="str">
        <x:v>NO</x:v>
      </x:c>
      <x:c r="U25" s="11" t="str">
        <x:v>Table 6</x:v>
      </x:c>
      <x:c r="V25" s="11" t="str">
        <x:v>Separate source-reported trial; source mean = 0.70 mg/L. ZnO NP arm excluded.</x:v>
      </x:c>
    </x:row>
    <x:row r="26">
      <x:c r="A26" s="11" t="str">
        <x:v>A09</x:v>
      </x:c>
      <x:c r="B26" s="11" t="str">
        <x:v>W_007</x:v>
      </x:c>
      <x:c r="C26" s="11" t="str">
        <x:v>W_007_T02</x:v>
      </x:c>
      <x:c r="D26" s="11" t="str">
        <x:v>W_007_T02_R01</x:v>
      </x:c>
      <x:c r="E26" s="11" t="str">
        <x:v>Vimercati et al. (2020)</x:v>
      </x:c>
      <x:c r="F26" s="11" t="str">
        <x:v>Tigriopus fulvus</x:v>
      </x:c>
      <x:c r="G26" s="11" t="str">
        <x:v>Harpacticoida</x:v>
      </x:c>
      <x:c r="H26" s="11" t="str">
        <x:v>Nauplii 24–48 h</x:v>
      </x:c>
      <x:c r="I26" s="11" t="str">
        <x:v>Zn</x:v>
      </x:c>
      <x:c r="J26" s="14" t="n">
        <x:v>96</x:v>
      </x:c>
      <x:c r="K26" s="16" t="n">
        <x:v>0.6</x:v>
      </x:c>
      <x:c r="L26" s="11" t="str">
        <x:v>mg Zn/L</x:v>
      </x:c>
      <x:c r="M26" s="11" t="str">
        <x:v>ZnSO4·H2O</x:v>
      </x:c>
      <x:c r="N26" s="11" t="str">
        <x:v>Elemental Zn</x:v>
      </x:c>
      <x:c r="O26" s="11" t="str">
        <x:v>Nominal; analytically verified</x:v>
      </x:c>
      <x:c r="P26" s="18" t="n">
        <x:v>20</x:v>
      </x:c>
      <x:c r="Q26" s="18" t="n">
        <x:v>38</x:v>
      </x:c>
      <x:c r="R26" s="11" t="str">
        <x:v>YES</x:v>
      </x:c>
      <x:c r="S26" s="11" t="str">
        <x:v>NO</x:v>
      </x:c>
      <x:c r="T26" s="11" t="str">
        <x:v>NO</x:v>
      </x:c>
      <x:c r="U26" s="11" t="str">
        <x:v>Table 6</x:v>
      </x:c>
      <x:c r="V26" s="11" t="str">
        <x:v>Separate source-reported trial; source mean = 0.70 mg/L. ZnO NP arm excluded.</x:v>
      </x:c>
    </x:row>
    <x:row r="27">
      <x:c r="A27" s="11" t="str">
        <x:v>A09</x:v>
      </x:c>
      <x:c r="B27" s="11" t="str">
        <x:v>W_007</x:v>
      </x:c>
      <x:c r="C27" s="11" t="str">
        <x:v>W_007_T03</x:v>
      </x:c>
      <x:c r="D27" s="11" t="str">
        <x:v>W_007_T03_R01</x:v>
      </x:c>
      <x:c r="E27" s="11" t="str">
        <x:v>Vimercati et al. (2020)</x:v>
      </x:c>
      <x:c r="F27" s="11" t="str">
        <x:v>Tigriopus fulvus</x:v>
      </x:c>
      <x:c r="G27" s="11" t="str">
        <x:v>Harpacticoida</x:v>
      </x:c>
      <x:c r="H27" s="11" t="str">
        <x:v>Nauplii 24–48 h</x:v>
      </x:c>
      <x:c r="I27" s="11" t="str">
        <x:v>Zn</x:v>
      </x:c>
      <x:c r="J27" s="14" t="n">
        <x:v>96</x:v>
      </x:c>
      <x:c r="K27" s="16" t="n">
        <x:v>0.88</x:v>
      </x:c>
      <x:c r="L27" s="11" t="str">
        <x:v>mg Zn/L</x:v>
      </x:c>
      <x:c r="M27" s="11" t="str">
        <x:v>ZnSO4·H2O</x:v>
      </x:c>
      <x:c r="N27" s="11" t="str">
        <x:v>Elemental Zn</x:v>
      </x:c>
      <x:c r="O27" s="11" t="str">
        <x:v>Nominal; analytically verified</x:v>
      </x:c>
      <x:c r="P27" s="18" t="n">
        <x:v>20</x:v>
      </x:c>
      <x:c r="Q27" s="18" t="n">
        <x:v>38</x:v>
      </x:c>
      <x:c r="R27" s="11" t="str">
        <x:v>YES</x:v>
      </x:c>
      <x:c r="S27" s="11" t="str">
        <x:v>NO</x:v>
      </x:c>
      <x:c r="T27" s="11" t="str">
        <x:v>NO</x:v>
      </x:c>
      <x:c r="U27" s="11" t="str">
        <x:v>Table 6</x:v>
      </x:c>
      <x:c r="V27" s="11" t="str">
        <x:v>Separate source-reported trial; source mean = 0.70 mg/L. ZnO NP arm excluded.</x:v>
      </x:c>
    </x:row>
    <x:row r="28">
      <x:c r="A28" s="11" t="str">
        <x:v>A10</x:v>
      </x:c>
      <x:c r="B28" s="11" t="str">
        <x:v>W_008</x:v>
      </x:c>
      <x:c r="C28" s="11" t="str">
        <x:v>W_008_T01</x:v>
      </x:c>
      <x:c r="D28" s="11" t="str">
        <x:v>W_008_R01</x:v>
      </x:c>
      <x:c r="E28" s="11" t="str">
        <x:v>Cherkashin (2020)</x:v>
      </x:c>
      <x:c r="F28" s="11" t="str">
        <x:v>Calanus glacialis</x:v>
      </x:c>
      <x:c r="G28" s="11" t="str">
        <x:v>Calanoida</x:v>
      </x:c>
      <x:c r="H28" s="11" t="str">
        <x:v>Copepodite IV–V</x:v>
      </x:c>
      <x:c r="I28" s="11" t="str">
        <x:v>Zn</x:v>
      </x:c>
      <x:c r="J28" s="14" t="n">
        <x:v>24</x:v>
      </x:c>
      <x:c r="K28" s="16" t="n">
        <x:v>3426</x:v>
      </x:c>
      <x:c r="L28" s="11" t="str">
        <x:v>µg Zn/L</x:v>
      </x:c>
      <x:c r="M28" s="11" t="str">
        <x:v>ZnCl2</x:v>
      </x:c>
      <x:c r="N28" s="11" t="str">
        <x:v>Elemental Zn / Zn2+</x:v>
      </x:c>
      <x:c r="O28" s="11" t="str">
        <x:v>Measured; mean of start/end</x:v>
      </x:c>
      <x:c r="P28" s="18" t="n">
        <x:v>14</x:v>
      </x:c>
      <x:c r="Q28" s="18" t="n">
        <x:v>33</x:v>
      </x:c>
      <x:c r="R28" s="11" t="str">
        <x:v>YES</x:v>
      </x:c>
      <x:c r="S28" s="11" t="str">
        <x:v>NO</x:v>
      </x:c>
      <x:c r="T28" s="11" t="str">
        <x:v>NO</x:v>
      </x:c>
      <x:c r="U28" s="11" t="str">
        <x:v>Table 1</x:v>
      </x:c>
      <x:c r="V28" s="11" t="str"/>
    </x:row>
    <x:row r="29">
      <x:c r="A29" s="11" t="str">
        <x:v>A10</x:v>
      </x:c>
      <x:c r="B29" s="11" t="str">
        <x:v>W_008</x:v>
      </x:c>
      <x:c r="C29" s="11" t="str">
        <x:v>W_008_T01</x:v>
      </x:c>
      <x:c r="D29" s="11" t="str">
        <x:v>W_008_R02</x:v>
      </x:c>
      <x:c r="E29" s="11" t="str">
        <x:v>Cherkashin (2020)</x:v>
      </x:c>
      <x:c r="F29" s="11" t="str">
        <x:v>Calanus glacialis</x:v>
      </x:c>
      <x:c r="G29" s="11" t="str">
        <x:v>Calanoida</x:v>
      </x:c>
      <x:c r="H29" s="11" t="str">
        <x:v>Copepodite IV–V</x:v>
      </x:c>
      <x:c r="I29" s="11" t="str">
        <x:v>Zn</x:v>
      </x:c>
      <x:c r="J29" s="14" t="n">
        <x:v>48</x:v>
      </x:c>
      <x:c r="K29" s="16" t="n">
        <x:v>962</x:v>
      </x:c>
      <x:c r="L29" s="11" t="str">
        <x:v>µg Zn/L</x:v>
      </x:c>
      <x:c r="M29" s="11" t="str">
        <x:v>ZnCl2</x:v>
      </x:c>
      <x:c r="N29" s="11" t="str">
        <x:v>Elemental Zn / Zn2+</x:v>
      </x:c>
      <x:c r="O29" s="11" t="str">
        <x:v>Measured; mean of start/end</x:v>
      </x:c>
      <x:c r="P29" s="18" t="n">
        <x:v>14</x:v>
      </x:c>
      <x:c r="Q29" s="18" t="n">
        <x:v>33</x:v>
      </x:c>
      <x:c r="R29" s="11" t="str">
        <x:v>YES</x:v>
      </x:c>
      <x:c r="S29" s="11" t="str">
        <x:v>NO</x:v>
      </x:c>
      <x:c r="T29" s="11" t="str">
        <x:v>NO</x:v>
      </x:c>
      <x:c r="U29" s="11" t="str">
        <x:v>Table 1</x:v>
      </x:c>
      <x:c r="V29" s="11" t="str"/>
    </x:row>
    <x:row r="30">
      <x:c r="A30" s="11" t="str">
        <x:v>A10</x:v>
      </x:c>
      <x:c r="B30" s="11" t="str">
        <x:v>W_008</x:v>
      </x:c>
      <x:c r="C30" s="11" t="str">
        <x:v>W_008_T02</x:v>
      </x:c>
      <x:c r="D30" s="11" t="str">
        <x:v>W_008_R03</x:v>
      </x:c>
      <x:c r="E30" s="11" t="str">
        <x:v>Cherkashin (2020)</x:v>
      </x:c>
      <x:c r="F30" s="11" t="str">
        <x:v>Neocalanus plumchrus</x:v>
      </x:c>
      <x:c r="G30" s="11" t="str">
        <x:v>Calanoida</x:v>
      </x:c>
      <x:c r="H30" s="11" t="str">
        <x:v>Copepodite IV–V</x:v>
      </x:c>
      <x:c r="I30" s="11" t="str">
        <x:v>Zn</x:v>
      </x:c>
      <x:c r="J30" s="14" t="n">
        <x:v>24</x:v>
      </x:c>
      <x:c r="K30" s="16" t="n">
        <x:v>5986</x:v>
      </x:c>
      <x:c r="L30" s="11" t="str">
        <x:v>µg Zn/L</x:v>
      </x:c>
      <x:c r="M30" s="11" t="str">
        <x:v>ZnCl2</x:v>
      </x:c>
      <x:c r="N30" s="11" t="str">
        <x:v>Elemental Zn / Zn2+</x:v>
      </x:c>
      <x:c r="O30" s="11" t="str">
        <x:v>Measured; mean of start/end</x:v>
      </x:c>
      <x:c r="P30" s="18" t="n">
        <x:v>12</x:v>
      </x:c>
      <x:c r="Q30" s="18" t="n">
        <x:v>33</x:v>
      </x:c>
      <x:c r="R30" s="11" t="str">
        <x:v>YES</x:v>
      </x:c>
      <x:c r="S30" s="11" t="str">
        <x:v>NO</x:v>
      </x:c>
      <x:c r="T30" s="11" t="str">
        <x:v>NO</x:v>
      </x:c>
      <x:c r="U30" s="11" t="str">
        <x:v>Table 1</x:v>
      </x:c>
      <x:c r="V30" s="11" t="str"/>
    </x:row>
    <x:row r="31">
      <x:c r="A31" s="11" t="str">
        <x:v>A10</x:v>
      </x:c>
      <x:c r="B31" s="11" t="str">
        <x:v>W_008</x:v>
      </x:c>
      <x:c r="C31" s="11" t="str">
        <x:v>W_008_T02</x:v>
      </x:c>
      <x:c r="D31" s="11" t="str">
        <x:v>W_008_R04</x:v>
      </x:c>
      <x:c r="E31" s="11" t="str">
        <x:v>Cherkashin (2020)</x:v>
      </x:c>
      <x:c r="F31" s="11" t="str">
        <x:v>Neocalanus plumchrus</x:v>
      </x:c>
      <x:c r="G31" s="11" t="str">
        <x:v>Calanoida</x:v>
      </x:c>
      <x:c r="H31" s="11" t="str">
        <x:v>Copepodite IV–V</x:v>
      </x:c>
      <x:c r="I31" s="11" t="str">
        <x:v>Zn</x:v>
      </x:c>
      <x:c r="J31" s="14" t="n">
        <x:v>48</x:v>
      </x:c>
      <x:c r="K31" s="16" t="n">
        <x:v>4381</x:v>
      </x:c>
      <x:c r="L31" s="11" t="str">
        <x:v>µg Zn/L</x:v>
      </x:c>
      <x:c r="M31" s="11" t="str">
        <x:v>ZnCl2</x:v>
      </x:c>
      <x:c r="N31" s="11" t="str">
        <x:v>Elemental Zn / Zn2+</x:v>
      </x:c>
      <x:c r="O31" s="11" t="str">
        <x:v>Measured; mean of start/end</x:v>
      </x:c>
      <x:c r="P31" s="18" t="n">
        <x:v>12</x:v>
      </x:c>
      <x:c r="Q31" s="18" t="n">
        <x:v>33</x:v>
      </x:c>
      <x:c r="R31" s="11" t="str">
        <x:v>YES</x:v>
      </x:c>
      <x:c r="S31" s="11" t="str">
        <x:v>NO</x:v>
      </x:c>
      <x:c r="T31" s="11" t="str">
        <x:v>NO</x:v>
      </x:c>
      <x:c r="U31" s="11" t="str">
        <x:v>Table 1</x:v>
      </x:c>
      <x:c r="V31" s="11" t="str"/>
    </x:row>
    <x:row r="32">
      <x:c r="A32" s="11" t="str">
        <x:v>A11</x:v>
      </x:c>
      <x:c r="B32" s="11" t="str">
        <x:v>W_009</x:v>
      </x:c>
      <x:c r="C32" s="11" t="str">
        <x:v>W_009_T01</x:v>
      </x:c>
      <x:c r="D32" s="11" t="str">
        <x:v>W_009_T01_R01</x:v>
      </x:c>
      <x:c r="E32" s="11" t="str">
        <x:v>Kadiene et al. (2019)</x:v>
      </x:c>
      <x:c r="F32" s="11" t="str">
        <x:v>Pseudodiaptomus annandalei</x:v>
      </x:c>
      <x:c r="G32" s="11" t="str">
        <x:v>Calanoida</x:v>
      </x:c>
      <x:c r="H32" s="11" t="str">
        <x:v>Nauplii</x:v>
      </x:c>
      <x:c r="I32" s="11" t="str">
        <x:v>Cd</x:v>
      </x:c>
      <x:c r="J32" s="14" t="n">
        <x:v>96</x:v>
      </x:c>
      <x:c r="K32" s="16" t="n">
        <x:v>40.3</x:v>
      </x:c>
      <x:c r="L32" s="11" t="str">
        <x:v>µg Cd/L</x:v>
      </x:c>
      <x:c r="M32" s="11" t="str">
        <x:v>Cd salt not reported</x:v>
      </x:c>
      <x:c r="N32" s="11" t="str">
        <x:v>Elemental Cd</x:v>
      </x:c>
      <x:c r="O32" s="11" t="str">
        <x:v>Nominal</x:v>
      </x:c>
      <x:c r="P32" s="18" t="n">
        <x:v>26</x:v>
      </x:c>
      <x:c r="Q32" s="18" t="n">
        <x:v>15</x:v>
      </x:c>
      <x:c r="R32" s="11" t="str">
        <x:v>YES</x:v>
      </x:c>
      <x:c r="S32" s="11" t="str">
        <x:v>NO</x:v>
      </x:c>
      <x:c r="T32" s="11" t="str">
        <x:v>NO</x:v>
      </x:c>
      <x:c r="U32" s="11" t="str">
        <x:v>Results</x:v>
      </x:c>
      <x:c r="V32" s="11" t="str"/>
    </x:row>
    <x:row r="33">
      <x:c r="A33" s="11" t="str">
        <x:v>A11</x:v>
      </x:c>
      <x:c r="B33" s="11" t="str">
        <x:v>W_009</x:v>
      </x:c>
      <x:c r="C33" s="11" t="str">
        <x:v>W_009_T02</x:v>
      </x:c>
      <x:c r="D33" s="11" t="str">
        <x:v>W_009_T02_R01</x:v>
      </x:c>
      <x:c r="E33" s="11" t="str">
        <x:v>Kadiene et al. (2019)</x:v>
      </x:c>
      <x:c r="F33" s="11" t="str">
        <x:v>Pseudodiaptomus annandalei</x:v>
      </x:c>
      <x:c r="G33" s="11" t="str">
        <x:v>Calanoida</x:v>
      </x:c>
      <x:c r="H33" s="11" t="str">
        <x:v>Copepodids</x:v>
      </x:c>
      <x:c r="I33" s="11" t="str">
        <x:v>Cd</x:v>
      </x:c>
      <x:c r="J33" s="14" t="n">
        <x:v>96</x:v>
      </x:c>
      <x:c r="K33" s="16" t="n">
        <x:v>120.4</x:v>
      </x:c>
      <x:c r="L33" s="11" t="str">
        <x:v>µg Cd/L</x:v>
      </x:c>
      <x:c r="M33" s="11" t="str">
        <x:v>Cd salt not reported</x:v>
      </x:c>
      <x:c r="N33" s="11" t="str">
        <x:v>Elemental Cd</x:v>
      </x:c>
      <x:c r="O33" s="11" t="str">
        <x:v>Nominal</x:v>
      </x:c>
      <x:c r="P33" s="18" t="n">
        <x:v>26</x:v>
      </x:c>
      <x:c r="Q33" s="18" t="n">
        <x:v>15</x:v>
      </x:c>
      <x:c r="R33" s="11" t="str">
        <x:v>YES</x:v>
      </x:c>
      <x:c r="S33" s="11" t="str">
        <x:v>NO</x:v>
      </x:c>
      <x:c r="T33" s="11" t="str">
        <x:v>NO</x:v>
      </x:c>
      <x:c r="U33" s="11" t="str">
        <x:v>Results</x:v>
      </x:c>
      <x:c r="V33" s="11" t="str"/>
    </x:row>
    <x:row r="34">
      <x:c r="A34" s="11" t="str">
        <x:v>A12</x:v>
      </x:c>
      <x:c r="B34" s="11" t="str">
        <x:v>W_010</x:v>
      </x:c>
      <x:c r="C34" s="11" t="str">
        <x:v>W_010_T01</x:v>
      </x:c>
      <x:c r="D34" s="11" t="str">
        <x:v>W_010_T01_R01</x:v>
      </x:c>
      <x:c r="E34" s="11" t="str">
        <x:v>Tlili et al. (2019)</x:v>
      </x:c>
      <x:c r="F34" s="11" t="str">
        <x:v>Pseudodiaptomus marinus</x:v>
      </x:c>
      <x:c r="G34" s="11" t="str">
        <x:v>Calanoida</x:v>
      </x:c>
      <x:c r="H34" s="11" t="str">
        <x:v>Adult</x:v>
      </x:c>
      <x:c r="I34" s="11" t="str">
        <x:v>Hg</x:v>
      </x:c>
      <x:c r="J34" s="14" t="n">
        <x:v>24</x:v>
      </x:c>
      <x:c r="K34" s="16" t="n">
        <x:v>172.4</x:v>
      </x:c>
      <x:c r="L34" s="11" t="str">
        <x:v>µg/L</x:v>
      </x:c>
      <x:c r="M34" s="11" t="str">
        <x:v>HgCl2</x:v>
      </x:c>
      <x:c r="N34" s="11" t="str">
        <x:v>HgCl2 compound-mass basis</x:v>
      </x:c>
      <x:c r="O34" s="11" t="str">
        <x:v>Nominal</x:v>
      </x:c>
      <x:c r="P34" s="18" t="n">
        <x:v>20</x:v>
      </x:c>
      <x:c r="Q34" s="18" t="n">
        <x:v>32</x:v>
      </x:c>
      <x:c r="R34" s="11" t="str">
        <x:v>YES</x:v>
      </x:c>
      <x:c r="S34" s="11" t="str">
        <x:v>YES</x:v>
      </x:c>
      <x:c r="T34" s="11" t="str">
        <x:v>NO</x:v>
      </x:c>
      <x:c r="U34" s="11" t="str">
        <x:v>Table 2</x:v>
      </x:c>
      <x:c r="V34" s="11" t="str">
        <x:v>24/48-h LC50 above highest tested treatment.</x:v>
      </x:c>
    </x:row>
    <x:row r="35">
      <x:c r="A35" s="11" t="str">
        <x:v>A12</x:v>
      </x:c>
      <x:c r="B35" s="11" t="str">
        <x:v>W_010</x:v>
      </x:c>
      <x:c r="C35" s="11" t="str">
        <x:v>W_010_T01</x:v>
      </x:c>
      <x:c r="D35" s="11" t="str">
        <x:v>W_010_T01_R02</x:v>
      </x:c>
      <x:c r="E35" s="11" t="str">
        <x:v>Tlili et al. (2019)</x:v>
      </x:c>
      <x:c r="F35" s="11" t="str">
        <x:v>Pseudodiaptomus marinus</x:v>
      </x:c>
      <x:c r="G35" s="11" t="str">
        <x:v>Calanoida</x:v>
      </x:c>
      <x:c r="H35" s="11" t="str">
        <x:v>Adult</x:v>
      </x:c>
      <x:c r="I35" s="11" t="str">
        <x:v>Hg</x:v>
      </x:c>
      <x:c r="J35" s="14" t="n">
        <x:v>48</x:v>
      </x:c>
      <x:c r="K35" s="16" t="n">
        <x:v>90.72</x:v>
      </x:c>
      <x:c r="L35" s="11" t="str">
        <x:v>µg/L</x:v>
      </x:c>
      <x:c r="M35" s="11" t="str">
        <x:v>HgCl2</x:v>
      </x:c>
      <x:c r="N35" s="11" t="str">
        <x:v>HgCl2 compound-mass basis</x:v>
      </x:c>
      <x:c r="O35" s="11" t="str">
        <x:v>Nominal</x:v>
      </x:c>
      <x:c r="P35" s="18" t="n">
        <x:v>20</x:v>
      </x:c>
      <x:c r="Q35" s="18" t="n">
        <x:v>32</x:v>
      </x:c>
      <x:c r="R35" s="11" t="str">
        <x:v>YES</x:v>
      </x:c>
      <x:c r="S35" s="11" t="str">
        <x:v>YES</x:v>
      </x:c>
      <x:c r="T35" s="11" t="str">
        <x:v>NO</x:v>
      </x:c>
      <x:c r="U35" s="11" t="str">
        <x:v>Table 2</x:v>
      </x:c>
      <x:c r="V35" s="11" t="str">
        <x:v>24/48-h LC50 above highest tested treatment.</x:v>
      </x:c>
    </x:row>
    <x:row r="36">
      <x:c r="A36" s="11" t="str">
        <x:v>A12</x:v>
      </x:c>
      <x:c r="B36" s="11" t="str">
        <x:v>W_010</x:v>
      </x:c>
      <x:c r="C36" s="11" t="str">
        <x:v>W_010_T01</x:v>
      </x:c>
      <x:c r="D36" s="11" t="str">
        <x:v>W_010_T01_R03</x:v>
      </x:c>
      <x:c r="E36" s="11" t="str">
        <x:v>Tlili et al. (2019)</x:v>
      </x:c>
      <x:c r="F36" s="11" t="str">
        <x:v>Pseudodiaptomus marinus</x:v>
      </x:c>
      <x:c r="G36" s="11" t="str">
        <x:v>Calanoida</x:v>
      </x:c>
      <x:c r="H36" s="11" t="str">
        <x:v>Adult</x:v>
      </x:c>
      <x:c r="I36" s="11" t="str">
        <x:v>Hg</x:v>
      </x:c>
      <x:c r="J36" s="14" t="n">
        <x:v>72</x:v>
      </x:c>
      <x:c r="K36" s="16" t="n">
        <x:v>60.65</x:v>
      </x:c>
      <x:c r="L36" s="11" t="str">
        <x:v>µg/L</x:v>
      </x:c>
      <x:c r="M36" s="11" t="str">
        <x:v>HgCl2</x:v>
      </x:c>
      <x:c r="N36" s="11" t="str">
        <x:v>HgCl2 compound-mass basis</x:v>
      </x:c>
      <x:c r="O36" s="11" t="str">
        <x:v>Nominal</x:v>
      </x:c>
      <x:c r="P36" s="18" t="n">
        <x:v>20</x:v>
      </x:c>
      <x:c r="Q36" s="18" t="n">
        <x:v>32</x:v>
      </x:c>
      <x:c r="R36" s="11" t="str">
        <x:v>YES</x:v>
      </x:c>
      <x:c r="S36" s="11" t="str">
        <x:v>NO</x:v>
      </x:c>
      <x:c r="T36" s="11" t="str">
        <x:v>NO</x:v>
      </x:c>
      <x:c r="U36" s="11" t="str">
        <x:v>Table 2</x:v>
      </x:c>
      <x:c r="V36" s="11" t="str"/>
    </x:row>
    <x:row r="37">
      <x:c r="A37" s="11" t="str">
        <x:v>A12</x:v>
      </x:c>
      <x:c r="B37" s="11" t="str">
        <x:v>W_010</x:v>
      </x:c>
      <x:c r="C37" s="11" t="str">
        <x:v>W_010_T01</x:v>
      </x:c>
      <x:c r="D37" s="11" t="str">
        <x:v>W_010_T01_R04</x:v>
      </x:c>
      <x:c r="E37" s="11" t="str">
        <x:v>Tlili et al. (2019)</x:v>
      </x:c>
      <x:c r="F37" s="11" t="str">
        <x:v>Pseudodiaptomus marinus</x:v>
      </x:c>
      <x:c r="G37" s="11" t="str">
        <x:v>Calanoida</x:v>
      </x:c>
      <x:c r="H37" s="11" t="str">
        <x:v>Adult</x:v>
      </x:c>
      <x:c r="I37" s="11" t="str">
        <x:v>Hg</x:v>
      </x:c>
      <x:c r="J37" s="14" t="n">
        <x:v>96</x:v>
      </x:c>
      <x:c r="K37" s="16" t="n">
        <x:v>42.42</x:v>
      </x:c>
      <x:c r="L37" s="11" t="str">
        <x:v>µg/L</x:v>
      </x:c>
      <x:c r="M37" s="11" t="str">
        <x:v>HgCl2</x:v>
      </x:c>
      <x:c r="N37" s="11" t="str">
        <x:v>HgCl2 compound-mass basis</x:v>
      </x:c>
      <x:c r="O37" s="11" t="str">
        <x:v>Nominal</x:v>
      </x:c>
      <x:c r="P37" s="18" t="n">
        <x:v>20</x:v>
      </x:c>
      <x:c r="Q37" s="18" t="n">
        <x:v>32</x:v>
      </x:c>
      <x:c r="R37" s="11" t="str">
        <x:v>YES</x:v>
      </x:c>
      <x:c r="S37" s="11" t="str">
        <x:v>NO</x:v>
      </x:c>
      <x:c r="T37" s="11" t="str">
        <x:v>NO</x:v>
      </x:c>
      <x:c r="U37" s="11" t="str">
        <x:v>Table 2</x:v>
      </x:c>
      <x:c r="V37" s="11" t="str"/>
    </x:row>
    <x:row r="38">
      <x:c r="A38" s="11" t="str">
        <x:v>A13</x:v>
      </x:c>
      <x:c r="B38" s="11" t="str">
        <x:v>W_011</x:v>
      </x:c>
      <x:c r="C38" s="11" t="str">
        <x:v>W_011_T01</x:v>
      </x:c>
      <x:c r="D38" s="11" t="str">
        <x:v>W_011_T01_R01</x:v>
      </x:c>
      <x:c r="E38" s="11" t="str">
        <x:v>Charry et al. (2019)</x:v>
      </x:c>
      <x:c r="F38" s="11" t="str">
        <x:v>Gladioferens pectinatus</x:v>
      </x:c>
      <x:c r="G38" s="11" t="str">
        <x:v>Calanoida</x:v>
      </x:c>
      <x:c r="H38" s="11" t="str">
        <x:v>Nauplii &lt;12 h</x:v>
      </x:c>
      <x:c r="I38" s="11" t="str">
        <x:v>Cu</x:v>
      </x:c>
      <x:c r="J38" s="14" t="n">
        <x:v>48</x:v>
      </x:c>
      <x:c r="K38" s="16" t="n">
        <x:v>170</x:v>
      </x:c>
      <x:c r="L38" s="11" t="str">
        <x:v>µg Cu/L</x:v>
      </x:c>
      <x:c r="M38" s="11" t="str">
        <x:v>CuCl2</x:v>
      </x:c>
      <x:c r="N38" s="11" t="str">
        <x:v>Elemental Cu</x:v>
      </x:c>
      <x:c r="O38" s="11" t="str">
        <x:v>Measured</x:v>
      </x:c>
      <x:c r="P38" s="18" t="n">
        <x:v>20</x:v>
      </x:c>
      <x:c r="Q38" s="18" t="n">
        <x:v>30</x:v>
      </x:c>
      <x:c r="R38" s="11" t="str">
        <x:v>YES</x:v>
      </x:c>
      <x:c r="S38" s="11" t="str">
        <x:v>NO</x:v>
      </x:c>
      <x:c r="T38" s="11" t="str">
        <x:v>NO</x:v>
      </x:c>
      <x:c r="U38" s="11" t="str">
        <x:v>Results/Table 1</x:v>
      </x:c>
      <x:c r="V38" s="11" t="str"/>
    </x:row>
    <x:row r="39">
      <x:c r="A39" s="11" t="str">
        <x:v>A13</x:v>
      </x:c>
      <x:c r="B39" s="11" t="str">
        <x:v>W_011</x:v>
      </x:c>
      <x:c r="C39" s="11" t="str">
        <x:v>W_011_T02</x:v>
      </x:c>
      <x:c r="D39" s="11" t="str">
        <x:v>W_011_T02_R01</x:v>
      </x:c>
      <x:c r="E39" s="11" t="str">
        <x:v>Charry et al. (2019)</x:v>
      </x:c>
      <x:c r="F39" s="11" t="str">
        <x:v>Gladioferens pectinatus</x:v>
      </x:c>
      <x:c r="G39" s="11" t="str">
        <x:v>Calanoida</x:v>
      </x:c>
      <x:c r="H39" s="11" t="str">
        <x:v>Adults; male + female</x:v>
      </x:c>
      <x:c r="I39" s="11" t="str">
        <x:v>Cu</x:v>
      </x:c>
      <x:c r="J39" s="14" t="n">
        <x:v>96</x:v>
      </x:c>
      <x:c r="K39" s="16" t="n">
        <x:v>216</x:v>
      </x:c>
      <x:c r="L39" s="11" t="str">
        <x:v>µg Cu/L</x:v>
      </x:c>
      <x:c r="M39" s="11" t="str">
        <x:v>CuCl2</x:v>
      </x:c>
      <x:c r="N39" s="11" t="str">
        <x:v>Elemental Cu</x:v>
      </x:c>
      <x:c r="O39" s="11" t="str">
        <x:v>Measured</x:v>
      </x:c>
      <x:c r="P39" s="18" t="n">
        <x:v>20</x:v>
      </x:c>
      <x:c r="Q39" s="18" t="n">
        <x:v>30</x:v>
      </x:c>
      <x:c r="R39" s="11" t="str">
        <x:v>YES</x:v>
      </x:c>
      <x:c r="S39" s="11" t="str">
        <x:v>NO</x:v>
      </x:c>
      <x:c r="T39" s="11" t="str">
        <x:v>NO</x:v>
      </x:c>
      <x:c r="U39" s="11" t="str">
        <x:v>Results/Table 1</x:v>
      </x:c>
      <x:c r="V39" s="11" t="str"/>
    </x:row>
    <x:row r="40">
      <x:c r="A40" s="11" t="str">
        <x:v>A14</x:v>
      </x:c>
      <x:c r="B40" s="11" t="str">
        <x:v>W_012</x:v>
      </x:c>
      <x:c r="C40" s="11" t="str">
        <x:v>W_012_T01</x:v>
      </x:c>
      <x:c r="D40" s="11" t="str">
        <x:v>W_012_T01_R01</x:v>
      </x:c>
      <x:c r="E40" s="11" t="str">
        <x:v>Yi et al. (2019)</x:v>
      </x:c>
      <x:c r="F40" s="11" t="str">
        <x:v>Tigriopus japonicus</x:v>
      </x:c>
      <x:c r="G40" s="11" t="str">
        <x:v>Harpacticoida</x:v>
      </x:c>
      <x:c r="H40" s="11" t="str">
        <x:v>Adult</x:v>
      </x:c>
      <x:c r="I40" s="11" t="str">
        <x:v>Cd</x:v>
      </x:c>
      <x:c r="J40" s="14" t="n">
        <x:v>96</x:v>
      </x:c>
      <x:c r="K40" s="16" t="n">
        <x:v>5.9</x:v>
      </x:c>
      <x:c r="L40" s="11" t="str">
        <x:v>mg Cd/L</x:v>
      </x:c>
      <x:c r="M40" s="11" t="str">
        <x:v>CdCl2</x:v>
      </x:c>
      <x:c r="N40" s="11" t="str">
        <x:v>Elemental Cd</x:v>
      </x:c>
      <x:c r="O40" s="11" t="str">
        <x:v>Nominal; dissolved Cd checked</x:v>
      </x:c>
      <x:c r="P40" s="18" t="n">
        <x:v>20</x:v>
      </x:c>
      <x:c r="Q40" s="18" t="n">
        <x:v>30</x:v>
      </x:c>
      <x:c r="R40" s="11" t="str">
        <x:v>YES</x:v>
      </x:c>
      <x:c r="S40" s="11" t="str">
        <x:v>NO</x:v>
      </x:c>
      <x:c r="T40" s="11" t="str">
        <x:v>NO</x:v>
      </x:c>
      <x:c r="U40" s="11" t="str">
        <x:v>Results</x:v>
      </x:c>
      <x:c r="V40" s="11" t="str">
        <x:v>Plain Cd arm retained; nZnO mixture arms excluded.</x:v>
      </x:c>
    </x:row>
    <x:row r="41">
      <x:c r="A41" s="11" t="str">
        <x:v>A14</x:v>
      </x:c>
      <x:c r="B41" s="11" t="str"/>
      <x:c r="C41" s="11" t="str"/>
      <x:c r="D41" s="11" t="str"/>
      <x:c r="E41" s="11" t="str">
        <x:v>Yi et al. (2019)</x:v>
      </x:c>
      <x:c r="F41" s="11" t="str">
        <x:v>Tigriopus japonicus</x:v>
      </x:c>
      <x:c r="G41" s="11" t="str">
        <x:v>Harpacticoida</x:v>
      </x:c>
      <x:c r="H41" s="11" t="str">
        <x:v>Adult</x:v>
      </x:c>
      <x:c r="I41" s="11" t="str">
        <x:v>Pb</x:v>
      </x:c>
      <x:c r="J41" s="14" t="n">
        <x:v>96</x:v>
      </x:c>
      <x:c r="K41" s="16" t="n">
        <x:v>75.4</x:v>
      </x:c>
      <x:c r="L41" s="11" t="str">
        <x:v>mg Pb/L</x:v>
      </x:c>
      <x:c r="M41" s="11" t="str">
        <x:v>Pb(NO3)2</x:v>
      </x:c>
      <x:c r="N41" s="11" t="str">
        <x:v>Elemental Pb</x:v>
      </x:c>
      <x:c r="O41" s="11" t="str">
        <x:v>Nominal</x:v>
      </x:c>
      <x:c r="P41" s="18" t="n">
        <x:v>20</x:v>
      </x:c>
      <x:c r="Q41" s="18" t="n">
        <x:v>30</x:v>
      </x:c>
      <x:c r="R41" s="11" t="str">
        <x:v>NO</x:v>
      </x:c>
      <x:c r="S41" s="11" t="str">
        <x:v>NO</x:v>
      </x:c>
      <x:c r="T41" s="11" t="str">
        <x:v>NO</x:v>
      </x:c>
      <x:c r="U41" s="11" t="str">
        <x:v>Results</x:v>
      </x:c>
      <x:c r="V41" s="11" t="str">
        <x:v>Excluded: visible precipitation; dissolved Pb plateaued around 5.74 mg/L.</x:v>
      </x:c>
    </x:row>
    <x:row r="42">
      <x:c r="A42" s="11" t="str">
        <x:v>A15</x:v>
      </x:c>
      <x:c r="B42" s="11" t="str">
        <x:v>W_013</x:v>
      </x:c>
      <x:c r="C42" s="11" t="str">
        <x:v>W_013_T01</x:v>
      </x:c>
      <x:c r="D42" s="11" t="str">
        <x:v>W_013_R01</x:v>
      </x:c>
      <x:c r="E42" s="11" t="str">
        <x:v>Zidour et al. (2019)</x:v>
      </x:c>
      <x:c r="F42" s="11" t="str">
        <x:v>Eurytemora affinis</x:v>
      </x:c>
      <x:c r="G42" s="11" t="str">
        <x:v>Calanoida</x:v>
      </x:c>
      <x:c r="H42" s="11" t="str">
        <x:v>Adult female</x:v>
      </x:c>
      <x:c r="I42" s="11" t="str">
        <x:v>Cd</x:v>
      </x:c>
      <x:c r="J42" s="14" t="n">
        <x:v>48</x:v>
      </x:c>
      <x:c r="K42" s="16" t="n">
        <x:v>239</x:v>
      </x:c>
      <x:c r="L42" s="11" t="str">
        <x:v>µg Cd/L</x:v>
      </x:c>
      <x:c r="M42" s="11" t="str">
        <x:v>CdCl2</x:v>
      </x:c>
      <x:c r="N42" s="11" t="str">
        <x:v>Elemental Cd</x:v>
      </x:c>
      <x:c r="O42" s="11" t="str">
        <x:v>Nominal</x:v>
      </x:c>
      <x:c r="P42" s="18" t="n">
        <x:v>18</x:v>
      </x:c>
      <x:c r="Q42" s="18" t="n">
        <x:v>15</x:v>
      </x:c>
      <x:c r="R42" s="11" t="str">
        <x:v>YES</x:v>
      </x:c>
      <x:c r="S42" s="11" t="str">
        <x:v>NO</x:v>
      </x:c>
      <x:c r="T42" s="11" t="str">
        <x:v>NO</x:v>
      </x:c>
      <x:c r="U42" s="11" t="str">
        <x:v>Table 1 / Results</x:v>
      </x:c>
      <x:c r="V42" s="11" t="str"/>
    </x:row>
    <x:row r="43">
      <x:c r="A43" s="11" t="str">
        <x:v>A15</x:v>
      </x:c>
      <x:c r="B43" s="11" t="str">
        <x:v>W_013</x:v>
      </x:c>
      <x:c r="C43" s="11" t="str">
        <x:v>W_013_T01</x:v>
      </x:c>
      <x:c r="D43" s="11" t="str">
        <x:v>W_013_R02</x:v>
      </x:c>
      <x:c r="E43" s="11" t="str">
        <x:v>Zidour et al. (2019)</x:v>
      </x:c>
      <x:c r="F43" s="11" t="str">
        <x:v>Eurytemora affinis</x:v>
      </x:c>
      <x:c r="G43" s="11" t="str">
        <x:v>Calanoida</x:v>
      </x:c>
      <x:c r="H43" s="11" t="str">
        <x:v>Adult female</x:v>
      </x:c>
      <x:c r="I43" s="11" t="str">
        <x:v>Cd</x:v>
      </x:c>
      <x:c r="J43" s="14" t="n">
        <x:v>72</x:v>
      </x:c>
      <x:c r="K43" s="16" t="n">
        <x:v>121</x:v>
      </x:c>
      <x:c r="L43" s="11" t="str">
        <x:v>µg Cd/L</x:v>
      </x:c>
      <x:c r="M43" s="11" t="str">
        <x:v>CdCl2</x:v>
      </x:c>
      <x:c r="N43" s="11" t="str">
        <x:v>Elemental Cd</x:v>
      </x:c>
      <x:c r="O43" s="11" t="str">
        <x:v>Nominal</x:v>
      </x:c>
      <x:c r="P43" s="18" t="n">
        <x:v>18</x:v>
      </x:c>
      <x:c r="Q43" s="18" t="n">
        <x:v>15</x:v>
      </x:c>
      <x:c r="R43" s="11" t="str">
        <x:v>YES</x:v>
      </x:c>
      <x:c r="S43" s="11" t="str">
        <x:v>NO</x:v>
      </x:c>
      <x:c r="T43" s="11" t="str">
        <x:v>NO</x:v>
      </x:c>
      <x:c r="U43" s="11" t="str">
        <x:v>Table 1 / Results</x:v>
      </x:c>
      <x:c r="V43" s="11" t="str"/>
    </x:row>
    <x:row r="44">
      <x:c r="A44" s="11" t="str">
        <x:v>A15</x:v>
      </x:c>
      <x:c r="B44" s="11" t="str">
        <x:v>W_013</x:v>
      </x:c>
      <x:c r="C44" s="11" t="str">
        <x:v>W_013_T01</x:v>
      </x:c>
      <x:c r="D44" s="11" t="str">
        <x:v>W_013_R03</x:v>
      </x:c>
      <x:c r="E44" s="11" t="str">
        <x:v>Zidour et al. (2019)</x:v>
      </x:c>
      <x:c r="F44" s="11" t="str">
        <x:v>Eurytemora affinis</x:v>
      </x:c>
      <x:c r="G44" s="11" t="str">
        <x:v>Calanoida</x:v>
      </x:c>
      <x:c r="H44" s="11" t="str">
        <x:v>Adult female</x:v>
      </x:c>
      <x:c r="I44" s="11" t="str">
        <x:v>Cd</x:v>
      </x:c>
      <x:c r="J44" s="14" t="n">
        <x:v>96</x:v>
      </x:c>
      <x:c r="K44" s="16" t="n">
        <x:v>90</x:v>
      </x:c>
      <x:c r="L44" s="11" t="str">
        <x:v>µg Cd/L</x:v>
      </x:c>
      <x:c r="M44" s="11" t="str">
        <x:v>CdCl2</x:v>
      </x:c>
      <x:c r="N44" s="11" t="str">
        <x:v>Elemental Cd</x:v>
      </x:c>
      <x:c r="O44" s="11" t="str">
        <x:v>Nominal</x:v>
      </x:c>
      <x:c r="P44" s="18" t="n">
        <x:v>18</x:v>
      </x:c>
      <x:c r="Q44" s="18" t="n">
        <x:v>15</x:v>
      </x:c>
      <x:c r="R44" s="11" t="str">
        <x:v>NO</x:v>
      </x:c>
      <x:c r="S44" s="11" t="str">
        <x:v>NO</x:v>
      </x:c>
      <x:c r="T44" s="11" t="str">
        <x:v>YES</x:v>
      </x:c>
      <x:c r="U44" s="11" t="str">
        <x:v>Table 1 / Results</x:v>
      </x:c>
      <x:c r="V44" s="11" t="str">
        <x:v>Duplicate of Kadiene 2017 female 96-h Cd (90.04).</x:v>
      </x:c>
    </x:row>
    <x:row r="45">
      <x:c r="A45" s="11" t="str">
        <x:v>A15</x:v>
      </x:c>
      <x:c r="B45" s="11" t="str">
        <x:v>W_013</x:v>
      </x:c>
      <x:c r="C45" s="11" t="str">
        <x:v>W_013_T02</x:v>
      </x:c>
      <x:c r="D45" s="11" t="str">
        <x:v>W_013_R04</x:v>
      </x:c>
      <x:c r="E45" s="11" t="str">
        <x:v>Zidour et al. (2019)</x:v>
      </x:c>
      <x:c r="F45" s="11" t="str">
        <x:v>Eurytemora affinis</x:v>
      </x:c>
      <x:c r="G45" s="11" t="str">
        <x:v>Calanoida</x:v>
      </x:c>
      <x:c r="H45" s="11" t="str">
        <x:v>Adult female</x:v>
      </x:c>
      <x:c r="I45" s="11" t="str">
        <x:v>Cu</x:v>
      </x:c>
      <x:c r="J45" s="14" t="n">
        <x:v>72</x:v>
      </x:c>
      <x:c r="K45" s="16" t="n">
        <x:v>224</x:v>
      </x:c>
      <x:c r="L45" s="11" t="str">
        <x:v>µg Cu/L</x:v>
      </x:c>
      <x:c r="M45" s="11" t="str">
        <x:v>CuCl2</x:v>
      </x:c>
      <x:c r="N45" s="11" t="str">
        <x:v>Elemental Cu</x:v>
      </x:c>
      <x:c r="O45" s="11" t="str">
        <x:v>Nominal</x:v>
      </x:c>
      <x:c r="P45" s="18" t="n">
        <x:v>18</x:v>
      </x:c>
      <x:c r="Q45" s="18" t="n">
        <x:v>15</x:v>
      </x:c>
      <x:c r="R45" s="11" t="str">
        <x:v>YES</x:v>
      </x:c>
      <x:c r="S45" s="11" t="str">
        <x:v>NO</x:v>
      </x:c>
      <x:c r="T45" s="11" t="str">
        <x:v>NO</x:v>
      </x:c>
      <x:c r="U45" s="11" t="str">
        <x:v>Table 1 / Results</x:v>
      </x:c>
      <x:c r="V45" s="11" t="str"/>
    </x:row>
    <x:row r="46">
      <x:c r="A46" s="11" t="str">
        <x:v>A15</x:v>
      </x:c>
      <x:c r="B46" s="11" t="str">
        <x:v>W_013</x:v>
      </x:c>
      <x:c r="C46" s="11" t="str">
        <x:v>W_013_T02</x:v>
      </x:c>
      <x:c r="D46" s="11" t="str">
        <x:v>W_013_R05</x:v>
      </x:c>
      <x:c r="E46" s="11" t="str">
        <x:v>Zidour et al. (2019)</x:v>
      </x:c>
      <x:c r="F46" s="11" t="str">
        <x:v>Eurytemora affinis</x:v>
      </x:c>
      <x:c r="G46" s="11" t="str">
        <x:v>Calanoida</x:v>
      </x:c>
      <x:c r="H46" s="11" t="str">
        <x:v>Adult female</x:v>
      </x:c>
      <x:c r="I46" s="11" t="str">
        <x:v>Cu</x:v>
      </x:c>
      <x:c r="J46" s="14" t="n">
        <x:v>96</x:v>
      </x:c>
      <x:c r="K46" s="16" t="n">
        <x:v>38</x:v>
      </x:c>
      <x:c r="L46" s="11" t="str">
        <x:v>µg Cu/L</x:v>
      </x:c>
      <x:c r="M46" s="11" t="str">
        <x:v>CuCl2</x:v>
      </x:c>
      <x:c r="N46" s="11" t="str">
        <x:v>Elemental Cu</x:v>
      </x:c>
      <x:c r="O46" s="11" t="str">
        <x:v>Nominal</x:v>
      </x:c>
      <x:c r="P46" s="18" t="n">
        <x:v>18</x:v>
      </x:c>
      <x:c r="Q46" s="18" t="n">
        <x:v>15</x:v>
      </x:c>
      <x:c r="R46" s="11" t="str">
        <x:v>YES</x:v>
      </x:c>
      <x:c r="S46" s="11" t="str">
        <x:v>NO</x:v>
      </x:c>
      <x:c r="T46" s="11" t="str">
        <x:v>NO</x:v>
      </x:c>
      <x:c r="U46" s="11" t="str">
        <x:v>Table 1 / Results</x:v>
      </x:c>
      <x:c r="V46" s="11" t="str">
        <x:v>Source internal discrepancy: Table 1 gives 39; Abstract/Results/Table 3 give 38.</x:v>
      </x:c>
    </x:row>
    <x:row r="47">
      <x:c r="A47" s="11" t="str">
        <x:v>A15</x:v>
      </x:c>
      <x:c r="B47" s="11" t="str">
        <x:v>W_013</x:v>
      </x:c>
      <x:c r="C47" s="11" t="str">
        <x:v>W_013_T03</x:v>
      </x:c>
      <x:c r="D47" s="11" t="str">
        <x:v>W_013_R06</x:v>
      </x:c>
      <x:c r="E47" s="11" t="str">
        <x:v>Zidour et al. (2019)</x:v>
      </x:c>
      <x:c r="F47" s="11" t="str">
        <x:v>Eurytemora affinis</x:v>
      </x:c>
      <x:c r="G47" s="11" t="str">
        <x:v>Calanoida</x:v>
      </x:c>
      <x:c r="H47" s="11" t="str">
        <x:v>Adult female</x:v>
      </x:c>
      <x:c r="I47" s="11" t="str">
        <x:v>Ni</x:v>
      </x:c>
      <x:c r="J47" s="14" t="n">
        <x:v>96</x:v>
      </x:c>
      <x:c r="K47" s="16" t="n">
        <x:v>161</x:v>
      </x:c>
      <x:c r="L47" s="11" t="str">
        <x:v>µg Ni/L</x:v>
      </x:c>
      <x:c r="M47" s="11" t="str">
        <x:v>NiSO4·6H2O</x:v>
      </x:c>
      <x:c r="N47" s="11" t="str">
        <x:v>Elemental Ni</x:v>
      </x:c>
      <x:c r="O47" s="11" t="str">
        <x:v>Nominal</x:v>
      </x:c>
      <x:c r="P47" s="18" t="n">
        <x:v>18</x:v>
      </x:c>
      <x:c r="Q47" s="18" t="n">
        <x:v>15</x:v>
      </x:c>
      <x:c r="R47" s="11" t="str">
        <x:v>YES</x:v>
      </x:c>
      <x:c r="S47" s="11" t="str">
        <x:v>NO</x:v>
      </x:c>
      <x:c r="T47" s="11" t="str">
        <x:v>NO</x:v>
      </x:c>
      <x:c r="U47" s="11" t="str">
        <x:v>Table 1 / Results</x:v>
      </x:c>
      <x:c r="V47" s="11" t="str"/>
    </x:row>
    <x:row r="48">
      <x:c r="A48" s="11" t="str">
        <x:v>A15</x:v>
      </x:c>
      <x:c r="B48" s="11" t="str">
        <x:v>W_013</x:v>
      </x:c>
      <x:c r="C48" s="11" t="str">
        <x:v>W_013_T04</x:v>
      </x:c>
      <x:c r="D48" s="11" t="str">
        <x:v>W_013_R07</x:v>
      </x:c>
      <x:c r="E48" s="11" t="str">
        <x:v>Zidour et al. (2019)</x:v>
      </x:c>
      <x:c r="F48" s="11" t="str">
        <x:v>Eurytemora affinis</x:v>
      </x:c>
      <x:c r="G48" s="11" t="str">
        <x:v>Calanoida</x:v>
      </x:c>
      <x:c r="H48" s="11" t="str">
        <x:v>Adult male</x:v>
      </x:c>
      <x:c r="I48" s="11" t="str">
        <x:v>Cu</x:v>
      </x:c>
      <x:c r="J48" s="14" t="n">
        <x:v>48</x:v>
      </x:c>
      <x:c r="K48" s="16" t="n">
        <x:v>145.2</x:v>
      </x:c>
      <x:c r="L48" s="11" t="str">
        <x:v>µg Cu/L</x:v>
      </x:c>
      <x:c r="M48" s="11" t="str">
        <x:v>CuCl2</x:v>
      </x:c>
      <x:c r="N48" s="11" t="str">
        <x:v>Elemental Cu</x:v>
      </x:c>
      <x:c r="O48" s="11" t="str">
        <x:v>Nominal</x:v>
      </x:c>
      <x:c r="P48" s="18" t="n">
        <x:v>18</x:v>
      </x:c>
      <x:c r="Q48" s="18" t="n">
        <x:v>15</x:v>
      </x:c>
      <x:c r="R48" s="11" t="str">
        <x:v>YES</x:v>
      </x:c>
      <x:c r="S48" s="11" t="str">
        <x:v>NO</x:v>
      </x:c>
      <x:c r="T48" s="11" t="str">
        <x:v>NO</x:v>
      </x:c>
      <x:c r="U48" s="11" t="str">
        <x:v>Table 1 / Results</x:v>
      </x:c>
      <x:c r="V48" s="11" t="str"/>
    </x:row>
    <x:row r="49">
      <x:c r="A49" s="11" t="str">
        <x:v>A15</x:v>
      </x:c>
      <x:c r="B49" s="11" t="str">
        <x:v>W_013</x:v>
      </x:c>
      <x:c r="C49" s="11" t="str">
        <x:v>W_013_T04</x:v>
      </x:c>
      <x:c r="D49" s="11" t="str">
        <x:v>W_013_R08</x:v>
      </x:c>
      <x:c r="E49" s="11" t="str">
        <x:v>Zidour et al. (2019)</x:v>
      </x:c>
      <x:c r="F49" s="11" t="str">
        <x:v>Eurytemora affinis</x:v>
      </x:c>
      <x:c r="G49" s="11" t="str">
        <x:v>Calanoida</x:v>
      </x:c>
      <x:c r="H49" s="11" t="str">
        <x:v>Adult male</x:v>
      </x:c>
      <x:c r="I49" s="11" t="str">
        <x:v>Cu</x:v>
      </x:c>
      <x:c r="J49" s="14" t="n">
        <x:v>72</x:v>
      </x:c>
      <x:c r="K49" s="16" t="n">
        <x:v>51</x:v>
      </x:c>
      <x:c r="L49" s="11" t="str">
        <x:v>µg Cu/L</x:v>
      </x:c>
      <x:c r="M49" s="11" t="str">
        <x:v>CuCl2</x:v>
      </x:c>
      <x:c r="N49" s="11" t="str">
        <x:v>Elemental Cu</x:v>
      </x:c>
      <x:c r="O49" s="11" t="str">
        <x:v>Nominal</x:v>
      </x:c>
      <x:c r="P49" s="18" t="n">
        <x:v>18</x:v>
      </x:c>
      <x:c r="Q49" s="18" t="n">
        <x:v>15</x:v>
      </x:c>
      <x:c r="R49" s="11" t="str">
        <x:v>YES</x:v>
      </x:c>
      <x:c r="S49" s="11" t="str">
        <x:v>NO</x:v>
      </x:c>
      <x:c r="T49" s="11" t="str">
        <x:v>NO</x:v>
      </x:c>
      <x:c r="U49" s="11" t="str">
        <x:v>Table 1 / Results</x:v>
      </x:c>
      <x:c r="V49" s="11" t="str"/>
    </x:row>
    <x:row r="50">
      <x:c r="A50" s="11" t="str">
        <x:v>A15</x:v>
      </x:c>
      <x:c r="B50" s="11" t="str">
        <x:v>W_013</x:v>
      </x:c>
      <x:c r="C50" s="11" t="str">
        <x:v>W_013_T04</x:v>
      </x:c>
      <x:c r="D50" s="11" t="str">
        <x:v>W_013_R09</x:v>
      </x:c>
      <x:c r="E50" s="11" t="str">
        <x:v>Zidour et al. (2019)</x:v>
      </x:c>
      <x:c r="F50" s="11" t="str">
        <x:v>Eurytemora affinis</x:v>
      </x:c>
      <x:c r="G50" s="11" t="str">
        <x:v>Calanoida</x:v>
      </x:c>
      <x:c r="H50" s="11" t="str">
        <x:v>Adult male</x:v>
      </x:c>
      <x:c r="I50" s="11" t="str">
        <x:v>Cu</x:v>
      </x:c>
      <x:c r="J50" s="14" t="n">
        <x:v>96</x:v>
      </x:c>
      <x:c r="K50" s="16" t="n">
        <x:v>25</x:v>
      </x:c>
      <x:c r="L50" s="11" t="str">
        <x:v>µg Cu/L</x:v>
      </x:c>
      <x:c r="M50" s="11" t="str">
        <x:v>CuCl2</x:v>
      </x:c>
      <x:c r="N50" s="11" t="str">
        <x:v>Elemental Cu</x:v>
      </x:c>
      <x:c r="O50" s="11" t="str">
        <x:v>Nominal</x:v>
      </x:c>
      <x:c r="P50" s="18" t="n">
        <x:v>18</x:v>
      </x:c>
      <x:c r="Q50" s="18" t="n">
        <x:v>15</x:v>
      </x:c>
      <x:c r="R50" s="11" t="str">
        <x:v>YES</x:v>
      </x:c>
      <x:c r="S50" s="11" t="str">
        <x:v>NO</x:v>
      </x:c>
      <x:c r="T50" s="11" t="str">
        <x:v>NO</x:v>
      </x:c>
      <x:c r="U50" s="11" t="str">
        <x:v>Table 1 / Results</x:v>
      </x:c>
      <x:c r="V50" s="11" t="str">
        <x:v>Source internal discrepancy: Table 1 gives 28; Abstract/Results/Table 3 give 25.</x:v>
      </x:c>
    </x:row>
    <x:row r="51">
      <x:c r="A51" s="11" t="str">
        <x:v>A15</x:v>
      </x:c>
      <x:c r="B51" s="11" t="str">
        <x:v>W_013</x:v>
      </x:c>
      <x:c r="C51" s="11" t="str">
        <x:v>W_013_T05</x:v>
      </x:c>
      <x:c r="D51" s="11" t="str">
        <x:v>W_013_R10</x:v>
      </x:c>
      <x:c r="E51" s="11" t="str">
        <x:v>Zidour et al. (2019)</x:v>
      </x:c>
      <x:c r="F51" s="11" t="str">
        <x:v>Eurytemora affinis</x:v>
      </x:c>
      <x:c r="G51" s="11" t="str">
        <x:v>Calanoida</x:v>
      </x:c>
      <x:c r="H51" s="11" t="str">
        <x:v>Adult male</x:v>
      </x:c>
      <x:c r="I51" s="11" t="str">
        <x:v>Cd</x:v>
      </x:c>
      <x:c r="J51" s="14" t="n">
        <x:v>72</x:v>
      </x:c>
      <x:c r="K51" s="16" t="n">
        <x:v>67</x:v>
      </x:c>
      <x:c r="L51" s="11" t="str">
        <x:v>µg Cd/L</x:v>
      </x:c>
      <x:c r="M51" s="11" t="str">
        <x:v>CdCl2</x:v>
      </x:c>
      <x:c r="N51" s="11" t="str">
        <x:v>Elemental Cd</x:v>
      </x:c>
      <x:c r="O51" s="11" t="str">
        <x:v>Nominal</x:v>
      </x:c>
      <x:c r="P51" s="18" t="n">
        <x:v>18</x:v>
      </x:c>
      <x:c r="Q51" s="18" t="n">
        <x:v>15</x:v>
      </x:c>
      <x:c r="R51" s="11" t="str">
        <x:v>YES</x:v>
      </x:c>
      <x:c r="S51" s="11" t="str">
        <x:v>NO</x:v>
      </x:c>
      <x:c r="T51" s="11" t="str">
        <x:v>NO</x:v>
      </x:c>
      <x:c r="U51" s="11" t="str">
        <x:v>Table 1 / Results</x:v>
      </x:c>
      <x:c r="V51" s="11" t="str">
        <x:v>Unusual time trend relative to 96 h; retained as reported.</x:v>
      </x:c>
    </x:row>
    <x:row r="52">
      <x:c r="A52" s="11" t="str">
        <x:v>A15</x:v>
      </x:c>
      <x:c r="B52" s="11" t="str">
        <x:v>W_013</x:v>
      </x:c>
      <x:c r="C52" s="11" t="str">
        <x:v>W_013_T05</x:v>
      </x:c>
      <x:c r="D52" s="11" t="str">
        <x:v>W_013_R11</x:v>
      </x:c>
      <x:c r="E52" s="11" t="str">
        <x:v>Zidour et al. (2019)</x:v>
      </x:c>
      <x:c r="F52" s="11" t="str">
        <x:v>Eurytemora affinis</x:v>
      </x:c>
      <x:c r="G52" s="11" t="str">
        <x:v>Calanoida</x:v>
      </x:c>
      <x:c r="H52" s="11" t="str">
        <x:v>Adult male</x:v>
      </x:c>
      <x:c r="I52" s="11" t="str">
        <x:v>Cd</x:v>
      </x:c>
      <x:c r="J52" s="14" t="n">
        <x:v>96</x:v>
      </x:c>
      <x:c r="K52" s="16" t="n">
        <x:v>127.8</x:v>
      </x:c>
      <x:c r="L52" s="11" t="str">
        <x:v>µg Cd/L</x:v>
      </x:c>
      <x:c r="M52" s="11" t="str">
        <x:v>CdCl2</x:v>
      </x:c>
      <x:c r="N52" s="11" t="str">
        <x:v>Elemental Cd</x:v>
      </x:c>
      <x:c r="O52" s="11" t="str">
        <x:v>Nominal</x:v>
      </x:c>
      <x:c r="P52" s="18" t="n">
        <x:v>18</x:v>
      </x:c>
      <x:c r="Q52" s="18" t="n">
        <x:v>15</x:v>
      </x:c>
      <x:c r="R52" s="11" t="str">
        <x:v>NO</x:v>
      </x:c>
      <x:c r="S52" s="11" t="str">
        <x:v>NO</x:v>
      </x:c>
      <x:c r="T52" s="11" t="str">
        <x:v>YES</x:v>
      </x:c>
      <x:c r="U52" s="11" t="str">
        <x:v>Table 1 / Results</x:v>
      </x:c>
      <x:c r="V52" s="11" t="str">
        <x:v>Duplicate of Kadiene 2017 male 96-h Cd (127.75).</x:v>
      </x:c>
    </x:row>
    <x:row r="53">
      <x:c r="A53" s="11" t="str">
        <x:v>A15</x:v>
      </x:c>
      <x:c r="B53" s="11" t="str">
        <x:v>W_013</x:v>
      </x:c>
      <x:c r="C53" s="11" t="str">
        <x:v>W_013_T06</x:v>
      </x:c>
      <x:c r="D53" s="11" t="str">
        <x:v>W_013_R12</x:v>
      </x:c>
      <x:c r="E53" s="11" t="str">
        <x:v>Zidour et al. (2019)</x:v>
      </x:c>
      <x:c r="F53" s="11" t="str">
        <x:v>Eurytemora affinis</x:v>
      </x:c>
      <x:c r="G53" s="11" t="str">
        <x:v>Calanoida</x:v>
      </x:c>
      <x:c r="H53" s="11" t="str">
        <x:v>Adult male</x:v>
      </x:c>
      <x:c r="I53" s="11" t="str">
        <x:v>Ni</x:v>
      </x:c>
      <x:c r="J53" s="14" t="n">
        <x:v>72</x:v>
      </x:c>
      <x:c r="K53" s="16" t="n">
        <x:v>88</x:v>
      </x:c>
      <x:c r="L53" s="11" t="str">
        <x:v>µg Ni/L</x:v>
      </x:c>
      <x:c r="M53" s="11" t="str">
        <x:v>NiSO4·6H2O</x:v>
      </x:c>
      <x:c r="N53" s="11" t="str">
        <x:v>Elemental Ni</x:v>
      </x:c>
      <x:c r="O53" s="11" t="str">
        <x:v>Nominal</x:v>
      </x:c>
      <x:c r="P53" s="18" t="n">
        <x:v>18</x:v>
      </x:c>
      <x:c r="Q53" s="18" t="n">
        <x:v>15</x:v>
      </x:c>
      <x:c r="R53" s="11" t="str">
        <x:v>YES</x:v>
      </x:c>
      <x:c r="S53" s="11" t="str">
        <x:v>NO</x:v>
      </x:c>
      <x:c r="T53" s="11" t="str">
        <x:v>NO</x:v>
      </x:c>
      <x:c r="U53" s="11" t="str">
        <x:v>Table 1 / Results</x:v>
      </x:c>
      <x:c r="V53" s="11" t="str"/>
    </x:row>
    <x:row r="54">
      <x:c r="A54" s="11" t="str">
        <x:v>A15</x:v>
      </x:c>
      <x:c r="B54" s="11" t="str">
        <x:v>W_013</x:v>
      </x:c>
      <x:c r="C54" s="11" t="str">
        <x:v>W_013_T06</x:v>
      </x:c>
      <x:c r="D54" s="11" t="str">
        <x:v>W_013_R13</x:v>
      </x:c>
      <x:c r="E54" s="11" t="str">
        <x:v>Zidour et al. (2019)</x:v>
      </x:c>
      <x:c r="F54" s="11" t="str">
        <x:v>Eurytemora affinis</x:v>
      </x:c>
      <x:c r="G54" s="11" t="str">
        <x:v>Calanoida</x:v>
      </x:c>
      <x:c r="H54" s="11" t="str">
        <x:v>Adult male</x:v>
      </x:c>
      <x:c r="I54" s="11" t="str">
        <x:v>Ni</x:v>
      </x:c>
      <x:c r="J54" s="14" t="n">
        <x:v>96</x:v>
      </x:c>
      <x:c r="K54" s="16" t="n">
        <x:v>90</x:v>
      </x:c>
      <x:c r="L54" s="11" t="str">
        <x:v>µg Ni/L</x:v>
      </x:c>
      <x:c r="M54" s="11" t="str">
        <x:v>NiSO4·6H2O</x:v>
      </x:c>
      <x:c r="N54" s="11" t="str">
        <x:v>Elemental Ni</x:v>
      </x:c>
      <x:c r="O54" s="11" t="str">
        <x:v>Nominal</x:v>
      </x:c>
      <x:c r="P54" s="18" t="n">
        <x:v>18</x:v>
      </x:c>
      <x:c r="Q54" s="18" t="n">
        <x:v>15</x:v>
      </x:c>
      <x:c r="R54" s="11" t="str">
        <x:v>YES</x:v>
      </x:c>
      <x:c r="S54" s="11" t="str">
        <x:v>NO</x:v>
      </x:c>
      <x:c r="T54" s="11" t="str">
        <x:v>NO</x:v>
      </x:c>
      <x:c r="U54" s="11" t="str">
        <x:v>Table 1 / Results</x:v>
      </x:c>
      <x:c r="V54" s="11" t="str"/>
    </x:row>
    <x:row r="55">
      <x:c r="A55" s="11" t="str">
        <x:v>A16</x:v>
      </x:c>
      <x:c r="B55" s="11" t="str">
        <x:v>W_014</x:v>
      </x:c>
      <x:c r="C55" s="11" t="str">
        <x:v>W_014_T01</x:v>
      </x:c>
      <x:c r="D55" s="11" t="str">
        <x:v>W_014_T01_R01</x:v>
      </x:c>
      <x:c r="E55" s="11" t="str">
        <x:v>Biandolino et al. (2018)</x:v>
      </x:c>
      <x:c r="F55" s="11" t="str">
        <x:v>Tigriopus fulvus</x:v>
      </x:c>
      <x:c r="G55" s="11" t="str">
        <x:v>Harpacticoida</x:v>
      </x:c>
      <x:c r="H55" s="11" t="str">
        <x:v>Nauplii ≤24 h</x:v>
      </x:c>
      <x:c r="I55" s="11" t="str">
        <x:v>Cu</x:v>
      </x:c>
      <x:c r="J55" s="14" t="n">
        <x:v>48</x:v>
      </x:c>
      <x:c r="K55" s="16" t="n">
        <x:v>310</x:v>
      </x:c>
      <x:c r="L55" s="11" t="str">
        <x:v>µg Cu/L</x:v>
      </x:c>
      <x:c r="M55" s="11" t="str">
        <x:v>CuSO4·5H2O</x:v>
      </x:c>
      <x:c r="N55" s="11" t="str">
        <x:v>Elemental Cu</x:v>
      </x:c>
      <x:c r="O55" s="11" t="str">
        <x:v>Nominal; analytically verified</x:v>
      </x:c>
      <x:c r="P55" s="18" t="n">
        <x:v>20</x:v>
      </x:c>
      <x:c r="Q55" s="18" t="n">
        <x:v>38</x:v>
      </x:c>
      <x:c r="R55" s="11" t="str">
        <x:v>YES</x:v>
      </x:c>
      <x:c r="S55" s="11" t="str">
        <x:v>NO</x:v>
      </x:c>
      <x:c r="T55" s="11" t="str">
        <x:v>NO</x:v>
      </x:c>
      <x:c r="U55" s="11" t="str">
        <x:v>Results</x:v>
      </x:c>
      <x:c r="V55" s="11" t="str">
        <x:v>Paper-reported mean across 3 acute runs; individual run LC50s not reported.</x:v>
      </x:c>
    </x:row>
    <x:row r="56">
      <x:c r="A56" s="11" t="str">
        <x:v>A17</x:v>
      </x:c>
      <x:c r="B56" s="11" t="str">
        <x:v>W_015</x:v>
      </x:c>
      <x:c r="C56" s="11" t="str">
        <x:v>W_015_T01</x:v>
      </x:c>
      <x:c r="D56" s="11" t="str">
        <x:v>W_015_R01</x:v>
      </x:c>
      <x:c r="E56" s="11" t="str">
        <x:v>Øverjordet et al. (2014)</x:v>
      </x:c>
      <x:c r="F56" s="11" t="str">
        <x:v>Calanus finmarchicus</x:v>
      </x:c>
      <x:c r="G56" s="11" t="str">
        <x:v>Calanoida</x:v>
      </x:c>
      <x:c r="H56" s="11" t="str">
        <x:v>Copepodite V (CV)</x:v>
      </x:c>
      <x:c r="I56" s="11" t="str">
        <x:v>Hg</x:v>
      </x:c>
      <x:c r="J56" s="14" t="n">
        <x:v>48</x:v>
      </x:c>
      <x:c r="K56" s="16" t="n">
        <x:v>72.4</x:v>
      </x:c>
      <x:c r="L56" s="11" t="str">
        <x:v>µg Hg/L</x:v>
      </x:c>
      <x:c r="M56" s="11" t="str">
        <x:v>HgCl2</x:v>
      </x:c>
      <x:c r="N56" s="11" t="str">
        <x:v>Elemental Hg / Hg2+</x:v>
      </x:c>
      <x:c r="O56" s="11" t="str">
        <x:v>Nominal; exposure solutions measured</x:v>
      </x:c>
      <x:c r="P56" s="18" t="n">
        <x:v>10</x:v>
      </x:c>
      <x:c r="Q56" s="18"/>
      <x:c r="R56" s="11" t="str">
        <x:v>YES</x:v>
      </x:c>
      <x:c r="S56" s="11" t="str">
        <x:v>NO</x:v>
      </x:c>
      <x:c r="T56" s="11" t="str">
        <x:v>NO</x:v>
      </x:c>
      <x:c r="U56" s="11" t="str">
        <x:v>Figure 1 / Results</x:v>
      </x:c>
      <x:c r="V56" s="11" t="str"/>
    </x:row>
    <x:row r="57">
      <x:c r="A57" s="11" t="str">
        <x:v>A17</x:v>
      </x:c>
      <x:c r="B57" s="11" t="str">
        <x:v>W_015</x:v>
      </x:c>
      <x:c r="C57" s="11" t="str">
        <x:v>W_015_T01</x:v>
      </x:c>
      <x:c r="D57" s="11" t="str">
        <x:v>W_015_R02</x:v>
      </x:c>
      <x:c r="E57" s="11" t="str">
        <x:v>Øverjordet et al. (2014)</x:v>
      </x:c>
      <x:c r="F57" s="11" t="str">
        <x:v>Calanus finmarchicus</x:v>
      </x:c>
      <x:c r="G57" s="11" t="str">
        <x:v>Calanoida</x:v>
      </x:c>
      <x:c r="H57" s="11" t="str">
        <x:v>Copepodite V (CV)</x:v>
      </x:c>
      <x:c r="I57" s="11" t="str">
        <x:v>Hg</x:v>
      </x:c>
      <x:c r="J57" s="14" t="n">
        <x:v>96</x:v>
      </x:c>
      <x:c r="K57" s="16" t="n">
        <x:v>41.6</x:v>
      </x:c>
      <x:c r="L57" s="11" t="str">
        <x:v>µg Hg/L</x:v>
      </x:c>
      <x:c r="M57" s="11" t="str">
        <x:v>HgCl2</x:v>
      </x:c>
      <x:c r="N57" s="11" t="str">
        <x:v>Elemental Hg / Hg2+</x:v>
      </x:c>
      <x:c r="O57" s="11" t="str">
        <x:v>Nominal; exposure solutions measured</x:v>
      </x:c>
      <x:c r="P57" s="18" t="n">
        <x:v>10</x:v>
      </x:c>
      <x:c r="Q57" s="18"/>
      <x:c r="R57" s="11" t="str">
        <x:v>YES</x:v>
      </x:c>
      <x:c r="S57" s="11" t="str">
        <x:v>NO</x:v>
      </x:c>
      <x:c r="T57" s="11" t="str">
        <x:v>NO</x:v>
      </x:c>
      <x:c r="U57" s="11" t="str">
        <x:v>Figure 1 / Results</x:v>
      </x:c>
      <x:c r="V57" s="11" t="str"/>
    </x:row>
    <x:row r="58">
      <x:c r="A58" s="11" t="str">
        <x:v>A17</x:v>
      </x:c>
      <x:c r="B58" s="11" t="str">
        <x:v>W_015</x:v>
      </x:c>
      <x:c r="C58" s="11" t="str">
        <x:v>W_015_T02</x:v>
      </x:c>
      <x:c r="D58" s="11" t="str">
        <x:v>W_015_R03</x:v>
      </x:c>
      <x:c r="E58" s="11" t="str">
        <x:v>Øverjordet et al. (2014)</x:v>
      </x:c>
      <x:c r="F58" s="11" t="str">
        <x:v>Calanus glacialis</x:v>
      </x:c>
      <x:c r="G58" s="11" t="str">
        <x:v>Calanoida</x:v>
      </x:c>
      <x:c r="H58" s="11" t="str">
        <x:v>Copepodite V (CV)</x:v>
      </x:c>
      <x:c r="I58" s="11" t="str">
        <x:v>Hg</x:v>
      </x:c>
      <x:c r="J58" s="14" t="n">
        <x:v>48</x:v>
      </x:c>
      <x:c r="K58" s="16" t="n">
        <x:v>73.7</x:v>
      </x:c>
      <x:c r="L58" s="11" t="str">
        <x:v>µg Hg/L</x:v>
      </x:c>
      <x:c r="M58" s="11" t="str">
        <x:v>HgCl2</x:v>
      </x:c>
      <x:c r="N58" s="11" t="str">
        <x:v>Elemental Hg / Hg2+</x:v>
      </x:c>
      <x:c r="O58" s="11" t="str">
        <x:v>Nominal; exposure solutions measured</x:v>
      </x:c>
      <x:c r="P58" s="18" t="n">
        <x:v>2</x:v>
      </x:c>
      <x:c r="Q58" s="18"/>
      <x:c r="R58" s="11" t="str">
        <x:v>YES</x:v>
      </x:c>
      <x:c r="S58" s="11" t="str">
        <x:v>NO</x:v>
      </x:c>
      <x:c r="T58" s="11" t="str">
        <x:v>NO</x:v>
      </x:c>
      <x:c r="U58" s="11" t="str">
        <x:v>Figure 1 / Results</x:v>
      </x:c>
      <x:c r="V58" s="11" t="str"/>
    </x:row>
    <x:row r="59">
      <x:c r="A59" s="11" t="str">
        <x:v>A17</x:v>
      </x:c>
      <x:c r="B59" s="11" t="str">
        <x:v>W_015</x:v>
      </x:c>
      <x:c r="C59" s="11" t="str">
        <x:v>W_015_T02</x:v>
      </x:c>
      <x:c r="D59" s="11" t="str">
        <x:v>W_015_R04</x:v>
      </x:c>
      <x:c r="E59" s="11" t="str">
        <x:v>Øverjordet et al. (2014)</x:v>
      </x:c>
      <x:c r="F59" s="11" t="str">
        <x:v>Calanus glacialis</x:v>
      </x:c>
      <x:c r="G59" s="11" t="str">
        <x:v>Calanoida</x:v>
      </x:c>
      <x:c r="H59" s="11" t="str">
        <x:v>Copepodite V (CV)</x:v>
      </x:c>
      <x:c r="I59" s="11" t="str">
        <x:v>Hg</x:v>
      </x:c>
      <x:c r="J59" s="14" t="n">
        <x:v>96</x:v>
      </x:c>
      <x:c r="K59" s="16" t="n">
        <x:v>35.3</x:v>
      </x:c>
      <x:c r="L59" s="11" t="str">
        <x:v>µg Hg/L</x:v>
      </x:c>
      <x:c r="M59" s="11" t="str">
        <x:v>HgCl2</x:v>
      </x:c>
      <x:c r="N59" s="11" t="str">
        <x:v>Elemental Hg / Hg2+</x:v>
      </x:c>
      <x:c r="O59" s="11" t="str">
        <x:v>Nominal; exposure solutions measured</x:v>
      </x:c>
      <x:c r="P59" s="18" t="n">
        <x:v>2</x:v>
      </x:c>
      <x:c r="Q59" s="18"/>
      <x:c r="R59" s="11" t="str">
        <x:v>YES</x:v>
      </x:c>
      <x:c r="S59" s="11" t="str">
        <x:v>NO</x:v>
      </x:c>
      <x:c r="T59" s="11" t="str">
        <x:v>NO</x:v>
      </x:c>
      <x:c r="U59" s="11" t="str">
        <x:v>Figure 1 / Results</x:v>
      </x:c>
      <x:c r="V59" s="11" t="str"/>
    </x:row>
    <x:row r="60">
      <x:c r="A60" s="11" t="str">
        <x:v>A18</x:v>
      </x:c>
      <x:c r="B60" s="11" t="str">
        <x:v>W_016</x:v>
      </x:c>
      <x:c r="C60" s="11" t="str">
        <x:v>W_016_T01</x:v>
      </x:c>
      <x:c r="D60" s="11" t="str">
        <x:v>W_016_R01</x:v>
      </x:c>
      <x:c r="E60" s="11" t="str">
        <x:v>Mohammed et al. (2010)</x:v>
      </x:c>
      <x:c r="F60" s="11" t="str">
        <x:v>Tigriopus japonicus</x:v>
      </x:c>
      <x:c r="G60" s="11" t="str">
        <x:v>Harpacticoida</x:v>
      </x:c>
      <x:c r="H60" s="11" t="str">
        <x:v>Adult female</x:v>
      </x:c>
      <x:c r="I60" s="11" t="str">
        <x:v>Ni</x:v>
      </x:c>
      <x:c r="J60" s="14" t="n">
        <x:v>48</x:v>
      </x:c>
      <x:c r="K60" s="16" t="n">
        <x:v>17.7</x:v>
      </x:c>
      <x:c r="L60" s="11" t="str">
        <x:v>mg Ni/L</x:v>
      </x:c>
      <x:c r="M60" s="11" t="str">
        <x:v>NiCl2·6H2O</x:v>
      </x:c>
      <x:c r="N60" s="11" t="str">
        <x:v>Elemental Ni</x:v>
      </x:c>
      <x:c r="O60" s="11" t="str">
        <x:v>Nominal</x:v>
      </x:c>
      <x:c r="P60" s="18" t="n">
        <x:v>20</x:v>
      </x:c>
      <x:c r="Q60" s="18" t="n">
        <x:v>25</x:v>
      </x:c>
      <x:c r="R60" s="11" t="str">
        <x:v>YES</x:v>
      </x:c>
      <x:c r="S60" s="11" t="str">
        <x:v>NO</x:v>
      </x:c>
      <x:c r="T60" s="11" t="str">
        <x:v>NO</x:v>
      </x:c>
      <x:c r="U60" s="11" t="str">
        <x:v>Table / Results</x:v>
      </x:c>
      <x:c r="V60" s="11" t="str"/>
    </x:row>
    <x:row r="61">
      <x:c r="A61" s="11" t="str">
        <x:v>A18</x:v>
      </x:c>
      <x:c r="B61" s="11" t="str">
        <x:v>W_016</x:v>
      </x:c>
      <x:c r="C61" s="11" t="str">
        <x:v>W_016_T02</x:v>
      </x:c>
      <x:c r="D61" s="11" t="str">
        <x:v>W_016_R02</x:v>
      </x:c>
      <x:c r="E61" s="11" t="str">
        <x:v>Mohammed et al. (2010)</x:v>
      </x:c>
      <x:c r="F61" s="11" t="str">
        <x:v>Apocyclops borneoensis</x:v>
      </x:c>
      <x:c r="G61" s="11" t="str">
        <x:v>Cyclopoida</x:v>
      </x:c>
      <x:c r="H61" s="11" t="str">
        <x:v>Adult female</x:v>
      </x:c>
      <x:c r="I61" s="11" t="str">
        <x:v>Ni</x:v>
      </x:c>
      <x:c r="J61" s="14" t="n">
        <x:v>48</x:v>
      </x:c>
      <x:c r="K61" s="16" t="n">
        <x:v>13.05</x:v>
      </x:c>
      <x:c r="L61" s="11" t="str">
        <x:v>mg Ni/L</x:v>
      </x:c>
      <x:c r="M61" s="11" t="str">
        <x:v>NiCl2·6H2O</x:v>
      </x:c>
      <x:c r="N61" s="11" t="str">
        <x:v>Elemental Ni</x:v>
      </x:c>
      <x:c r="O61" s="11" t="str">
        <x:v>Nominal</x:v>
      </x:c>
      <x:c r="P61" s="18" t="n">
        <x:v>30</x:v>
      </x:c>
      <x:c r="Q61" s="18" t="n">
        <x:v>20</x:v>
      </x:c>
      <x:c r="R61" s="11" t="str">
        <x:v>YES</x:v>
      </x:c>
      <x:c r="S61" s="11" t="str">
        <x:v>NO</x:v>
      </x:c>
      <x:c r="T61" s="11" t="str">
        <x:v>NO</x:v>
      </x:c>
      <x:c r="U61" s="11" t="str">
        <x:v>Table / Results</x:v>
      </x:c>
      <x:c r="V61" s="11" t="str"/>
    </x:row>
    <x:row r="62">
      <x:c r="A62" s="11" t="str">
        <x:v>A18</x:v>
      </x:c>
      <x:c r="B62" s="11" t="str">
        <x:v>W_016</x:v>
      </x:c>
      <x:c r="C62" s="11" t="str">
        <x:v>W_016_T03</x:v>
      </x:c>
      <x:c r="D62" s="11" t="str">
        <x:v>W_016_R03</x:v>
      </x:c>
      <x:c r="E62" s="11" t="str">
        <x:v>Mohammed et al. (2010)</x:v>
      </x:c>
      <x:c r="F62" s="11" t="str">
        <x:v>Acartia pacifica</x:v>
      </x:c>
      <x:c r="G62" s="11" t="str">
        <x:v>Calanoida</x:v>
      </x:c>
      <x:c r="H62" s="11" t="str">
        <x:v>Adult female</x:v>
      </x:c>
      <x:c r="I62" s="11" t="str">
        <x:v>Ni</x:v>
      </x:c>
      <x:c r="J62" s="14" t="n">
        <x:v>48</x:v>
      </x:c>
      <x:c r="K62" s="16" t="n">
        <x:v>2.36</x:v>
      </x:c>
      <x:c r="L62" s="11" t="str">
        <x:v>mg Ni/L</x:v>
      </x:c>
      <x:c r="M62" s="11" t="str">
        <x:v>NiCl2·6H2O</x:v>
      </x:c>
      <x:c r="N62" s="11" t="str">
        <x:v>Elemental Ni</x:v>
      </x:c>
      <x:c r="O62" s="11" t="str">
        <x:v>Nominal</x:v>
      </x:c>
      <x:c r="P62" s="18" t="n">
        <x:v>25</x:v>
      </x:c>
      <x:c r="Q62" s="18" t="n">
        <x:v>25</x:v>
      </x:c>
      <x:c r="R62" s="11" t="str">
        <x:v>YES</x:v>
      </x:c>
      <x:c r="S62" s="11" t="str">
        <x:v>NO</x:v>
      </x:c>
      <x:c r="T62" s="11" t="str">
        <x:v>NO</x:v>
      </x:c>
      <x:c r="U62" s="11" t="str">
        <x:v>Table / Results</x:v>
      </x:c>
      <x:c r="V62" s="11" t="str"/>
    </x:row>
    <x:row r="63" ht="110" customHeight="1">
      <x:c r="A63" s="20" t="str">
        <x:v>A26</x:v>
      </x:c>
      <x:c r="B63" s="20" t="str">
        <x:v>W_017</x:v>
      </x:c>
      <x:c r="C63" s="20" t="str">
        <x:v>W_017_T01</x:v>
      </x:c>
      <x:c r="D63" s="20" t="str">
        <x:v>W_017_R01</x:v>
      </x:c>
      <x:c r="E63" s="20" t="str">
        <x:v>Yang et al. (2022)</x:v>
      </x:c>
      <x:c r="F63" s="20" t="str">
        <x:v>Tigriopus japonicus</x:v>
      </x:c>
      <x:c r="G63" s="20" t="str">
        <x:v>Harpacticoida</x:v>
      </x:c>
      <x:c r="H63" s="20" t="str">
        <x:v>Not specified for ZnCl2 arm</x:v>
      </x:c>
      <x:c r="I63" s="20" t="str">
        <x:v>Zn</x:v>
      </x:c>
      <x:c r="J63" s="21" t="n">
        <x:v>96</x:v>
      </x:c>
      <x:c r="K63" s="22" t="n">
        <x:v>7.03</x:v>
      </x:c>
      <x:c r="L63" s="20" t="str">
        <x:v>mg Zn/L</x:v>
      </x:c>
      <x:c r="M63" s="20" t="str">
        <x:v>ZnCl2</x:v>
      </x:c>
      <x:c r="N63" s="20" t="str">
        <x:v>Elemental Zn (reported as Zn2+)</x:v>
      </x:c>
      <x:c r="O63" s="20" t="str">
        <x:v>Unspecified</x:v>
      </x:c>
      <x:c r="P63" s="20"/>
      <x:c r="Q63" s="20"/>
      <x:c r="R63" s="20" t="str">
        <x:v>YES</x:v>
      </x:c>
      <x:c r="S63" s="20" t="str">
        <x:v>UNRESOLVED</x:v>
      </x:c>
      <x:c r="T63" s="20" t="str">
        <x:v>NO</x:v>
      </x:c>
      <x:c r="U63" s="20" t="str">
        <x:v>p. 6, section 3.3</x:v>
      </x:c>
      <x:c r="V63" s="20" t="str">
        <x:v>96-h LC50 7.03 mg/L as Zn2+; 95% CI 6.88-7.38 mg/L. Separate ZnCl2 result, not leachate LC50. ZnCl2 dose series, measured/nominal basis and arm-specific protocol not separately reported. Stage, temperature, salinity and pH not transferred from culture/TWP/leachate methods. DOI: 10.1016/j.chemosphere.2022.134099</x:v>
      </x:c>
    </x:row>
  </x:sheetData>
  <x:conditionalFormatting sqref="R2:R62">
    <x:cfRule type="expression" dxfId="0" priority="1">
      <x:formula>R2="NO"</x:formula>
    </x:cfRule>
  </x:conditionalFormatting>
  <x:conditionalFormatting sqref="T2:T62">
    <x:cfRule type="expression" dxfId="1" priority="2">
      <x:formula>T2="YES"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fac9dbd1414a65"/>
  </x:tableParts>
</x:worksheet>
</file>